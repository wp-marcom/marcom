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DataKing1\homes\kaleb\Github Repos\marcom\projects\mister-campaign-box\"/>
    </mc:Choice>
  </mc:AlternateContent>
  <xr:revisionPtr revIDLastSave="0" documentId="8_{C3D0E122-95FB-41FE-BB9E-15F3115C9304}" xr6:coauthVersionLast="47" xr6:coauthVersionMax="47" xr10:uidLastSave="{00000000-0000-0000-0000-000000000000}"/>
  <bookViews>
    <workbookView xWindow="28680" yWindow="-120" windowWidth="29040" windowHeight="15720" activeTab="1" xr2:uid="{0D0F8AFB-644B-4D13-9434-B0069E5F5E58}"/>
  </bookViews>
  <sheets>
    <sheet name="As Values" sheetId="8" r:id="rId1"/>
    <sheet name="As Values Modified" sheetId="12" r:id="rId2"/>
    <sheet name="As Table" sheetId="1" r:id="rId3"/>
    <sheet name="Scratch" sheetId="11" r:id="rId4"/>
    <sheet name="Kiosk Stickers" sheetId="10" r:id="rId5"/>
    <sheet name="Promos" sheetId="6" r:id="rId6"/>
    <sheet name="Pivot Check" sheetId="7" r:id="rId7"/>
    <sheet name="Region Shipments" sheetId="5" state="hidden" r:id="rId8"/>
    <sheet name="Warehouses" sheetId="2" state="hidden" r:id="rId9"/>
    <sheet name="Upcoming New Builds" sheetId="3" state="hidden" r:id="rId10"/>
    <sheet name="Open Stores Data" sheetId="4" state="hidden" r:id="rId11"/>
  </sheets>
  <definedNames>
    <definedName name="_xlnm._FilterDatabase" localSheetId="9" hidden="1">'Upcoming New Builds'!$A$5:$L$5</definedName>
    <definedName name="_xlnm._FilterDatabase" localSheetId="8" hidden="1">Warehouses!$A$5:$H$44</definedName>
  </definedNames>
  <calcPr calcId="191028"/>
  <pivotCaches>
    <pivotCache cacheId="2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202" i="12" l="1"/>
  <c r="BD202" i="12"/>
  <c r="X202" i="12"/>
  <c r="V202" i="12"/>
  <c r="U202" i="12"/>
  <c r="N201" i="12"/>
  <c r="DB200" i="12"/>
  <c r="DB202" i="12" s="1"/>
  <c r="DA200" i="12"/>
  <c r="DA202" i="12" s="1"/>
  <c r="CZ200" i="12"/>
  <c r="CZ202" i="12" s="1"/>
  <c r="CY200" i="12"/>
  <c r="CY202" i="12" s="1"/>
  <c r="CX200" i="12"/>
  <c r="CX202" i="12" s="1"/>
  <c r="CW200" i="12"/>
  <c r="CW202" i="12" s="1"/>
  <c r="CV200" i="12"/>
  <c r="CV202" i="12" s="1"/>
  <c r="CU200" i="12"/>
  <c r="CU202" i="12" s="1"/>
  <c r="CT200" i="12"/>
  <c r="CT202" i="12" s="1"/>
  <c r="CS200" i="12"/>
  <c r="CS202" i="12" s="1"/>
  <c r="CR200" i="12"/>
  <c r="CR202" i="12" s="1"/>
  <c r="CQ200" i="12"/>
  <c r="CQ202" i="12" s="1"/>
  <c r="CP200" i="12"/>
  <c r="CP202" i="12" s="1"/>
  <c r="CO205" i="12" s="1"/>
  <c r="CO200" i="12"/>
  <c r="CO201" i="12" s="1"/>
  <c r="CO202" i="12" s="1"/>
  <c r="CN200" i="12"/>
  <c r="CN202" i="12" s="1"/>
  <c r="CM200" i="12"/>
  <c r="CM201" i="12" s="1"/>
  <c r="CM202" i="12" s="1"/>
  <c r="CL200" i="12"/>
  <c r="CL202" i="12" s="1"/>
  <c r="CK200" i="12"/>
  <c r="CK201" i="12" s="1"/>
  <c r="CK202" i="12" s="1"/>
  <c r="CJ200" i="12"/>
  <c r="CJ201" i="12" s="1"/>
  <c r="CJ202" i="12" s="1"/>
  <c r="CI200" i="12"/>
  <c r="CI202" i="12" s="1"/>
  <c r="CH200" i="12"/>
  <c r="CH201" i="12" s="1"/>
  <c r="CH202" i="12" s="1"/>
  <c r="CG200" i="12"/>
  <c r="CG202" i="12" s="1"/>
  <c r="CF200" i="12"/>
  <c r="CF202" i="12" s="1"/>
  <c r="CE200" i="12"/>
  <c r="CE202" i="12" s="1"/>
  <c r="CD200" i="12"/>
  <c r="CD202" i="12" s="1"/>
  <c r="CC200" i="12"/>
  <c r="CC202" i="12" s="1"/>
  <c r="CB200" i="12"/>
  <c r="CB202" i="12" s="1"/>
  <c r="CA200" i="12"/>
  <c r="CA202" i="12" s="1"/>
  <c r="BZ200" i="12"/>
  <c r="BZ202" i="12" s="1"/>
  <c r="BY200" i="12"/>
  <c r="BY202" i="12" s="1"/>
  <c r="BX200" i="12"/>
  <c r="BX202" i="12" s="1"/>
  <c r="BW200" i="12"/>
  <c r="BW202" i="12" s="1"/>
  <c r="BV200" i="12"/>
  <c r="BV202" i="12" s="1"/>
  <c r="BU200" i="12"/>
  <c r="BU202" i="12" s="1"/>
  <c r="BT200" i="12"/>
  <c r="BT202" i="12" s="1"/>
  <c r="BS200" i="12"/>
  <c r="BS201" i="12" s="1"/>
  <c r="BR200" i="12"/>
  <c r="BR202" i="12" s="1"/>
  <c r="BQ200" i="12"/>
  <c r="BQ202" i="12" s="1"/>
  <c r="BP200" i="12"/>
  <c r="BP202" i="12" s="1"/>
  <c r="BO200" i="12"/>
  <c r="BO202" i="12" s="1"/>
  <c r="BN200" i="12"/>
  <c r="BN202" i="12" s="1"/>
  <c r="BM200" i="12"/>
  <c r="BM202" i="12" s="1"/>
  <c r="BL200" i="12"/>
  <c r="BL202" i="12" s="1"/>
  <c r="BK200" i="12"/>
  <c r="BK202" i="12" s="1"/>
  <c r="BJ200" i="12"/>
  <c r="BJ202" i="12" s="1"/>
  <c r="BI200" i="12"/>
  <c r="BI202" i="12" s="1"/>
  <c r="BH200" i="12"/>
  <c r="BH202" i="12" s="1"/>
  <c r="BG200" i="12"/>
  <c r="BG202" i="12" s="1"/>
  <c r="BF200" i="12"/>
  <c r="BF202" i="12" s="1"/>
  <c r="BE200" i="12"/>
  <c r="BD200" i="12"/>
  <c r="BC200" i="12"/>
  <c r="BC202" i="12" s="1"/>
  <c r="BB200" i="12"/>
  <c r="BB202" i="12" s="1"/>
  <c r="BA200" i="12"/>
  <c r="BA202" i="12" s="1"/>
  <c r="AZ200" i="12"/>
  <c r="AZ202" i="12" s="1"/>
  <c r="AY200" i="12"/>
  <c r="AY202" i="12" s="1"/>
  <c r="AX200" i="12"/>
  <c r="AX202" i="12" s="1"/>
  <c r="AW200" i="12"/>
  <c r="AW202" i="12" s="1"/>
  <c r="AV200" i="12"/>
  <c r="AV202" i="12" s="1"/>
  <c r="AU200" i="12"/>
  <c r="AU202" i="12" s="1"/>
  <c r="AT200" i="12"/>
  <c r="AT202" i="12" s="1"/>
  <c r="AS200" i="12"/>
  <c r="AS202" i="12" s="1"/>
  <c r="AR200" i="12"/>
  <c r="AR202" i="12" s="1"/>
  <c r="AQ200" i="12"/>
  <c r="AQ202" i="12" s="1"/>
  <c r="AP200" i="12"/>
  <c r="AP202" i="12" s="1"/>
  <c r="AO200" i="12"/>
  <c r="AO202" i="12" s="1"/>
  <c r="AN200" i="12"/>
  <c r="AN202" i="12" s="1"/>
  <c r="AM200" i="12"/>
  <c r="AM202" i="12" s="1"/>
  <c r="AL200" i="12"/>
  <c r="AL202" i="12" s="1"/>
  <c r="AK200" i="12"/>
  <c r="AK202" i="12" s="1"/>
  <c r="AJ200" i="12"/>
  <c r="AJ202" i="12" s="1"/>
  <c r="AI200" i="12"/>
  <c r="AI202" i="12" s="1"/>
  <c r="AH200" i="12"/>
  <c r="AH202" i="12" s="1"/>
  <c r="AG200" i="12"/>
  <c r="AG202" i="12" s="1"/>
  <c r="AF200" i="12"/>
  <c r="AF202" i="12" s="1"/>
  <c r="AE200" i="12"/>
  <c r="AE202" i="12" s="1"/>
  <c r="AD200" i="12"/>
  <c r="AD202" i="12" s="1"/>
  <c r="AC200" i="12"/>
  <c r="AC202" i="12" s="1"/>
  <c r="AB200" i="12"/>
  <c r="AB202" i="12" s="1"/>
  <c r="AA200" i="12"/>
  <c r="AA201" i="12" s="1"/>
  <c r="AA202" i="12" s="1"/>
  <c r="Z200" i="12"/>
  <c r="Z202" i="12" s="1"/>
  <c r="Y200" i="12"/>
  <c r="Y201" i="12" s="1"/>
  <c r="Y202" i="12" s="1"/>
  <c r="X200" i="12"/>
  <c r="W200" i="12"/>
  <c r="W201" i="12" s="1"/>
  <c r="W202" i="12" s="1"/>
  <c r="V200" i="12"/>
  <c r="U200" i="12"/>
  <c r="T200" i="12"/>
  <c r="T202" i="12" s="1"/>
  <c r="S200" i="12"/>
  <c r="S202" i="12" s="1"/>
  <c r="R200" i="12"/>
  <c r="Q200" i="12"/>
  <c r="Q202" i="12" s="1"/>
  <c r="P200" i="12"/>
  <c r="P202" i="12" s="1"/>
  <c r="O200" i="12"/>
  <c r="O202" i="12" s="1"/>
  <c r="N200" i="12"/>
  <c r="CT204" i="8"/>
  <c r="CT200" i="8"/>
  <c r="CU202" i="8"/>
  <c r="CV202" i="8"/>
  <c r="CW202" i="8"/>
  <c r="CX202" i="8"/>
  <c r="CY202" i="8"/>
  <c r="CZ202" i="8"/>
  <c r="DA202" i="8"/>
  <c r="CU200" i="8"/>
  <c r="CV200" i="8"/>
  <c r="CW200" i="8"/>
  <c r="CX200" i="8"/>
  <c r="CY200" i="8"/>
  <c r="CZ200" i="8"/>
  <c r="DA200" i="8"/>
  <c r="DF103" i="1"/>
  <c r="DF6" i="1"/>
  <c r="DF7" i="1"/>
  <c r="DF8" i="1"/>
  <c r="DF9" i="1"/>
  <c r="DF10" i="1"/>
  <c r="DF11" i="1"/>
  <c r="DF12" i="1"/>
  <c r="DF13" i="1"/>
  <c r="DF14" i="1"/>
  <c r="DF15" i="1"/>
  <c r="DF16" i="1"/>
  <c r="DF17" i="1"/>
  <c r="DF18" i="1"/>
  <c r="DF19" i="1"/>
  <c r="DF20" i="1"/>
  <c r="DF21" i="1"/>
  <c r="DF22" i="1"/>
  <c r="DF23" i="1"/>
  <c r="DF24" i="1"/>
  <c r="DF25" i="1"/>
  <c r="DF26" i="1"/>
  <c r="DF27" i="1"/>
  <c r="DF28" i="1"/>
  <c r="DF29" i="1"/>
  <c r="DF30" i="1"/>
  <c r="DF31" i="1"/>
  <c r="DF32" i="1"/>
  <c r="DF33" i="1"/>
  <c r="DF34" i="1"/>
  <c r="DF35" i="1"/>
  <c r="DF36" i="1"/>
  <c r="DF37" i="1"/>
  <c r="DF38" i="1"/>
  <c r="DF39" i="1"/>
  <c r="DF40" i="1"/>
  <c r="DF41" i="1"/>
  <c r="DF42" i="1"/>
  <c r="DF43" i="1"/>
  <c r="DF44" i="1"/>
  <c r="DF45" i="1"/>
  <c r="DF46" i="1"/>
  <c r="DF47" i="1"/>
  <c r="DF48" i="1"/>
  <c r="DF49" i="1"/>
  <c r="DF50" i="1"/>
  <c r="DF51" i="1"/>
  <c r="DF52" i="1"/>
  <c r="DF53" i="1"/>
  <c r="DF54" i="1"/>
  <c r="DF55" i="1"/>
  <c r="DF56" i="1"/>
  <c r="DF57" i="1"/>
  <c r="DF58" i="1"/>
  <c r="DF59" i="1"/>
  <c r="DF60" i="1"/>
  <c r="DF61" i="1"/>
  <c r="DF62" i="1"/>
  <c r="DF63" i="1"/>
  <c r="DF64" i="1"/>
  <c r="DF65" i="1"/>
  <c r="DF66" i="1"/>
  <c r="DF67" i="1"/>
  <c r="DF68" i="1"/>
  <c r="DF69" i="1"/>
  <c r="DF70" i="1"/>
  <c r="DF71" i="1"/>
  <c r="DF72" i="1"/>
  <c r="DF73" i="1"/>
  <c r="DF74" i="1"/>
  <c r="DF75" i="1"/>
  <c r="DF76" i="1"/>
  <c r="DF77" i="1"/>
  <c r="DF78" i="1"/>
  <c r="DF79" i="1"/>
  <c r="DF80" i="1"/>
  <c r="DF81" i="1"/>
  <c r="DF82" i="1"/>
  <c r="DF83" i="1"/>
  <c r="DF84" i="1"/>
  <c r="DF85" i="1"/>
  <c r="DF86" i="1"/>
  <c r="DF87" i="1"/>
  <c r="DF88" i="1"/>
  <c r="DF89" i="1"/>
  <c r="DF90" i="1"/>
  <c r="DF91" i="1"/>
  <c r="DF92" i="1"/>
  <c r="DF93" i="1"/>
  <c r="DF94" i="1"/>
  <c r="DF95" i="1"/>
  <c r="DF96" i="1"/>
  <c r="DF97" i="1"/>
  <c r="DF98" i="1"/>
  <c r="DF99" i="1"/>
  <c r="DF100" i="1"/>
  <c r="DF101" i="1"/>
  <c r="DF102" i="1"/>
  <c r="DF104" i="1"/>
  <c r="DF105" i="1"/>
  <c r="DF106" i="1"/>
  <c r="DF107" i="1"/>
  <c r="DF108" i="1"/>
  <c r="DF109" i="1"/>
  <c r="DF110" i="1"/>
  <c r="DF111" i="1"/>
  <c r="DF112" i="1"/>
  <c r="DF113" i="1"/>
  <c r="DF114" i="1"/>
  <c r="DF115" i="1"/>
  <c r="DF116" i="1"/>
  <c r="DF117" i="1"/>
  <c r="DF118" i="1"/>
  <c r="DF119" i="1"/>
  <c r="DF120" i="1"/>
  <c r="DF121" i="1"/>
  <c r="DF122" i="1"/>
  <c r="DF123" i="1"/>
  <c r="DF124" i="1"/>
  <c r="DF125" i="1"/>
  <c r="DF126" i="1"/>
  <c r="DF127" i="1"/>
  <c r="DF128" i="1"/>
  <c r="DF129" i="1"/>
  <c r="DF130" i="1"/>
  <c r="DF131" i="1"/>
  <c r="DF132" i="1"/>
  <c r="DF133" i="1"/>
  <c r="DF134" i="1"/>
  <c r="DF135" i="1"/>
  <c r="DF136" i="1"/>
  <c r="DF137" i="1"/>
  <c r="DF138" i="1"/>
  <c r="DF139" i="1"/>
  <c r="DF140" i="1"/>
  <c r="DF141" i="1"/>
  <c r="DF142" i="1"/>
  <c r="DF143" i="1"/>
  <c r="DF144" i="1"/>
  <c r="DF145" i="1"/>
  <c r="DF146" i="1"/>
  <c r="DF147" i="1"/>
  <c r="DF148" i="1"/>
  <c r="DF149" i="1"/>
  <c r="DF150" i="1"/>
  <c r="DF151" i="1"/>
  <c r="DF152" i="1"/>
  <c r="DF153" i="1"/>
  <c r="DF154" i="1"/>
  <c r="DF155" i="1"/>
  <c r="DF156" i="1"/>
  <c r="DF157" i="1"/>
  <c r="DF158" i="1"/>
  <c r="DF159" i="1"/>
  <c r="DF160" i="1"/>
  <c r="DF161" i="1"/>
  <c r="DF162" i="1"/>
  <c r="DF163" i="1"/>
  <c r="DF164" i="1"/>
  <c r="DF165" i="1"/>
  <c r="DF166" i="1"/>
  <c r="DF167" i="1"/>
  <c r="DF168" i="1"/>
  <c r="DF169" i="1"/>
  <c r="DF170" i="1"/>
  <c r="DF171" i="1"/>
  <c r="DF172" i="1"/>
  <c r="DF173" i="1"/>
  <c r="DF174" i="1"/>
  <c r="DF175" i="1"/>
  <c r="DF176" i="1"/>
  <c r="DF177" i="1"/>
  <c r="DF178" i="1"/>
  <c r="DF179" i="1"/>
  <c r="DF180" i="1"/>
  <c r="DF181" i="1"/>
  <c r="DF182" i="1"/>
  <c r="DF183" i="1"/>
  <c r="DF184" i="1"/>
  <c r="DF185" i="1"/>
  <c r="DF186" i="1"/>
  <c r="DF187" i="1"/>
  <c r="DF188" i="1"/>
  <c r="DF189" i="1"/>
  <c r="DF190" i="1"/>
  <c r="DF191" i="1"/>
  <c r="DF192" i="1"/>
  <c r="DF193" i="1"/>
  <c r="DF194" i="1"/>
  <c r="DF195" i="1"/>
  <c r="DF196" i="1"/>
  <c r="DF197" i="1"/>
  <c r="DF198" i="1"/>
  <c r="DF199" i="1"/>
  <c r="DF5" i="1"/>
  <c r="AE200" i="8"/>
  <c r="AE202" i="8" s="1"/>
  <c r="DB200" i="8"/>
  <c r="DB202" i="8" s="1"/>
  <c r="O200" i="8"/>
  <c r="O202" i="8" s="1"/>
  <c r="P200" i="8"/>
  <c r="P202" i="8" s="1"/>
  <c r="Q200" i="8"/>
  <c r="Q202" i="8" s="1"/>
  <c r="R200" i="8"/>
  <c r="R201" i="8" s="1"/>
  <c r="R202" i="8" s="1"/>
  <c r="S200" i="8"/>
  <c r="S202" i="8" s="1"/>
  <c r="T200" i="8"/>
  <c r="T202" i="8" s="1"/>
  <c r="U200" i="8"/>
  <c r="V200" i="8"/>
  <c r="W200" i="8"/>
  <c r="X200" i="8"/>
  <c r="X202" i="8" s="1"/>
  <c r="Y200" i="8"/>
  <c r="Z200" i="8"/>
  <c r="Z202" i="8" s="1"/>
  <c r="AA200" i="8"/>
  <c r="AA201" i="8" s="1"/>
  <c r="AB200" i="8"/>
  <c r="AB202" i="8" s="1"/>
  <c r="AC200" i="8"/>
  <c r="AD200" i="8"/>
  <c r="AF200" i="8"/>
  <c r="AG200" i="8"/>
  <c r="AH200" i="8"/>
  <c r="AH202" i="8" s="1"/>
  <c r="AI200" i="8"/>
  <c r="AI202" i="8" s="1"/>
  <c r="AJ200" i="8"/>
  <c r="AJ202" i="8" s="1"/>
  <c r="AK200" i="8"/>
  <c r="AK202" i="8" s="1"/>
  <c r="AL200" i="8"/>
  <c r="AL202" i="8" s="1"/>
  <c r="AM200" i="8"/>
  <c r="AN200" i="8"/>
  <c r="AO200" i="8"/>
  <c r="AO202" i="8" s="1"/>
  <c r="AP200" i="8"/>
  <c r="AP202" i="8" s="1"/>
  <c r="AQ200" i="8"/>
  <c r="AQ202" i="8" s="1"/>
  <c r="AR200" i="8"/>
  <c r="AR202" i="8" s="1"/>
  <c r="AS200" i="8"/>
  <c r="AS202" i="8" s="1"/>
  <c r="AT200" i="8"/>
  <c r="AT202" i="8" s="1"/>
  <c r="AU200" i="8"/>
  <c r="AV200" i="8"/>
  <c r="AW200" i="8"/>
  <c r="AX200" i="8"/>
  <c r="AX202" i="8" s="1"/>
  <c r="AY200" i="8"/>
  <c r="AZ200" i="8"/>
  <c r="AZ202" i="8" s="1"/>
  <c r="BA200" i="8"/>
  <c r="BA202" i="8" s="1"/>
  <c r="BB200" i="8"/>
  <c r="BB202" i="8" s="1"/>
  <c r="BC200" i="8"/>
  <c r="BC202" i="8" s="1"/>
  <c r="BD200" i="8"/>
  <c r="BE200" i="8"/>
  <c r="BF200" i="8"/>
  <c r="BG200" i="8"/>
  <c r="BG202" i="8" s="1"/>
  <c r="BH200" i="8"/>
  <c r="BH202" i="8" s="1"/>
  <c r="BI200" i="8"/>
  <c r="BI202" i="8" s="1"/>
  <c r="BJ200" i="8"/>
  <c r="BJ202" i="8" s="1"/>
  <c r="BK200" i="8"/>
  <c r="BK202" i="8" s="1"/>
  <c r="BL200" i="8"/>
  <c r="BL202" i="8" s="1"/>
  <c r="BM200" i="8"/>
  <c r="BN200" i="8"/>
  <c r="BO200" i="8"/>
  <c r="BP200" i="8"/>
  <c r="BP202" i="8" s="1"/>
  <c r="BQ200" i="8"/>
  <c r="BQ202" i="8" s="1"/>
  <c r="BR200" i="8"/>
  <c r="BR202" i="8" s="1"/>
  <c r="BS200" i="8"/>
  <c r="BS201" i="8" s="1"/>
  <c r="BS202" i="8" s="1"/>
  <c r="BT200" i="8"/>
  <c r="BT202" i="8" s="1"/>
  <c r="BU200" i="8"/>
  <c r="BU202" i="8" s="1"/>
  <c r="BV200" i="8"/>
  <c r="BW200" i="8"/>
  <c r="BX200" i="8"/>
  <c r="BY200" i="8"/>
  <c r="BY202" i="8" s="1"/>
  <c r="BZ200" i="8"/>
  <c r="BZ202" i="8" s="1"/>
  <c r="CA200" i="8"/>
  <c r="CA202" i="8" s="1"/>
  <c r="CB200" i="8"/>
  <c r="CB202" i="8" s="1"/>
  <c r="CC200" i="8"/>
  <c r="CC202" i="8" s="1"/>
  <c r="CD200" i="8"/>
  <c r="CD202" i="8" s="1"/>
  <c r="CE200" i="8"/>
  <c r="CF200" i="8"/>
  <c r="CG200" i="8"/>
  <c r="CG202" i="8" s="1"/>
  <c r="CH200" i="8"/>
  <c r="CH201" i="8" s="1"/>
  <c r="CH202" i="8" s="1"/>
  <c r="CI200" i="8"/>
  <c r="CJ200" i="8"/>
  <c r="CJ201" i="8" s="1"/>
  <c r="CJ202" i="8" s="1"/>
  <c r="CK200" i="8"/>
  <c r="CK201" i="8" s="1"/>
  <c r="CL200" i="8"/>
  <c r="CM200" i="8"/>
  <c r="CN200" i="8"/>
  <c r="CN202" i="8" s="1"/>
  <c r="CO200" i="8"/>
  <c r="CO201" i="8" s="1"/>
  <c r="CP200" i="8"/>
  <c r="CP202" i="8" s="1"/>
  <c r="CQ200" i="8"/>
  <c r="CQ202" i="8" s="1"/>
  <c r="CR200" i="8"/>
  <c r="CR202" i="8" s="1"/>
  <c r="CS200" i="8"/>
  <c r="CS202" i="8" s="1"/>
  <c r="AG202" i="8"/>
  <c r="AY202" i="8"/>
  <c r="CI202" i="8"/>
  <c r="N200" i="8"/>
  <c r="N201" i="8" s="1"/>
  <c r="N202" i="8" s="1"/>
  <c r="S11" i="6" a="1"/>
  <c r="S11" i="6" s="1"/>
  <c r="CQ200" i="1"/>
  <c r="CQ201" i="1" s="1"/>
  <c r="CQ202" i="1" s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N200" i="1"/>
  <c r="CD200" i="1"/>
  <c r="CH200" i="1"/>
  <c r="CH201" i="1" s="1"/>
  <c r="CI200" i="1"/>
  <c r="CI201" i="1" s="1"/>
  <c r="CJ200" i="1"/>
  <c r="CJ201" i="1" s="1"/>
  <c r="CK200" i="1"/>
  <c r="CK201" i="1" s="1"/>
  <c r="CK202" i="1" s="1"/>
  <c r="CL200" i="1"/>
  <c r="CL201" i="1" s="1"/>
  <c r="CM200" i="1"/>
  <c r="CM201" i="1" s="1"/>
  <c r="CM202" i="1" s="1"/>
  <c r="CN200" i="1"/>
  <c r="CN201" i="1" s="1"/>
  <c r="CO200" i="1"/>
  <c r="CO201" i="1" s="1"/>
  <c r="CO202" i="1" s="1"/>
  <c r="CP200" i="1"/>
  <c r="CP201" i="1" s="1"/>
  <c r="CP202" i="1" s="1"/>
  <c r="CW200" i="1"/>
  <c r="CW201" i="1" s="1"/>
  <c r="CW202" i="1" s="1"/>
  <c r="CF123" i="1"/>
  <c r="CF126" i="1"/>
  <c r="CG57" i="1"/>
  <c r="CG74" i="1"/>
  <c r="CG78" i="1"/>
  <c r="CB39" i="1"/>
  <c r="CB200" i="1" s="1"/>
  <c r="CB201" i="1" s="1"/>
  <c r="CB202" i="1" s="1"/>
  <c r="CC15" i="1"/>
  <c r="CC16" i="1"/>
  <c r="CC17" i="1"/>
  <c r="CC18" i="1"/>
  <c r="CE13" i="1"/>
  <c r="R7" i="11" a="1"/>
  <c r="R7" i="11" s="1"/>
  <c r="BZ189" i="1"/>
  <c r="BY172" i="1"/>
  <c r="BY173" i="1"/>
  <c r="BY174" i="1"/>
  <c r="BY175" i="1"/>
  <c r="BX158" i="1"/>
  <c r="BU132" i="1"/>
  <c r="BU133" i="1"/>
  <c r="BT109" i="1"/>
  <c r="BS81" i="1"/>
  <c r="BS82" i="1"/>
  <c r="BW73" i="1"/>
  <c r="BW74" i="1"/>
  <c r="BW75" i="1"/>
  <c r="BV5" i="1"/>
  <c r="BV6" i="1"/>
  <c r="BV7" i="1"/>
  <c r="BV8" i="1"/>
  <c r="BV9" i="1"/>
  <c r="BV10" i="1"/>
  <c r="BV11" i="1"/>
  <c r="BV12" i="1"/>
  <c r="BV13" i="1"/>
  <c r="BV14" i="1"/>
  <c r="M6" i="11" a="1"/>
  <c r="M6" i="11" s="1"/>
  <c r="BQ153" i="1"/>
  <c r="BP87" i="1"/>
  <c r="BA5" i="1"/>
  <c r="BB5" i="1"/>
  <c r="BC5" i="1"/>
  <c r="BD5" i="1"/>
  <c r="BE5" i="1"/>
  <c r="AZ5" i="1"/>
  <c r="BN193" i="1"/>
  <c r="BL121" i="1"/>
  <c r="BL122" i="1"/>
  <c r="BL123" i="1"/>
  <c r="BL124" i="1"/>
  <c r="BL125" i="1"/>
  <c r="BL126" i="1"/>
  <c r="BL127" i="1"/>
  <c r="BL128" i="1"/>
  <c r="BH105" i="1"/>
  <c r="BH106" i="1"/>
  <c r="BH107" i="1"/>
  <c r="BK96" i="1"/>
  <c r="BJ83" i="1"/>
  <c r="BJ84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G42" i="1"/>
  <c r="BG43" i="1"/>
  <c r="BG44" i="1"/>
  <c r="BG45" i="1"/>
  <c r="BG46" i="1"/>
  <c r="BG47" i="1"/>
  <c r="G3" i="11" a="1"/>
  <c r="G3" i="11" s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BA129" i="1"/>
  <c r="BB103" i="1"/>
  <c r="BC40" i="1"/>
  <c r="BC41" i="1"/>
  <c r="BC42" i="1"/>
  <c r="BC43" i="1"/>
  <c r="BC44" i="1"/>
  <c r="BC45" i="1"/>
  <c r="BD19" i="1"/>
  <c r="BD21" i="1"/>
  <c r="BD22" i="1"/>
  <c r="BD24" i="1"/>
  <c r="BD26" i="1"/>
  <c r="BD27" i="1"/>
  <c r="BD29" i="1"/>
  <c r="BD30" i="1"/>
  <c r="BD31" i="1"/>
  <c r="BD33" i="1"/>
  <c r="BD36" i="1"/>
  <c r="BD37" i="1"/>
  <c r="BD38" i="1"/>
  <c r="B2" i="11" a="1"/>
  <c r="B2" i="11" s="1"/>
  <c r="Q516" i="10"/>
  <c r="Q515" i="10"/>
  <c r="Q513" i="10"/>
  <c r="Q510" i="10"/>
  <c r="Q506" i="10"/>
  <c r="Q502" i="10"/>
  <c r="Q496" i="10"/>
  <c r="Q495" i="10"/>
  <c r="Q492" i="10"/>
  <c r="Q484" i="10"/>
  <c r="Q483" i="10"/>
  <c r="Q479" i="10"/>
  <c r="Q478" i="10"/>
  <c r="Q477" i="10"/>
  <c r="Q475" i="10"/>
  <c r="Q467" i="10"/>
  <c r="Q466" i="10"/>
  <c r="Q465" i="10"/>
  <c r="Q464" i="10"/>
  <c r="Q463" i="10"/>
  <c r="Q452" i="10"/>
  <c r="Q451" i="10"/>
  <c r="Q449" i="10"/>
  <c r="Q448" i="10"/>
  <c r="Q446" i="10"/>
  <c r="Q441" i="10"/>
  <c r="Q435" i="10"/>
  <c r="Q434" i="10"/>
  <c r="Q433" i="10"/>
  <c r="Q427" i="10"/>
  <c r="Q426" i="10"/>
  <c r="Q425" i="10"/>
  <c r="Q423" i="10"/>
  <c r="Q422" i="10"/>
  <c r="Q420" i="10"/>
  <c r="Q417" i="10"/>
  <c r="Q416" i="10"/>
  <c r="Q414" i="10"/>
  <c r="Q409" i="10"/>
  <c r="Q408" i="10"/>
  <c r="Q405" i="10"/>
  <c r="Q402" i="10"/>
  <c r="Q400" i="10"/>
  <c r="Q399" i="10"/>
  <c r="Q390" i="10"/>
  <c r="Q368" i="10"/>
  <c r="Q367" i="10"/>
  <c r="Q359" i="10"/>
  <c r="Q358" i="10"/>
  <c r="Q355" i="10"/>
  <c r="Q348" i="10"/>
  <c r="Q341" i="10"/>
  <c r="Q338" i="10"/>
  <c r="Q337" i="10"/>
  <c r="Q333" i="10"/>
  <c r="Q330" i="10"/>
  <c r="Q327" i="10"/>
  <c r="Q326" i="10"/>
  <c r="Q324" i="10"/>
  <c r="Q305" i="10"/>
  <c r="Q304" i="10"/>
  <c r="Q299" i="10"/>
  <c r="Q285" i="10"/>
  <c r="Q284" i="10"/>
  <c r="Q270" i="10"/>
  <c r="Q268" i="10"/>
  <c r="Q243" i="10"/>
  <c r="Q242" i="10"/>
  <c r="Q241" i="10"/>
  <c r="Q240" i="10"/>
  <c r="Q181" i="10"/>
  <c r="Q177" i="10"/>
  <c r="Q169" i="10"/>
  <c r="Q157" i="10"/>
  <c r="Q118" i="10"/>
  <c r="Q110" i="10"/>
  <c r="Q107" i="10"/>
  <c r="Q106" i="10"/>
  <c r="Q94" i="10"/>
  <c r="Q90" i="10"/>
  <c r="Q85" i="10"/>
  <c r="Q80" i="10"/>
  <c r="Q70" i="10"/>
  <c r="Q66" i="10"/>
  <c r="CC108" i="1"/>
  <c r="CC118" i="1"/>
  <c r="CC120" i="1"/>
  <c r="CE135" i="1"/>
  <c r="CG157" i="1"/>
  <c r="CG159" i="1"/>
  <c r="CA194" i="1"/>
  <c r="CA200" i="1" s="1"/>
  <c r="BR15" i="1"/>
  <c r="BR16" i="1"/>
  <c r="BR17" i="1"/>
  <c r="BR18" i="1"/>
  <c r="BR19" i="1"/>
  <c r="BR21" i="1"/>
  <c r="BR22" i="1"/>
  <c r="BR23" i="1"/>
  <c r="BR24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6" i="1"/>
  <c r="BR77" i="1"/>
  <c r="BR78" i="1"/>
  <c r="BR79" i="1"/>
  <c r="BR80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9" i="1"/>
  <c r="BR100" i="1"/>
  <c r="BR102" i="1"/>
  <c r="BR103" i="1"/>
  <c r="BR104" i="1"/>
  <c r="BR105" i="1"/>
  <c r="BR106" i="1"/>
  <c r="BR107" i="1"/>
  <c r="BR108" i="1"/>
  <c r="BR110" i="1"/>
  <c r="BR111" i="1"/>
  <c r="BR112" i="1"/>
  <c r="BR114" i="1"/>
  <c r="BR115" i="1"/>
  <c r="BR116" i="1"/>
  <c r="BR117" i="1"/>
  <c r="BR118" i="1"/>
  <c r="BR119" i="1"/>
  <c r="BR120" i="1"/>
  <c r="BR121" i="1"/>
  <c r="BW122" i="1"/>
  <c r="BW123" i="1"/>
  <c r="BW124" i="1"/>
  <c r="BW125" i="1"/>
  <c r="BR126" i="1"/>
  <c r="BR127" i="1"/>
  <c r="BR128" i="1"/>
  <c r="BR129" i="1"/>
  <c r="BR131" i="1"/>
  <c r="BR134" i="1"/>
  <c r="BR135" i="1"/>
  <c r="BR136" i="1"/>
  <c r="BR138" i="1"/>
  <c r="BR139" i="1"/>
  <c r="BR140" i="1"/>
  <c r="BR141" i="1"/>
  <c r="BV143" i="1"/>
  <c r="BV144" i="1"/>
  <c r="BV145" i="1"/>
  <c r="BV146" i="1"/>
  <c r="BR147" i="1"/>
  <c r="BR148" i="1"/>
  <c r="BR150" i="1"/>
  <c r="BR151" i="1"/>
  <c r="BR152" i="1"/>
  <c r="BR153" i="1"/>
  <c r="BR154" i="1"/>
  <c r="BR155" i="1"/>
  <c r="BR157" i="1"/>
  <c r="BR159" i="1"/>
  <c r="BR160" i="1"/>
  <c r="BR161" i="1"/>
  <c r="BR162" i="1"/>
  <c r="BR163" i="1"/>
  <c r="BR164" i="1"/>
  <c r="BR165" i="1"/>
  <c r="BR166" i="1"/>
  <c r="BR167" i="1"/>
  <c r="BR168" i="1"/>
  <c r="BR169" i="1"/>
  <c r="BT170" i="1"/>
  <c r="BS171" i="1"/>
  <c r="BR176" i="1"/>
  <c r="BR177" i="1"/>
  <c r="BR178" i="1"/>
  <c r="BR179" i="1"/>
  <c r="BR180" i="1"/>
  <c r="BR181" i="1"/>
  <c r="BR182" i="1"/>
  <c r="BR183" i="1"/>
  <c r="BR184" i="1"/>
  <c r="BR185" i="1"/>
  <c r="BR186" i="1"/>
  <c r="BR187" i="1"/>
  <c r="BR188" i="1"/>
  <c r="BR190" i="1"/>
  <c r="BR191" i="1"/>
  <c r="BR192" i="1"/>
  <c r="BR193" i="1"/>
  <c r="BR194" i="1"/>
  <c r="BR195" i="1"/>
  <c r="BR196" i="1"/>
  <c r="BR197" i="1"/>
  <c r="BR198" i="1"/>
  <c r="BR199" i="1"/>
  <c r="BO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1" i="1"/>
  <c r="BO22" i="1"/>
  <c r="BO23" i="1"/>
  <c r="BO24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8" i="1"/>
  <c r="BO89" i="1"/>
  <c r="BO90" i="1"/>
  <c r="BO91" i="1"/>
  <c r="BO92" i="1"/>
  <c r="BO93" i="1"/>
  <c r="BO94" i="1"/>
  <c r="BO95" i="1"/>
  <c r="BO96" i="1"/>
  <c r="BO97" i="1"/>
  <c r="BO99" i="1"/>
  <c r="BO100" i="1"/>
  <c r="BO102" i="1"/>
  <c r="BO103" i="1"/>
  <c r="BO104" i="1"/>
  <c r="BO105" i="1"/>
  <c r="BO106" i="1"/>
  <c r="BO107" i="1"/>
  <c r="BO108" i="1"/>
  <c r="BO109" i="1"/>
  <c r="BO110" i="1"/>
  <c r="BO111" i="1"/>
  <c r="BO112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1" i="1"/>
  <c r="BO132" i="1"/>
  <c r="BO133" i="1"/>
  <c r="BO134" i="1"/>
  <c r="BO135" i="1"/>
  <c r="BO136" i="1"/>
  <c r="BO138" i="1"/>
  <c r="BO139" i="1"/>
  <c r="BO140" i="1"/>
  <c r="BO141" i="1"/>
  <c r="BO143" i="1"/>
  <c r="BO144" i="1"/>
  <c r="BO145" i="1"/>
  <c r="BO146" i="1"/>
  <c r="BO147" i="1"/>
  <c r="BO148" i="1"/>
  <c r="BO150" i="1"/>
  <c r="BO151" i="1"/>
  <c r="BO152" i="1"/>
  <c r="BO154" i="1"/>
  <c r="BO155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176" i="1"/>
  <c r="BO177" i="1"/>
  <c r="BO178" i="1"/>
  <c r="BO179" i="1"/>
  <c r="BO180" i="1"/>
  <c r="BO181" i="1"/>
  <c r="BO182" i="1"/>
  <c r="BO183" i="1"/>
  <c r="BO184" i="1"/>
  <c r="BO185" i="1"/>
  <c r="BO186" i="1"/>
  <c r="BO187" i="1"/>
  <c r="BO188" i="1"/>
  <c r="BO189" i="1"/>
  <c r="BO190" i="1"/>
  <c r="BO191" i="1"/>
  <c r="BO192" i="1"/>
  <c r="BO193" i="1"/>
  <c r="BO194" i="1"/>
  <c r="BO195" i="1"/>
  <c r="BO196" i="1"/>
  <c r="BO197" i="1"/>
  <c r="BO198" i="1"/>
  <c r="BO199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1" i="1"/>
  <c r="BF22" i="1"/>
  <c r="BI23" i="1"/>
  <c r="BI24" i="1"/>
  <c r="BI26" i="1"/>
  <c r="BI27" i="1"/>
  <c r="BI28" i="1"/>
  <c r="BI29" i="1"/>
  <c r="BI30" i="1"/>
  <c r="BI31" i="1"/>
  <c r="BI32" i="1"/>
  <c r="BF33" i="1"/>
  <c r="BF34" i="1"/>
  <c r="BF35" i="1"/>
  <c r="BF36" i="1"/>
  <c r="BF37" i="1"/>
  <c r="BF38" i="1"/>
  <c r="BF39" i="1"/>
  <c r="BF40" i="1"/>
  <c r="BF41" i="1"/>
  <c r="BF80" i="1"/>
  <c r="BF81" i="1"/>
  <c r="BF82" i="1"/>
  <c r="BI85" i="1"/>
  <c r="BI86" i="1"/>
  <c r="BI87" i="1"/>
  <c r="BI88" i="1"/>
  <c r="BI89" i="1"/>
  <c r="BI90" i="1"/>
  <c r="BI91" i="1"/>
  <c r="BI92" i="1"/>
  <c r="BI93" i="1"/>
  <c r="BI94" i="1"/>
  <c r="BF95" i="1"/>
  <c r="BF97" i="1"/>
  <c r="BF99" i="1"/>
  <c r="BF100" i="1"/>
  <c r="BF102" i="1"/>
  <c r="BF103" i="1"/>
  <c r="BF104" i="1"/>
  <c r="BF108" i="1"/>
  <c r="BF109" i="1"/>
  <c r="BF110" i="1"/>
  <c r="BI111" i="1"/>
  <c r="BI112" i="1"/>
  <c r="BI114" i="1"/>
  <c r="BI115" i="1"/>
  <c r="BI116" i="1"/>
  <c r="BI117" i="1"/>
  <c r="BF118" i="1"/>
  <c r="BF119" i="1"/>
  <c r="BF120" i="1"/>
  <c r="BF129" i="1"/>
  <c r="BJ131" i="1"/>
  <c r="BJ132" i="1"/>
  <c r="BJ133" i="1"/>
  <c r="BJ134" i="1"/>
  <c r="BF135" i="1"/>
  <c r="BK136" i="1"/>
  <c r="BK138" i="1"/>
  <c r="BK139" i="1"/>
  <c r="BK140" i="1"/>
  <c r="BK141" i="1"/>
  <c r="BK143" i="1"/>
  <c r="BK144" i="1"/>
  <c r="BK145" i="1"/>
  <c r="BF146" i="1"/>
  <c r="BF147" i="1"/>
  <c r="BF148" i="1"/>
  <c r="BF150" i="1"/>
  <c r="BG151" i="1"/>
  <c r="BG152" i="1"/>
  <c r="BF153" i="1"/>
  <c r="BM154" i="1"/>
  <c r="BM155" i="1"/>
  <c r="BM157" i="1"/>
  <c r="BM158" i="1"/>
  <c r="BM159" i="1"/>
  <c r="BM160" i="1"/>
  <c r="BM161" i="1"/>
  <c r="BM162" i="1"/>
  <c r="BM163" i="1"/>
  <c r="BM164" i="1"/>
  <c r="BM165" i="1"/>
  <c r="BF166" i="1"/>
  <c r="BF167" i="1"/>
  <c r="BF168" i="1"/>
  <c r="BF169" i="1"/>
  <c r="BI170" i="1"/>
  <c r="BF171" i="1"/>
  <c r="BK172" i="1"/>
  <c r="BK173" i="1"/>
  <c r="BK174" i="1"/>
  <c r="BK175" i="1"/>
  <c r="BK176" i="1"/>
  <c r="BK177" i="1"/>
  <c r="BK178" i="1"/>
  <c r="BK179" i="1"/>
  <c r="BK180" i="1"/>
  <c r="BK181" i="1"/>
  <c r="BK182" i="1"/>
  <c r="BK183" i="1"/>
  <c r="BK184" i="1"/>
  <c r="BK185" i="1"/>
  <c r="BF186" i="1"/>
  <c r="BF187" i="1"/>
  <c r="BF188" i="1"/>
  <c r="BF189" i="1"/>
  <c r="BF190" i="1"/>
  <c r="BF191" i="1"/>
  <c r="BF192" i="1"/>
  <c r="BF194" i="1"/>
  <c r="BF195" i="1"/>
  <c r="BF196" i="1"/>
  <c r="BF197" i="1"/>
  <c r="BF198" i="1"/>
  <c r="BF199" i="1"/>
  <c r="BD23" i="1"/>
  <c r="BD28" i="1"/>
  <c r="BD32" i="1"/>
  <c r="AZ34" i="1"/>
  <c r="AZ35" i="1"/>
  <c r="AZ39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BD95" i="1"/>
  <c r="AZ96" i="1"/>
  <c r="AZ97" i="1"/>
  <c r="AZ99" i="1"/>
  <c r="AZ100" i="1"/>
  <c r="AZ102" i="1"/>
  <c r="AZ104" i="1"/>
  <c r="AZ105" i="1"/>
  <c r="AZ106" i="1"/>
  <c r="AZ107" i="1"/>
  <c r="AZ108" i="1"/>
  <c r="AZ109" i="1"/>
  <c r="BD110" i="1"/>
  <c r="BD111" i="1"/>
  <c r="BD112" i="1"/>
  <c r="BD114" i="1"/>
  <c r="BD115" i="1"/>
  <c r="BD116" i="1"/>
  <c r="BD117" i="1"/>
  <c r="BD118" i="1"/>
  <c r="BD119" i="1"/>
  <c r="AZ120" i="1"/>
  <c r="AZ121" i="1"/>
  <c r="AZ122" i="1"/>
  <c r="AZ123" i="1"/>
  <c r="AZ124" i="1"/>
  <c r="AZ125" i="1"/>
  <c r="AZ126" i="1"/>
  <c r="AZ127" i="1"/>
  <c r="AZ128" i="1"/>
  <c r="AZ131" i="1"/>
  <c r="AZ132" i="1"/>
  <c r="AZ133" i="1"/>
  <c r="AZ134" i="1"/>
  <c r="AZ135" i="1"/>
  <c r="AZ136" i="1"/>
  <c r="BE138" i="1"/>
  <c r="BE139" i="1"/>
  <c r="BE140" i="1"/>
  <c r="BD141" i="1"/>
  <c r="AZ143" i="1"/>
  <c r="AZ144" i="1"/>
  <c r="AZ145" i="1"/>
  <c r="AZ146" i="1"/>
  <c r="BE147" i="1"/>
  <c r="BE148" i="1"/>
  <c r="AZ150" i="1"/>
  <c r="AZ151" i="1"/>
  <c r="AZ152" i="1"/>
  <c r="AZ153" i="1"/>
  <c r="AZ154" i="1"/>
  <c r="AZ155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BE184" i="1"/>
  <c r="BE185" i="1"/>
  <c r="BE186" i="1"/>
  <c r="BD187" i="1"/>
  <c r="BD188" i="1"/>
  <c r="AZ189" i="1"/>
  <c r="AZ190" i="1"/>
  <c r="AZ191" i="1"/>
  <c r="AZ192" i="1"/>
  <c r="AZ193" i="1"/>
  <c r="AZ194" i="1"/>
  <c r="AZ195" i="1"/>
  <c r="AZ196" i="1"/>
  <c r="AZ197" i="1"/>
  <c r="BB198" i="1"/>
  <c r="AZ199" i="1"/>
  <c r="T204" i="12" l="1"/>
  <c r="AB204" i="12"/>
  <c r="AF204" i="12"/>
  <c r="R201" i="12"/>
  <c r="R202" i="12" s="1"/>
  <c r="CT204" i="12"/>
  <c r="N202" i="12"/>
  <c r="CG204" i="12"/>
  <c r="AN204" i="12"/>
  <c r="BZ204" i="12"/>
  <c r="CN204" i="12"/>
  <c r="BS202" i="12"/>
  <c r="BG204" i="12" s="1"/>
  <c r="CO205" i="8"/>
  <c r="N204" i="8"/>
  <c r="CO202" i="8"/>
  <c r="CN204" i="8" s="1"/>
  <c r="CK202" i="8"/>
  <c r="Y201" i="8"/>
  <c r="Y202" i="8" s="1"/>
  <c r="AA202" i="8"/>
  <c r="BF202" i="8"/>
  <c r="BW202" i="8"/>
  <c r="V202" i="8"/>
  <c r="CL202" i="8"/>
  <c r="AM202" i="8"/>
  <c r="BX202" i="8"/>
  <c r="AN202" i="8"/>
  <c r="W201" i="8"/>
  <c r="W202" i="8" s="1"/>
  <c r="BE202" i="8"/>
  <c r="BD202" i="8"/>
  <c r="CM201" i="8"/>
  <c r="CM202" i="8" s="1"/>
  <c r="BV202" i="8"/>
  <c r="U202" i="8"/>
  <c r="CF202" i="8"/>
  <c r="CE202" i="8"/>
  <c r="AU202" i="8"/>
  <c r="BO202" i="8"/>
  <c r="AF202" i="8"/>
  <c r="AW202" i="8"/>
  <c r="BN202" i="8"/>
  <c r="AV202" i="8"/>
  <c r="AD202" i="8"/>
  <c r="CT202" i="8"/>
  <c r="BM202" i="8"/>
  <c r="AC202" i="8"/>
  <c r="CG200" i="1"/>
  <c r="CG201" i="1" s="1"/>
  <c r="CG202" i="1" s="1"/>
  <c r="CF200" i="1"/>
  <c r="CF201" i="1" s="1"/>
  <c r="CF202" i="1" s="1"/>
  <c r="CC200" i="1"/>
  <c r="CC201" i="1" s="1"/>
  <c r="CC202" i="1" s="1"/>
  <c r="CE200" i="1"/>
  <c r="CE201" i="1" s="1"/>
  <c r="CA201" i="1"/>
  <c r="CA202" i="1" s="1"/>
  <c r="CN202" i="1"/>
  <c r="CD201" i="1"/>
  <c r="CD202" i="1" s="1"/>
  <c r="CL202" i="1"/>
  <c r="CJ202" i="1"/>
  <c r="CI202" i="1"/>
  <c r="CH202" i="1"/>
  <c r="AZ200" i="1"/>
  <c r="N204" i="12" l="1"/>
  <c r="AF204" i="8"/>
  <c r="T204" i="8"/>
  <c r="AB204" i="8"/>
  <c r="BZ204" i="8"/>
  <c r="AN204" i="8"/>
  <c r="BG204" i="8"/>
  <c r="CG204" i="8"/>
  <c r="CE202" i="1"/>
  <c r="O3" i="6" a="1"/>
  <c r="O3" i="6" s="1"/>
  <c r="M3" i="6" l="1" a="1"/>
  <c r="M3" i="6" s="1"/>
  <c r="J45" i="5" l="1"/>
  <c r="K45" i="5"/>
  <c r="L45" i="5"/>
  <c r="N7" i="3"/>
  <c r="O7" i="3"/>
  <c r="M7" i="3"/>
  <c r="J45" i="2"/>
  <c r="K45" i="2"/>
  <c r="I4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<sst xmlns="http://schemas.openxmlformats.org/spreadsheetml/2006/main" count="15877" uniqueCount="4246">
  <si>
    <t>PLEASE DOWNLOAD A COPY OF THE SHIPPING KEY TO WORK ON - don't edit this document</t>
  </si>
  <si>
    <t>Item 1</t>
  </si>
  <si>
    <t>Item 2</t>
  </si>
  <si>
    <t>Item 3</t>
  </si>
  <si>
    <t>Region</t>
  </si>
  <si>
    <t>CC</t>
  </si>
  <si>
    <t>Store #</t>
  </si>
  <si>
    <t>Type</t>
  </si>
  <si>
    <t>Location Name</t>
  </si>
  <si>
    <t>General Manager</t>
  </si>
  <si>
    <t>Address</t>
  </si>
  <si>
    <t>City</t>
  </si>
  <si>
    <t>State</t>
  </si>
  <si>
    <t>Zip Code</t>
  </si>
  <si>
    <t>Phone Number</t>
  </si>
  <si>
    <t>Shipped</t>
  </si>
  <si>
    <t>Inventory</t>
  </si>
  <si>
    <t>Total</t>
  </si>
  <si>
    <t xml:space="preserve">Domo card to get data: </t>
  </si>
  <si>
    <t>MKTG Shipping Key - Preferred Regional Ship-To Addresses</t>
  </si>
  <si>
    <t>Shipping Key - Preferred Regional Shipping Addresses</t>
  </si>
  <si>
    <t>Source dataset:</t>
  </si>
  <si>
    <t>PROD_LocationDirectory_MoreData_VW</t>
  </si>
  <si>
    <t>Region Name</t>
  </si>
  <si>
    <t>CompanyCode</t>
  </si>
  <si>
    <t>Street Address</t>
  </si>
  <si>
    <t>Phone</t>
  </si>
  <si>
    <t>TX-Houston</t>
  </si>
  <si>
    <t>0002</t>
  </si>
  <si>
    <t>Gessner</t>
  </si>
  <si>
    <t>1038 GESSNER DRIVE</t>
  </si>
  <si>
    <t>HOUSTON</t>
  </si>
  <si>
    <t>TX</t>
  </si>
  <si>
    <t>(713) 461-0541</t>
  </si>
  <si>
    <t>NM-Farmington</t>
  </si>
  <si>
    <t>0031</t>
  </si>
  <si>
    <t>E 20th</t>
  </si>
  <si>
    <t>2609 E 20TH STREET</t>
  </si>
  <si>
    <t>FARMINGTON</t>
  </si>
  <si>
    <t>NM</t>
  </si>
  <si>
    <t>(505) 325-1347</t>
  </si>
  <si>
    <t>AL-Huntsville</t>
  </si>
  <si>
    <t>0042</t>
  </si>
  <si>
    <t>Limestone</t>
  </si>
  <si>
    <t>1321 US HIGHWAY 72 E</t>
  </si>
  <si>
    <t>ATHENS</t>
  </si>
  <si>
    <t>AL</t>
  </si>
  <si>
    <t>35611-4405</t>
  </si>
  <si>
    <t>(256) 233-2290</t>
  </si>
  <si>
    <t>FL-Orlando</t>
  </si>
  <si>
    <t>0227</t>
  </si>
  <si>
    <t>Sanford Wash</t>
  </si>
  <si>
    <t>1851 RINEHART RD</t>
  </si>
  <si>
    <t>SANFORD</t>
  </si>
  <si>
    <t>FL</t>
  </si>
  <si>
    <t>(321) 333-4296</t>
  </si>
  <si>
    <t>AL-Birmingham</t>
  </si>
  <si>
    <t>0242</t>
  </si>
  <si>
    <t>Vestavia Wash</t>
  </si>
  <si>
    <t>611 MONTGOMERY HWY</t>
  </si>
  <si>
    <t>VESTAVIA HILLS</t>
  </si>
  <si>
    <t>(205) 979-0968</t>
  </si>
  <si>
    <t>FL-Tampa</t>
  </si>
  <si>
    <t>0272</t>
  </si>
  <si>
    <t>Adamo</t>
  </si>
  <si>
    <t>9995 E ADAMO DR</t>
  </si>
  <si>
    <t>BRANDON</t>
  </si>
  <si>
    <t>(813) 627-8913</t>
  </si>
  <si>
    <t>FL-Lakeland</t>
  </si>
  <si>
    <t>0275</t>
  </si>
  <si>
    <t>Miriam</t>
  </si>
  <si>
    <t>5031 S FLORIDA AVE</t>
  </si>
  <si>
    <t>LAKELAND</t>
  </si>
  <si>
    <t>33813-2511</t>
  </si>
  <si>
    <t>(863) 644-1456</t>
  </si>
  <si>
    <t>TX-Abilene</t>
  </si>
  <si>
    <t>0293</t>
  </si>
  <si>
    <t>S 27th St</t>
  </si>
  <si>
    <t>2350 SOUTH 27TH ST</t>
  </si>
  <si>
    <t>ABILENE</t>
  </si>
  <si>
    <t>79605-6132</t>
  </si>
  <si>
    <t>(325) 690-0077</t>
  </si>
  <si>
    <t>TX-Lubbock</t>
  </si>
  <si>
    <t>0299</t>
  </si>
  <si>
    <t>Quaker</t>
  </si>
  <si>
    <t>7027 QUAKER AVE</t>
  </si>
  <si>
    <t>LUBBOCK</t>
  </si>
  <si>
    <t>(806) 791-2222</t>
  </si>
  <si>
    <t>TX-Austin</t>
  </si>
  <si>
    <t>0306</t>
  </si>
  <si>
    <t>Round Rock</t>
  </si>
  <si>
    <t>2720 S INTERSTATE 35</t>
  </si>
  <si>
    <t>ROUND ROCK</t>
  </si>
  <si>
    <t>(512) 218-4000</t>
  </si>
  <si>
    <t>TX-Killeen/Mesquite</t>
  </si>
  <si>
    <t>0314</t>
  </si>
  <si>
    <t>Temple</t>
  </si>
  <si>
    <t>5284 W ADAMS AVE</t>
  </si>
  <si>
    <t>TEMPLE</t>
  </si>
  <si>
    <t>(254) 774-9883</t>
  </si>
  <si>
    <t>AZ-Tucson</t>
  </si>
  <si>
    <t>0328</t>
  </si>
  <si>
    <t>Euclid</t>
  </si>
  <si>
    <t>730 E BROADWAY BLVD</t>
  </si>
  <si>
    <t>TUCSON</t>
  </si>
  <si>
    <t>AZ</t>
  </si>
  <si>
    <t>(520) 623-2923</t>
  </si>
  <si>
    <t>CO-Colorado Springs/Pueblo/Denver</t>
  </si>
  <si>
    <t>0346</t>
  </si>
  <si>
    <t>Glenroyal</t>
  </si>
  <si>
    <t>1711 S PUEBLO BLVD</t>
  </si>
  <si>
    <t>PUEBLO</t>
  </si>
  <si>
    <t>CO</t>
  </si>
  <si>
    <t>(520) 367-3192</t>
  </si>
  <si>
    <t>TX-El Paso</t>
  </si>
  <si>
    <t>0361</t>
  </si>
  <si>
    <t>Vista Del Sol</t>
  </si>
  <si>
    <t>11184 VISTA DEL SOL</t>
  </si>
  <si>
    <t>EL PASO</t>
  </si>
  <si>
    <t>(915) 629-0622</t>
  </si>
  <si>
    <t>NM-Albuquerque</t>
  </si>
  <si>
    <t>0396</t>
  </si>
  <si>
    <t>Highway 528</t>
  </si>
  <si>
    <t>3625 HWY 528 N W</t>
  </si>
  <si>
    <t>ALBUQUERQUE</t>
  </si>
  <si>
    <t>(505) 890-1064</t>
  </si>
  <si>
    <t>WA-Spokane</t>
  </si>
  <si>
    <t>0441</t>
  </si>
  <si>
    <t>Five Mile</t>
  </si>
  <si>
    <t>1615 W FIVE MILE ROAD</t>
  </si>
  <si>
    <t>SPOKANE</t>
  </si>
  <si>
    <t>WA</t>
  </si>
  <si>
    <t>(509) 570-0440</t>
  </si>
  <si>
    <t>MI-Grand Rapids</t>
  </si>
  <si>
    <t>0461</t>
  </si>
  <si>
    <t>Wyoming</t>
  </si>
  <si>
    <t>1259 28TH ST SW</t>
  </si>
  <si>
    <t>WYOMING</t>
  </si>
  <si>
    <t>MI</t>
  </si>
  <si>
    <t>(616) 538-6520</t>
  </si>
  <si>
    <t>WI-Madison/IL</t>
  </si>
  <si>
    <t>0480</t>
  </si>
  <si>
    <t>Madison Wi Warehouse</t>
  </si>
  <si>
    <t>1039 E WASHINGTON AVE</t>
  </si>
  <si>
    <t>MADISON</t>
  </si>
  <si>
    <t>WI</t>
  </si>
  <si>
    <t>(111) 111-1111</t>
  </si>
  <si>
    <t>WI-Milwaukee</t>
  </si>
  <si>
    <t>0489</t>
  </si>
  <si>
    <t>Greenfield</t>
  </si>
  <si>
    <t>10685 W LAYTON AVE</t>
  </si>
  <si>
    <t>MILWAUKEE</t>
  </si>
  <si>
    <t>53228-3248</t>
  </si>
  <si>
    <t>(414) 269-2425</t>
  </si>
  <si>
    <t>ID-Boise</t>
  </si>
  <si>
    <t>0505</t>
  </si>
  <si>
    <t>Front Street</t>
  </si>
  <si>
    <t>1300 W FRONT STREET</t>
  </si>
  <si>
    <t>BOISE</t>
  </si>
  <si>
    <t>ID</t>
  </si>
  <si>
    <t>(208) 343-5298</t>
  </si>
  <si>
    <t>UT-Salt Lake City</t>
  </si>
  <si>
    <t>0530</t>
  </si>
  <si>
    <t>Draper</t>
  </si>
  <si>
    <t>387 E 12300 S</t>
  </si>
  <si>
    <t>DRAPER</t>
  </si>
  <si>
    <t>UT</t>
  </si>
  <si>
    <t>(801) 495-3040</t>
  </si>
  <si>
    <t>WA-Tri-Cities</t>
  </si>
  <si>
    <t>0580</t>
  </si>
  <si>
    <t>Fruitland</t>
  </si>
  <si>
    <t>520 W COLUMBIA DRIVE</t>
  </si>
  <si>
    <t>KENNEWICK</t>
  </si>
  <si>
    <t>(509) 265-8011</t>
  </si>
  <si>
    <t>MN-Minneapolis/Rochester</t>
  </si>
  <si>
    <t>0600</t>
  </si>
  <si>
    <t>Minnesota Warehouse</t>
  </si>
  <si>
    <t>3650 ANNAPOLIS LANE STE 190</t>
  </si>
  <si>
    <t>PLYMOUTH</t>
  </si>
  <si>
    <t>MN</t>
  </si>
  <si>
    <t>(612) 209-4803</t>
  </si>
  <si>
    <t>IA-Cedar Rapids/Davenport</t>
  </si>
  <si>
    <t>0728</t>
  </si>
  <si>
    <t>Williams Blvd</t>
  </si>
  <si>
    <t>3405 WILLIAMS BLVD SW</t>
  </si>
  <si>
    <t>CEDAR RAPIDS</t>
  </si>
  <si>
    <t>IA</t>
  </si>
  <si>
    <t>(319) 284-9374</t>
  </si>
  <si>
    <t>IA-Des Moines</t>
  </si>
  <si>
    <t>0730</t>
  </si>
  <si>
    <t>14th Street</t>
  </si>
  <si>
    <t>3400 SE 14TH ST</t>
  </si>
  <si>
    <t>DES MOINES</t>
  </si>
  <si>
    <t>(515) 974-5062</t>
  </si>
  <si>
    <t>MO-Springfield</t>
  </si>
  <si>
    <t>0752</t>
  </si>
  <si>
    <t>Sunshine</t>
  </si>
  <si>
    <t>2323 E SUNSHINE ST</t>
  </si>
  <si>
    <t>SPRINGFIELD</t>
  </si>
  <si>
    <t>MO</t>
  </si>
  <si>
    <t>(417) 883-4999</t>
  </si>
  <si>
    <t>TN-Nashville/Clarksville</t>
  </si>
  <si>
    <t>0843</t>
  </si>
  <si>
    <t>Northside</t>
  </si>
  <si>
    <t>2239 GALLATIN PIKE N</t>
  </si>
  <si>
    <t>TN</t>
  </si>
  <si>
    <t>37115-2018</t>
  </si>
  <si>
    <t>(615) 859-6700</t>
  </si>
  <si>
    <t>MS-Jackson</t>
  </si>
  <si>
    <t>0865</t>
  </si>
  <si>
    <t>Lakeland</t>
  </si>
  <si>
    <t>3510 LAKELAND DR</t>
  </si>
  <si>
    <t>FLOWOOD</t>
  </si>
  <si>
    <t>MS</t>
  </si>
  <si>
    <t>(769) 230-4099</t>
  </si>
  <si>
    <t>CA-Modesto</t>
  </si>
  <si>
    <t>0924</t>
  </si>
  <si>
    <t>South Mchenry</t>
  </si>
  <si>
    <t>448 MCHENRY AVENUE</t>
  </si>
  <si>
    <t>MODESTO</t>
  </si>
  <si>
    <t>CA</t>
  </si>
  <si>
    <t>(209) 522-9274</t>
  </si>
  <si>
    <t>CA-Bakersfield</t>
  </si>
  <si>
    <t>Panama</t>
  </si>
  <si>
    <t>3201 PANAMA LANE</t>
  </si>
  <si>
    <t>BAKERSFIELD</t>
  </si>
  <si>
    <t>(661) 831-7857</t>
  </si>
  <si>
    <t>CA-Los Angeles</t>
  </si>
  <si>
    <t>Varsity</t>
  </si>
  <si>
    <t>4212 N VARSITY AVE</t>
  </si>
  <si>
    <t>SAN BERNARDINO</t>
  </si>
  <si>
    <t>(909) 277-6601</t>
  </si>
  <si>
    <t>CA-San Joaquin Valley</t>
  </si>
  <si>
    <t>Mooney Blvd</t>
  </si>
  <si>
    <t>1920 S MOONEY BLVD</t>
  </si>
  <si>
    <t>VISALIA</t>
  </si>
  <si>
    <t>(559) 372-0454</t>
  </si>
  <si>
    <t>GA-Atlanta</t>
  </si>
  <si>
    <t>Pleasant Hill Rd</t>
  </si>
  <si>
    <t>2350 PLEASANT HILL RD</t>
  </si>
  <si>
    <t>DULUTH</t>
  </si>
  <si>
    <t>GA</t>
  </si>
  <si>
    <t>(678) 473-4744</t>
  </si>
  <si>
    <t>NM-Las Cruces</t>
  </si>
  <si>
    <t>Rinconada</t>
  </si>
  <si>
    <t>3501 NORTHRISE DR</t>
  </si>
  <si>
    <t>LAS CRUCES</t>
  </si>
  <si>
    <t>(575) 233-7109</t>
  </si>
  <si>
    <t>MI-Saginaw</t>
  </si>
  <si>
    <t>Bay Road</t>
  </si>
  <si>
    <t>3475 BAY ROAD</t>
  </si>
  <si>
    <t>SAGINAW</t>
  </si>
  <si>
    <t>(989) 497-0000</t>
  </si>
  <si>
    <t>PA-Lancaster/Reading</t>
  </si>
  <si>
    <t>Lincoln Hwy</t>
  </si>
  <si>
    <t>2175 LINCOLN HWY</t>
  </si>
  <si>
    <t>LANCASTER</t>
  </si>
  <si>
    <t>PA</t>
  </si>
  <si>
    <t>(717) 553-0443</t>
  </si>
  <si>
    <t>FL-Cape Coral</t>
  </si>
  <si>
    <t>Arborwood</t>
  </si>
  <si>
    <t>13601 GOLDENWOOD DR</t>
  </si>
  <si>
    <t>FORT MYERS</t>
  </si>
  <si>
    <t>(239) 241-8294</t>
  </si>
  <si>
    <t>FL-Southeast Florida</t>
  </si>
  <si>
    <t>Hypoluxo</t>
  </si>
  <si>
    <t>1833 HYPOLUXO RD</t>
  </si>
  <si>
    <t>LANTANA</t>
  </si>
  <si>
    <t>(561) 407-0035</t>
  </si>
  <si>
    <t>CA-Victor Valley</t>
  </si>
  <si>
    <t>Mcart</t>
  </si>
  <si>
    <t>15200 PALMDALE ROAD</t>
  </si>
  <si>
    <t>VICTORVILLE</t>
  </si>
  <si>
    <t>(760) 821-0091</t>
  </si>
  <si>
    <t>MKTG Shipping Key - Warehouses</t>
  </si>
  <si>
    <t>Shipping Key - Warehouses</t>
  </si>
  <si>
    <t>0040</t>
  </si>
  <si>
    <t>Hunstville Warehouse</t>
  </si>
  <si>
    <t>20518 NUCLEAR PLANT RD</t>
  </si>
  <si>
    <t>TANNER</t>
  </si>
  <si>
    <t>0099</t>
  </si>
  <si>
    <t>Houston Regional Admin</t>
  </si>
  <si>
    <t>1034 GESSNER DR</t>
  </si>
  <si>
    <t>(713) 467-1400</t>
  </si>
  <si>
    <t>0200</t>
  </si>
  <si>
    <t>Orlando Warehouse</t>
  </si>
  <si>
    <t>0220</t>
  </si>
  <si>
    <t>Tampa Warehouse</t>
  </si>
  <si>
    <t>4582 EAGLE FALLS PLACE</t>
  </si>
  <si>
    <t>TAMPA</t>
  </si>
  <si>
    <t>0240</t>
  </si>
  <si>
    <t>Alabama Warehouse</t>
  </si>
  <si>
    <t>4621 HWY 280 SOUTH</t>
  </si>
  <si>
    <t>BIRMINGHAM</t>
  </si>
  <si>
    <t>(205) 991-7335</t>
  </si>
  <si>
    <t>0250</t>
  </si>
  <si>
    <t>Georgia Warehouse</t>
  </si>
  <si>
    <t>4155 SHACKLEFORD ROAD SUITE 240</t>
  </si>
  <si>
    <t>NORCROSS</t>
  </si>
  <si>
    <t>(407) 347-7997</t>
  </si>
  <si>
    <t>0289</t>
  </si>
  <si>
    <t>Abilene Warehouse</t>
  </si>
  <si>
    <t>2303 IMPACT DR</t>
  </si>
  <si>
    <t>0290</t>
  </si>
  <si>
    <t>Lubbock Warehouse</t>
  </si>
  <si>
    <t>0300</t>
  </si>
  <si>
    <t>Austin Warehouse</t>
  </si>
  <si>
    <t>8421 RESEARCH BLVD UNIT A</t>
  </si>
  <si>
    <t>AUSTIN</t>
  </si>
  <si>
    <t>(512) 248-1900</t>
  </si>
  <si>
    <t>0310</t>
  </si>
  <si>
    <t>Killeen Warehouse</t>
  </si>
  <si>
    <t>1701 E VETERANS MEMORIAL BLVD</t>
  </si>
  <si>
    <t>KILLEEN</t>
  </si>
  <si>
    <t>(254) 554-3124</t>
  </si>
  <si>
    <t>0320</t>
  </si>
  <si>
    <t>Tucson Warehouse</t>
  </si>
  <si>
    <t>2301 N FORBES BLVD STE 105</t>
  </si>
  <si>
    <t>85745-1431</t>
  </si>
  <si>
    <t>(520) 615-4000</t>
  </si>
  <si>
    <t>0340</t>
  </si>
  <si>
    <t>Colorado Warehouse</t>
  </si>
  <si>
    <t>0350</t>
  </si>
  <si>
    <t>El Paso Warehouse</t>
  </si>
  <si>
    <t>6800 GATEWAY BOULEVARD EAST BUILDING 5</t>
  </si>
  <si>
    <t>(915) 781-4359</t>
  </si>
  <si>
    <t>0390</t>
  </si>
  <si>
    <t>New Mexico Warehouse</t>
  </si>
  <si>
    <t>4320 PASEO DEL NORTE NE SUITE B</t>
  </si>
  <si>
    <t>(505) 322-2937</t>
  </si>
  <si>
    <t>0450</t>
  </si>
  <si>
    <t>Tri-Cities Regional Warehouse</t>
  </si>
  <si>
    <t>458 STEVENS DR</t>
  </si>
  <si>
    <t>RICHLAND</t>
  </si>
  <si>
    <t>0460</t>
  </si>
  <si>
    <t>Grand Rapids Michigan Warehouse</t>
  </si>
  <si>
    <t>2719 HAGUE AVE SW</t>
  </si>
  <si>
    <t>49519-2332</t>
  </si>
  <si>
    <t>(616) 538-6715</t>
  </si>
  <si>
    <t>IL-Rockford</t>
  </si>
  <si>
    <t>0490</t>
  </si>
  <si>
    <t>Illinois  Warehouse</t>
  </si>
  <si>
    <t>MISTER CAR WASH #490</t>
  </si>
  <si>
    <t>ROCKFORD</t>
  </si>
  <si>
    <t>IL</t>
  </si>
  <si>
    <t>0499</t>
  </si>
  <si>
    <t>Milwaukee Wi Warehouse</t>
  </si>
  <si>
    <t>GREENFIELD</t>
  </si>
  <si>
    <t>0500</t>
  </si>
  <si>
    <t>Warehouse Boise</t>
  </si>
  <si>
    <t>377 N FIVE MILE</t>
  </si>
  <si>
    <t>(208) 322-5950</t>
  </si>
  <si>
    <t>0510</t>
  </si>
  <si>
    <t>Utah Warehouse</t>
  </si>
  <si>
    <t>2020 W 2200 S</t>
  </si>
  <si>
    <t>WEST VALLEY CITY</t>
  </si>
  <si>
    <t>84119-1324</t>
  </si>
  <si>
    <t>0570</t>
  </si>
  <si>
    <t>Spokane Warehouse</t>
  </si>
  <si>
    <t>17207 E DALTON AVE</t>
  </si>
  <si>
    <t>SPOKANE VALLEY</t>
  </si>
  <si>
    <t>MD-Baltimore</t>
  </si>
  <si>
    <t>0650</t>
  </si>
  <si>
    <t>Maryland Corporate Cost Center</t>
  </si>
  <si>
    <t>2473 SOLOMONS ISLAND RD</t>
  </si>
  <si>
    <t>EDGEWATER</t>
  </si>
  <si>
    <t>MD</t>
  </si>
  <si>
    <t>0685</t>
  </si>
  <si>
    <t>Pennsylvania Warehouse</t>
  </si>
  <si>
    <t>1897 COMMERCE PARK EAST</t>
  </si>
  <si>
    <t>0700</t>
  </si>
  <si>
    <t>Iowa Warehouse</t>
  </si>
  <si>
    <t>4705 NW 59TH AVE #102</t>
  </si>
  <si>
    <t>JOHNSTON</t>
  </si>
  <si>
    <t>(520) 622-2624</t>
  </si>
  <si>
    <t>0710</t>
  </si>
  <si>
    <t>Cedar Rapids Warehouse</t>
  </si>
  <si>
    <t>3321 J STREET</t>
  </si>
  <si>
    <t>0750</t>
  </si>
  <si>
    <t>Springfield Warehouse</t>
  </si>
  <si>
    <t>2325 E BENNETT SUITE A</t>
  </si>
  <si>
    <t>0830</t>
  </si>
  <si>
    <t>Tennessee Warehouse</t>
  </si>
  <si>
    <t>5211 LINBAR DR SUITE 515</t>
  </si>
  <si>
    <t>NASHVILLE</t>
  </si>
  <si>
    <t>0860</t>
  </si>
  <si>
    <t>Jackson Ms Warehouse</t>
  </si>
  <si>
    <t>185 COUNTRY PLACE PARKWAY SUITE 780</t>
  </si>
  <si>
    <t>PEARL</t>
  </si>
  <si>
    <t>0900</t>
  </si>
  <si>
    <t>Modesto Warehouse</t>
  </si>
  <si>
    <t>701 15TH ST</t>
  </si>
  <si>
    <t>Bakersfield Ca Warehouse</t>
  </si>
  <si>
    <t>8501 PACHECO RD</t>
  </si>
  <si>
    <t>93311-8602</t>
  </si>
  <si>
    <t>(661) 837-9472</t>
  </si>
  <si>
    <t>Tulare County Regional Admin</t>
  </si>
  <si>
    <t>1620 HILLMAN ST</t>
  </si>
  <si>
    <t>TULARE</t>
  </si>
  <si>
    <t>Lakeland Regional Admin</t>
  </si>
  <si>
    <t>Saginaw Regional Admin</t>
  </si>
  <si>
    <t>3995 FASHION SQUARE BLVD SUITE 7</t>
  </si>
  <si>
    <t>(989) 439-5594</t>
  </si>
  <si>
    <t>Cape Coral Regional Admin</t>
  </si>
  <si>
    <t>10105 AMBERWOOD RD ST3-4</t>
  </si>
  <si>
    <t>South East Florida Regional Admin</t>
  </si>
  <si>
    <t>MISTER CAR WASH #1850</t>
  </si>
  <si>
    <t>PORT SAINT LUCIE</t>
  </si>
  <si>
    <t>Victor Valley Regional Admin</t>
  </si>
  <si>
    <t>MISTER CAR WASH #2300</t>
  </si>
  <si>
    <t>Los Angeles Regional Admin</t>
  </si>
  <si>
    <t>7310 ADAMS ST UNIT A</t>
  </si>
  <si>
    <t>PARAMOUNT</t>
  </si>
  <si>
    <t>MKTG Shipping Key - Upcoming New Builds (Under Construction)</t>
  </si>
  <si>
    <t>Shipping Key - Upcoming New Builds</t>
  </si>
  <si>
    <t>Status</t>
  </si>
  <si>
    <t>Express</t>
  </si>
  <si>
    <t>Under Construction</t>
  </si>
  <si>
    <t>Justice</t>
  </si>
  <si>
    <t>12253 MONTANA AVE</t>
  </si>
  <si>
    <t>MKTG Shipping Key - Open Stores</t>
  </si>
  <si>
    <t>StoreNumber</t>
  </si>
  <si>
    <t>StoreType</t>
  </si>
  <si>
    <t>StoreStatus</t>
  </si>
  <si>
    <t>StoreName</t>
  </si>
  <si>
    <t>GeneralManager</t>
  </si>
  <si>
    <t>StreetAddress</t>
  </si>
  <si>
    <t>PostalCode</t>
  </si>
  <si>
    <t>BusinessPhone</t>
  </si>
  <si>
    <t>0241</t>
  </si>
  <si>
    <t>Interior Clean</t>
  </si>
  <si>
    <t>Operating</t>
  </si>
  <si>
    <t>Highway 280 Cw</t>
  </si>
  <si>
    <t>Ken Duke</t>
  </si>
  <si>
    <t>0041</t>
  </si>
  <si>
    <t>Hartselle</t>
  </si>
  <si>
    <t>Stevie Wagner</t>
  </si>
  <si>
    <t>1206 HIGHWAY 31 NW</t>
  </si>
  <si>
    <t>HARTSELLE</t>
  </si>
  <si>
    <t>35640-4421</t>
  </si>
  <si>
    <t>(256) 773-7737</t>
  </si>
  <si>
    <t>Jamie Garrie</t>
  </si>
  <si>
    <t>0043</t>
  </si>
  <si>
    <t>Madison</t>
  </si>
  <si>
    <t>5509 PROMENADE POINT PKWY</t>
  </si>
  <si>
    <t>35758-6701</t>
  </si>
  <si>
    <t>(256) 895-2693</t>
  </si>
  <si>
    <t>0044</t>
  </si>
  <si>
    <t>Setter</t>
  </si>
  <si>
    <t>Christian Rider</t>
  </si>
  <si>
    <t>627 BELTLINE RD SW</t>
  </si>
  <si>
    <t>DECATUR</t>
  </si>
  <si>
    <t>(256) 867-0108</t>
  </si>
  <si>
    <t>0045</t>
  </si>
  <si>
    <t>9th Street</t>
  </si>
  <si>
    <t>2240 BELTLINE RD SW</t>
  </si>
  <si>
    <t>35601-7001</t>
  </si>
  <si>
    <t>(256) 822-2939</t>
  </si>
  <si>
    <t>0046</t>
  </si>
  <si>
    <t>Bassett Ave</t>
  </si>
  <si>
    <t>Josh Lamey</t>
  </si>
  <si>
    <t>721 14TH ST SE</t>
  </si>
  <si>
    <t>35601-5911</t>
  </si>
  <si>
    <t>(256) 822-2029</t>
  </si>
  <si>
    <t>0047</t>
  </si>
  <si>
    <t>Grace</t>
  </si>
  <si>
    <t>Justin Williams</t>
  </si>
  <si>
    <t>403 US HIGHWAY 72 W</t>
  </si>
  <si>
    <t>35611-4207</t>
  </si>
  <si>
    <t>(256) 998-5312</t>
  </si>
  <si>
    <t>0051</t>
  </si>
  <si>
    <t>Azalea</t>
  </si>
  <si>
    <t>Colby Gray</t>
  </si>
  <si>
    <t>271 AZALEA DR</t>
  </si>
  <si>
    <t>FLORENCE</t>
  </si>
  <si>
    <t>35630-1733</t>
  </si>
  <si>
    <t>(256) 766-2726</t>
  </si>
  <si>
    <t>0052</t>
  </si>
  <si>
    <t>Muscle Shoals</t>
  </si>
  <si>
    <t>Olivia Thomsen</t>
  </si>
  <si>
    <t>702 AVALON AVE</t>
  </si>
  <si>
    <t>MUSCLE SHOALS</t>
  </si>
  <si>
    <t>35661-2304</t>
  </si>
  <si>
    <t>(256) 389-3890</t>
  </si>
  <si>
    <t>0053</t>
  </si>
  <si>
    <t>Cloverdale</t>
  </si>
  <si>
    <t>Katherine Huddleston</t>
  </si>
  <si>
    <t>2914 CLOVERDALE RD</t>
  </si>
  <si>
    <t>(256) 712-0183</t>
  </si>
  <si>
    <t>Sahuarita</t>
  </si>
  <si>
    <t>Santana Alvarez</t>
  </si>
  <si>
    <t>16250 S RANCHO SAHUARITA BLVD</t>
  </si>
  <si>
    <t>SAHUARITA</t>
  </si>
  <si>
    <t>(520) 276-2690</t>
  </si>
  <si>
    <t>Thornydale</t>
  </si>
  <si>
    <t>Gilberto Vazquez Martinez</t>
  </si>
  <si>
    <t>3870 W CORTARO FARMS RD</t>
  </si>
  <si>
    <t>(520) 338-8676</t>
  </si>
  <si>
    <t>Houghton</t>
  </si>
  <si>
    <t>Justin Awe</t>
  </si>
  <si>
    <t>7471 S HOUGHTON RD</t>
  </si>
  <si>
    <t>(520) 540-0288</t>
  </si>
  <si>
    <t>Tangerine</t>
  </si>
  <si>
    <t>Natalie Vazquez Martinez</t>
  </si>
  <si>
    <t>11897 N TANGELO PARK PLACE</t>
  </si>
  <si>
    <t>(520) 540-0273</t>
  </si>
  <si>
    <t>Pandora Ave</t>
  </si>
  <si>
    <t>Elias Quiroz</t>
  </si>
  <si>
    <t>3820 S PANDORA AVE</t>
  </si>
  <si>
    <t>(520) 600-7709</t>
  </si>
  <si>
    <t>Craycroft</t>
  </si>
  <si>
    <t>Chandrani Das</t>
  </si>
  <si>
    <t>5515 E GRANT RD</t>
  </si>
  <si>
    <t>(520) 497-1922</t>
  </si>
  <si>
    <t>Twin Peaks</t>
  </si>
  <si>
    <t>Vanna Valdez</t>
  </si>
  <si>
    <t>6520 W MARANA CENTER BL</t>
  </si>
  <si>
    <t>(520) 335-8707</t>
  </si>
  <si>
    <t>Tucson Mall</t>
  </si>
  <si>
    <t>Adrian Plaza</t>
  </si>
  <si>
    <t>4646 N ORACLE</t>
  </si>
  <si>
    <t>(520) 485-2620</t>
  </si>
  <si>
    <t>Cardinal</t>
  </si>
  <si>
    <t>Martin Soto</t>
  </si>
  <si>
    <t>2850 W VALENCIA ROAD</t>
  </si>
  <si>
    <t>(520) 497-1992</t>
  </si>
  <si>
    <t>0321</t>
  </si>
  <si>
    <t>Interior Clean - Flex</t>
  </si>
  <si>
    <t>Tanque Verde</t>
  </si>
  <si>
    <t>Angel Plaza</t>
  </si>
  <si>
    <t>6345 E TANQUE VERDE RD</t>
  </si>
  <si>
    <t>(520) 886-9573</t>
  </si>
  <si>
    <t>0322</t>
  </si>
  <si>
    <t>Oro Valley</t>
  </si>
  <si>
    <t>Nsengiyumva Ndayambaje</t>
  </si>
  <si>
    <t>8175 N ORACLE RD</t>
  </si>
  <si>
    <t>(520) 326-1755</t>
  </si>
  <si>
    <t>0324</t>
  </si>
  <si>
    <t>Cortaro</t>
  </si>
  <si>
    <t>8215 N COURTNEY PAGE WAY</t>
  </si>
  <si>
    <t>(520) 682-4312</t>
  </si>
  <si>
    <t>0325</t>
  </si>
  <si>
    <t>North Oracle</t>
  </si>
  <si>
    <t>4941 N ORACLE RD</t>
  </si>
  <si>
    <t>(520) 888-6858</t>
  </si>
  <si>
    <t>0326</t>
  </si>
  <si>
    <t>Swan</t>
  </si>
  <si>
    <t>4600 E BROADWAY BLVD</t>
  </si>
  <si>
    <t>85711-3512</t>
  </si>
  <si>
    <t>(520) 428-0256</t>
  </si>
  <si>
    <t>0327</t>
  </si>
  <si>
    <t>South Kolb</t>
  </si>
  <si>
    <t>Evelyn Conger</t>
  </si>
  <si>
    <t>2409 S KOLB RD</t>
  </si>
  <si>
    <t>(520) 721-9290</t>
  </si>
  <si>
    <t>Stefanie Osuna</t>
  </si>
  <si>
    <t>0329</t>
  </si>
  <si>
    <t>Speedway</t>
  </si>
  <si>
    <t>Sierrah Bainter</t>
  </si>
  <si>
    <t>3101 E SPEEDWAY BLVD</t>
  </si>
  <si>
    <t>(520) 327-5656</t>
  </si>
  <si>
    <t>0330</t>
  </si>
  <si>
    <t>Kino</t>
  </si>
  <si>
    <t>Alexander Zoechbauer</t>
  </si>
  <si>
    <t>2975 S KINO PARKWAY</t>
  </si>
  <si>
    <t>(520) 338-8640</t>
  </si>
  <si>
    <t>0333</t>
  </si>
  <si>
    <t>Miracle Mile</t>
  </si>
  <si>
    <t>Leondre Anderson</t>
  </si>
  <si>
    <t>3050 N ORACLE RD</t>
  </si>
  <si>
    <t>0335</t>
  </si>
  <si>
    <t>E Grant</t>
  </si>
  <si>
    <t>3150 E GRANT RD</t>
  </si>
  <si>
    <t>(520) 881-1486</t>
  </si>
  <si>
    <t>0336</t>
  </si>
  <si>
    <t>Midvale</t>
  </si>
  <si>
    <t>Luis Gonzalez</t>
  </si>
  <si>
    <t>5075 S MIDVALE PARK RD</t>
  </si>
  <si>
    <t>(520) 400-8738</t>
  </si>
  <si>
    <t>0337</t>
  </si>
  <si>
    <t>W River</t>
  </si>
  <si>
    <t>1435 W RIVER RD</t>
  </si>
  <si>
    <t>(520) 293-1359</t>
  </si>
  <si>
    <t>0338</t>
  </si>
  <si>
    <t>E 22nd</t>
  </si>
  <si>
    <t>Christian Marquez</t>
  </si>
  <si>
    <t>6301 E 22ND ST</t>
  </si>
  <si>
    <t>(520) 745-5003</t>
  </si>
  <si>
    <t>0339</t>
  </si>
  <si>
    <t>Sierra Vista</t>
  </si>
  <si>
    <t>Kyle Hall</t>
  </si>
  <si>
    <t>3850 E MLK JR PKWY</t>
  </si>
  <si>
    <t>SIERRA VISTA</t>
  </si>
  <si>
    <t>(520) 458-1453</t>
  </si>
  <si>
    <t>23rd Street</t>
  </si>
  <si>
    <t>Luis Anguiano</t>
  </si>
  <si>
    <t>1400 23RD ST</t>
  </si>
  <si>
    <t>(661) 231-8342</t>
  </si>
  <si>
    <t>Buena Vista</t>
  </si>
  <si>
    <t>Cesar Correa Vargas</t>
  </si>
  <si>
    <t>3300 BUENA VISTA RD SUITE B</t>
  </si>
  <si>
    <t>(661) 664-4982</t>
  </si>
  <si>
    <t>Calloway</t>
  </si>
  <si>
    <t>Daniel Vargas</t>
  </si>
  <si>
    <t>1011 CALLOWAY</t>
  </si>
  <si>
    <t>(661) 587-2748</t>
  </si>
  <si>
    <t>Coffee</t>
  </si>
  <si>
    <t>Adrian Vargas</t>
  </si>
  <si>
    <t>3301 COFFEE RD</t>
  </si>
  <si>
    <t>(661) 213-3762</t>
  </si>
  <si>
    <t>Gosford</t>
  </si>
  <si>
    <t>Will Hernandez-Corral</t>
  </si>
  <si>
    <t>4901 GOSFORD RD</t>
  </si>
  <si>
    <t>(661) 847-9760</t>
  </si>
  <si>
    <t>Mount Vernon</t>
  </si>
  <si>
    <t>Lorenzo Briones</t>
  </si>
  <si>
    <t>2619 MOUNT VERNON</t>
  </si>
  <si>
    <t>(661) 231-9136</t>
  </si>
  <si>
    <t>Olive</t>
  </si>
  <si>
    <t>Zachary Cunningham</t>
  </si>
  <si>
    <t>5375 OLIVE DR</t>
  </si>
  <si>
    <t>(661) 231-3689</t>
  </si>
  <si>
    <t>Ming Ave</t>
  </si>
  <si>
    <t>Lucas Tran</t>
  </si>
  <si>
    <t>4901 MING AVE</t>
  </si>
  <si>
    <t>(661) 379-7020</t>
  </si>
  <si>
    <t>Rosedale Hwy</t>
  </si>
  <si>
    <t>11921 ROSEDALE HIGHWAY</t>
  </si>
  <si>
    <t>(661) 230-5335</t>
  </si>
  <si>
    <t>Carmen</t>
  </si>
  <si>
    <t>Edgar Barron</t>
  </si>
  <si>
    <t>1925 S BROADWAY</t>
  </si>
  <si>
    <t>SANTA MARIA</t>
  </si>
  <si>
    <t>(805) 621-6835</t>
  </si>
  <si>
    <t>Hosking</t>
  </si>
  <si>
    <t>Susana Ledina</t>
  </si>
  <si>
    <t>1601 HOSKING AVE</t>
  </si>
  <si>
    <t>(661) 336-9952</t>
  </si>
  <si>
    <t>Heath</t>
  </si>
  <si>
    <t>Hailey Divina</t>
  </si>
  <si>
    <t>16214 STOCKDALE HWY</t>
  </si>
  <si>
    <t>(661) 336-9403</t>
  </si>
  <si>
    <t>Henderson Ave</t>
  </si>
  <si>
    <t>Mercedie Aguilera</t>
  </si>
  <si>
    <t>1085 W HENDERSON AVE</t>
  </si>
  <si>
    <t>PORTERVILLE</t>
  </si>
  <si>
    <t>(559) 789-0258</t>
  </si>
  <si>
    <t>Jaye St</t>
  </si>
  <si>
    <t>Selena Garcia</t>
  </si>
  <si>
    <t>600 S JAYE ST</t>
  </si>
  <si>
    <t>(559) 316-5210</t>
  </si>
  <si>
    <t>Delano</t>
  </si>
  <si>
    <t>Jeffrey Marcelo Cooper</t>
  </si>
  <si>
    <t>1925 CECIL AVE</t>
  </si>
  <si>
    <t>DELANO</t>
  </si>
  <si>
    <t>(661) 720-9950</t>
  </si>
  <si>
    <t>Stockdale</t>
  </si>
  <si>
    <t>Arion Traughber</t>
  </si>
  <si>
    <t>11417 STOCKDALE HWY</t>
  </si>
  <si>
    <t>(661) 636-6520</t>
  </si>
  <si>
    <t>Palmdale</t>
  </si>
  <si>
    <t>Kayla Lopez</t>
  </si>
  <si>
    <t>39315 10TH ST WEST</t>
  </si>
  <si>
    <t>PALMDALE</t>
  </si>
  <si>
    <t>(661) 225-9712</t>
  </si>
  <si>
    <t>Avenue J</t>
  </si>
  <si>
    <t>524 W AVE J</t>
  </si>
  <si>
    <t>(661) 942-8300</t>
  </si>
  <si>
    <t>Hwy 138</t>
  </si>
  <si>
    <t>1822 E PALMDALE BLVD</t>
  </si>
  <si>
    <t>(661) 268-6424</t>
  </si>
  <si>
    <t>Rialto</t>
  </si>
  <si>
    <t>Olivia Rodriguez</t>
  </si>
  <si>
    <t>127 WEST VALLEY BLVD</t>
  </si>
  <si>
    <t>RIALTO</t>
  </si>
  <si>
    <t>(909) 237-8099</t>
  </si>
  <si>
    <t>Stoneridge</t>
  </si>
  <si>
    <t>Zachary Ojeda</t>
  </si>
  <si>
    <t>27240 EUCALYPTUS AVE</t>
  </si>
  <si>
    <t>MORENO VALLEY</t>
  </si>
  <si>
    <t>(951) 221-3009</t>
  </si>
  <si>
    <t>Anthony Fickewirth</t>
  </si>
  <si>
    <t>Montebello Blvd</t>
  </si>
  <si>
    <t>Cesar Vazquez</t>
  </si>
  <si>
    <t>740 WASHINGTON BLVD</t>
  </si>
  <si>
    <t>MONTEBELLO</t>
  </si>
  <si>
    <t>(323) 597-3088</t>
  </si>
  <si>
    <t>Brookhurst St</t>
  </si>
  <si>
    <t>Alexander Gomez</t>
  </si>
  <si>
    <t>1725 S BROOKHURST ST</t>
  </si>
  <si>
    <t>ANAHEIM</t>
  </si>
  <si>
    <t>(714) 439-9618</t>
  </si>
  <si>
    <t>Inglewood Ave</t>
  </si>
  <si>
    <t>Paul Guerena</t>
  </si>
  <si>
    <t>4810 W IMPERIAL HWY</t>
  </si>
  <si>
    <t>INGLEWOOD</t>
  </si>
  <si>
    <t>(424) 240-5997</t>
  </si>
  <si>
    <t>Maybury St</t>
  </si>
  <si>
    <t>1703 17TH ST</t>
  </si>
  <si>
    <t>SANTA ANA</t>
  </si>
  <si>
    <t>(714) 409-5826</t>
  </si>
  <si>
    <t>Marguerita Ave</t>
  </si>
  <si>
    <t>Jared Rodriguez</t>
  </si>
  <si>
    <t>1301 W VALLEY BLVD</t>
  </si>
  <si>
    <t>ALHAMBRA</t>
  </si>
  <si>
    <t>(626) 988-5118</t>
  </si>
  <si>
    <t>G St</t>
  </si>
  <si>
    <t>3690 G STREET</t>
  </si>
  <si>
    <t>MERCED</t>
  </si>
  <si>
    <t>(209) 433-6022</t>
  </si>
  <si>
    <t>Tuolumne</t>
  </si>
  <si>
    <t>Elicia Solis</t>
  </si>
  <si>
    <t>2530 COUNTRYSIDE DR</t>
  </si>
  <si>
    <t>TURLOCK</t>
  </si>
  <si>
    <t>(350) 203-2119</t>
  </si>
  <si>
    <t>0911</t>
  </si>
  <si>
    <t>North Mchenry</t>
  </si>
  <si>
    <t>Kevin Schuurman</t>
  </si>
  <si>
    <t>3520 MCHENRY AVENUE</t>
  </si>
  <si>
    <t>(209) 526-9274</t>
  </si>
  <si>
    <t>0912</t>
  </si>
  <si>
    <t>Hatch</t>
  </si>
  <si>
    <t>Adam Ervin</t>
  </si>
  <si>
    <t>1740 EAST HATCH ROAD</t>
  </si>
  <si>
    <t>CERES</t>
  </si>
  <si>
    <t>(209) 538-9274</t>
  </si>
  <si>
    <t>0914</t>
  </si>
  <si>
    <t>Briggsmore</t>
  </si>
  <si>
    <t>Ellie Hanks</t>
  </si>
  <si>
    <t>1800 PRESCOTT RD STE A</t>
  </si>
  <si>
    <t>(209) 529-9274</t>
  </si>
  <si>
    <t>0915</t>
  </si>
  <si>
    <t>Merced</t>
  </si>
  <si>
    <t>Manuel Toro Garcia</t>
  </si>
  <si>
    <t>1800 WEST OLIVE AVE</t>
  </si>
  <si>
    <t>(209) 388-9274</t>
  </si>
  <si>
    <t>0916</t>
  </si>
  <si>
    <t>Lodi Wash</t>
  </si>
  <si>
    <t>Hali Hummel</t>
  </si>
  <si>
    <t>301 W KETTLEMAN LANE</t>
  </si>
  <si>
    <t>LODI</t>
  </si>
  <si>
    <t>(209) 519-4454</t>
  </si>
  <si>
    <t>0918</t>
  </si>
  <si>
    <t>Dale Road</t>
  </si>
  <si>
    <t>Donovan Vasquez</t>
  </si>
  <si>
    <t>4120 DALE ROAD</t>
  </si>
  <si>
    <t>(209) 338-9274</t>
  </si>
  <si>
    <t>0919</t>
  </si>
  <si>
    <t>Oakdale</t>
  </si>
  <si>
    <t>Mason Barnes</t>
  </si>
  <si>
    <t>526 EAST F STREET</t>
  </si>
  <si>
    <t>OAKDALE</t>
  </si>
  <si>
    <t>(209) 848-9274</t>
  </si>
  <si>
    <t>0920</t>
  </si>
  <si>
    <t>Riverbank</t>
  </si>
  <si>
    <t>2375 PATTERSON ROAD</t>
  </si>
  <si>
    <t>RIVERBANK</t>
  </si>
  <si>
    <t>(209) 869-2291</t>
  </si>
  <si>
    <t>0921</t>
  </si>
  <si>
    <t>Atwater</t>
  </si>
  <si>
    <t>Zailey Bascue</t>
  </si>
  <si>
    <t>307 E BELLEVUE ROAD</t>
  </si>
  <si>
    <t>ATWATER</t>
  </si>
  <si>
    <t>(209) 357-9274</t>
  </si>
  <si>
    <t>0922</t>
  </si>
  <si>
    <t>Plaza</t>
  </si>
  <si>
    <t>1736 OAKDALE RD</t>
  </si>
  <si>
    <t>(209) 551-7799</t>
  </si>
  <si>
    <t>0923</t>
  </si>
  <si>
    <t>Manteca</t>
  </si>
  <si>
    <t>Kayleigh Montoya</t>
  </si>
  <si>
    <t>1115 W LATHROP ROAD</t>
  </si>
  <si>
    <t>MANTECA</t>
  </si>
  <si>
    <t>(209) 825-9777</t>
  </si>
  <si>
    <t>Mason McMillen-Rezente</t>
  </si>
  <si>
    <t>0925</t>
  </si>
  <si>
    <t>Tracy</t>
  </si>
  <si>
    <t>Loren Clark</t>
  </si>
  <si>
    <t>1725 W 11TH STREET</t>
  </si>
  <si>
    <t>TRACY</t>
  </si>
  <si>
    <t>(209) 519-4493</t>
  </si>
  <si>
    <t>0926</t>
  </si>
  <si>
    <t>Monte Vista</t>
  </si>
  <si>
    <t>980 W MONTE VISTA AVENUE</t>
  </si>
  <si>
    <t>(209) 632-9274</t>
  </si>
  <si>
    <t>0927</t>
  </si>
  <si>
    <t>Whitmore</t>
  </si>
  <si>
    <t>2954 E WHITMORE AVENUE</t>
  </si>
  <si>
    <t>(209) 531-9954</t>
  </si>
  <si>
    <t>0928</t>
  </si>
  <si>
    <t>Airport</t>
  </si>
  <si>
    <t>Erika Foreman</t>
  </si>
  <si>
    <t>1050 S AIRPORT WAY</t>
  </si>
  <si>
    <t>(209) 519-4478</t>
  </si>
  <si>
    <t>0929</t>
  </si>
  <si>
    <t>Patterson</t>
  </si>
  <si>
    <t>Jocelyn Ayala</t>
  </si>
  <si>
    <t>945 SPERRY AVENUE</t>
  </si>
  <si>
    <t>PATTERSON</t>
  </si>
  <si>
    <t>(209) 892-0025</t>
  </si>
  <si>
    <t>0930</t>
  </si>
  <si>
    <t>Los Banos</t>
  </si>
  <si>
    <t>1230 E PACHECO BLVD</t>
  </si>
  <si>
    <t>LOS BANOS</t>
  </si>
  <si>
    <t>(209) 827-7680</t>
  </si>
  <si>
    <t>0931</t>
  </si>
  <si>
    <t>Geer Wash</t>
  </si>
  <si>
    <t>Estrella Moreno</t>
  </si>
  <si>
    <t>1400 GEER ROAD</t>
  </si>
  <si>
    <t>(209) 250-4150</t>
  </si>
  <si>
    <t>0933</t>
  </si>
  <si>
    <t>Merced 16th</t>
  </si>
  <si>
    <t>Veronica Machado</t>
  </si>
  <si>
    <t>930 W 16TH STREET</t>
  </si>
  <si>
    <t>(209) 381-0207</t>
  </si>
  <si>
    <t>0940</t>
  </si>
  <si>
    <t>Claribel</t>
  </si>
  <si>
    <t>Ashley Goulart</t>
  </si>
  <si>
    <t>2369 CLARIBEL ROAD</t>
  </si>
  <si>
    <t>(209) 410-5350</t>
  </si>
  <si>
    <t>0942</t>
  </si>
  <si>
    <t>Applegate Ranch</t>
  </si>
  <si>
    <t>Micaela Stanley</t>
  </si>
  <si>
    <t>1001 COMMERCE AVE</t>
  </si>
  <si>
    <t>(209) 233-0264</t>
  </si>
  <si>
    <t>0943</t>
  </si>
  <si>
    <t>Bear Creek</t>
  </si>
  <si>
    <t>2905 G ST</t>
  </si>
  <si>
    <t>(209) 233-3022</t>
  </si>
  <si>
    <t>Maurice Lacy</t>
  </si>
  <si>
    <t>11th Ave</t>
  </si>
  <si>
    <t>Brian Garcia</t>
  </si>
  <si>
    <t>469 N 11TH AVE</t>
  </si>
  <si>
    <t>HANFORD</t>
  </si>
  <si>
    <t>(559) 589-9617</t>
  </si>
  <si>
    <t>Dinuba</t>
  </si>
  <si>
    <t>Jose Lara</t>
  </si>
  <si>
    <t>970 W EL MONTE WAY</t>
  </si>
  <si>
    <t>DINUBA</t>
  </si>
  <si>
    <t>(559) 591-9274</t>
  </si>
  <si>
    <t>Centennial Way</t>
  </si>
  <si>
    <t>Jakelin Valtierra</t>
  </si>
  <si>
    <t>1981 W LACEY BLVD</t>
  </si>
  <si>
    <t>(559) 589-9339</t>
  </si>
  <si>
    <t>Tulare</t>
  </si>
  <si>
    <t>Pablo Ramirez</t>
  </si>
  <si>
    <t>(559) 684-1727</t>
  </si>
  <si>
    <t>Reedley</t>
  </si>
  <si>
    <t>Francisco Villatoro</t>
  </si>
  <si>
    <t>1595 W MANNING AVE</t>
  </si>
  <si>
    <t>REEDLEY</t>
  </si>
  <si>
    <t>(559) 554-1641</t>
  </si>
  <si>
    <t>Happy Trails Hwy</t>
  </si>
  <si>
    <t>Salvador Ramirez</t>
  </si>
  <si>
    <t>20440 OUTER HWY 18</t>
  </si>
  <si>
    <t>APPLE VALLEY</t>
  </si>
  <si>
    <t>(760) 503-0311</t>
  </si>
  <si>
    <t>Jellico Ave</t>
  </si>
  <si>
    <t>17112 MAIN STREET</t>
  </si>
  <si>
    <t>HESPERIA</t>
  </si>
  <si>
    <t>(442) 267-6146</t>
  </si>
  <si>
    <t>Bear Valley</t>
  </si>
  <si>
    <t>19389 BEAR VALLEY RD</t>
  </si>
  <si>
    <t>(442) 855-7229</t>
  </si>
  <si>
    <t>Industrial Blvd</t>
  </si>
  <si>
    <t>12147 INDUSTRIAL BLVD</t>
  </si>
  <si>
    <t>(760) 762-4008</t>
  </si>
  <si>
    <t>Topaz</t>
  </si>
  <si>
    <t>Kenyon Mcwhorter</t>
  </si>
  <si>
    <t>12875 BEAR VALLEY RD</t>
  </si>
  <si>
    <t>(760) 821-0092</t>
  </si>
  <si>
    <t>Escondido Ave</t>
  </si>
  <si>
    <t>13311 MAIN ST</t>
  </si>
  <si>
    <t>(442) 267-6331</t>
  </si>
  <si>
    <t>Academy Blvd</t>
  </si>
  <si>
    <t>April Jaramillo</t>
  </si>
  <si>
    <t>4275 N ACADEMY BLVD</t>
  </si>
  <si>
    <t>COLORADO SPRINGS</t>
  </si>
  <si>
    <t>(719) 208-4919</t>
  </si>
  <si>
    <t>Monument</t>
  </si>
  <si>
    <t>Conor Symons</t>
  </si>
  <si>
    <t>980 W BAPTIST RD</t>
  </si>
  <si>
    <t>MONUMENT</t>
  </si>
  <si>
    <t>(719) 203-1873</t>
  </si>
  <si>
    <t>Runway North</t>
  </si>
  <si>
    <t>Andrew Sweeney</t>
  </si>
  <si>
    <t>8809 E 46TH AVE</t>
  </si>
  <si>
    <t>DENVER</t>
  </si>
  <si>
    <t>(720) 744-0750</t>
  </si>
  <si>
    <t>Constitution</t>
  </si>
  <si>
    <t>Kelly Duran</t>
  </si>
  <si>
    <t>6015 CONSTITUTION AVE</t>
  </si>
  <si>
    <t>(719) 301-3064</t>
  </si>
  <si>
    <t>0033</t>
  </si>
  <si>
    <t>Pueblo</t>
  </si>
  <si>
    <t>Geovanny Gonzalez</t>
  </si>
  <si>
    <t>3215 N ELIZABETH ST</t>
  </si>
  <si>
    <t>(719) 544-2334</t>
  </si>
  <si>
    <t>0341</t>
  </si>
  <si>
    <t>Prospect Ave</t>
  </si>
  <si>
    <t>Davante Jordan</t>
  </si>
  <si>
    <t>24273 E PROSPECT AVE</t>
  </si>
  <si>
    <t>AURORA</t>
  </si>
  <si>
    <t>(303) 928-7520</t>
  </si>
  <si>
    <t>0343</t>
  </si>
  <si>
    <t>Woodmen</t>
  </si>
  <si>
    <t>Marvin Willis</t>
  </si>
  <si>
    <t>5366 NEW CAR DR</t>
  </si>
  <si>
    <t>80923-8854</t>
  </si>
  <si>
    <t>(719) 266-0169</t>
  </si>
  <si>
    <t>0344</t>
  </si>
  <si>
    <t>Bradley</t>
  </si>
  <si>
    <t>Michael Dye</t>
  </si>
  <si>
    <t>1822 MAIN ST</t>
  </si>
  <si>
    <t>80911-1152</t>
  </si>
  <si>
    <t>(719) 392-2250</t>
  </si>
  <si>
    <t>Jacob Marmolejo</t>
  </si>
  <si>
    <t>0347</t>
  </si>
  <si>
    <t>Fountain</t>
  </si>
  <si>
    <t>Joshua Benforado</t>
  </si>
  <si>
    <t>7980 FOUNTAIN MESA RD</t>
  </si>
  <si>
    <t>FOUNTAIN</t>
  </si>
  <si>
    <t>(719) 280-0458</t>
  </si>
  <si>
    <t>0348</t>
  </si>
  <si>
    <t>Old Ranch Rd</t>
  </si>
  <si>
    <t>Brandon Sirmans</t>
  </si>
  <si>
    <t>3581 BLUE HORIZON VIEW</t>
  </si>
  <si>
    <t>(719) 203-2707</t>
  </si>
  <si>
    <t>Del Prado</t>
  </si>
  <si>
    <t>Austin Brock</t>
  </si>
  <si>
    <t>1009 DEL PRADO BLVD S</t>
  </si>
  <si>
    <t>CAPE CORAL</t>
  </si>
  <si>
    <t>(239) 772-2277</t>
  </si>
  <si>
    <t>Pine Island</t>
  </si>
  <si>
    <t>Jamon Elliot-Hudson</t>
  </si>
  <si>
    <t>1203 SW PINE ISLAND RD</t>
  </si>
  <si>
    <t>(239) 800-2039</t>
  </si>
  <si>
    <t>Cape Coral Pkwy</t>
  </si>
  <si>
    <t>1707 CAPE CORAL PKWY E</t>
  </si>
  <si>
    <t>(239) 829-4623</t>
  </si>
  <si>
    <t>Skyline</t>
  </si>
  <si>
    <t>Fern Maher</t>
  </si>
  <si>
    <t>2537 SKYLINE BLVD</t>
  </si>
  <si>
    <t>(239) 541-8440</t>
  </si>
  <si>
    <t>Santa Barbara Blvd</t>
  </si>
  <si>
    <t>Santiago Velasquez</t>
  </si>
  <si>
    <t>2002 SANTA BARBARA BLVD</t>
  </si>
  <si>
    <t>(239) 791-1707</t>
  </si>
  <si>
    <t>Liberty Park</t>
  </si>
  <si>
    <t>2474 LIBERTY PARK DR</t>
  </si>
  <si>
    <t>(239) 402-3551</t>
  </si>
  <si>
    <t>Ne 16th Place</t>
  </si>
  <si>
    <t>318 NE 16TH PLACE</t>
  </si>
  <si>
    <t>(239) 402-3119</t>
  </si>
  <si>
    <t>Airport Pulling Rd</t>
  </si>
  <si>
    <t>Stephanie Northern</t>
  </si>
  <si>
    <t>894 AIRPORT PULLING RD</t>
  </si>
  <si>
    <t>NAPLES</t>
  </si>
  <si>
    <t>(239) 422-5689</t>
  </si>
  <si>
    <t>Bonita</t>
  </si>
  <si>
    <t>Marcus Truscott</t>
  </si>
  <si>
    <t>11899 BONITA BEACH RD SE</t>
  </si>
  <si>
    <t>BONITA SPRINGS</t>
  </si>
  <si>
    <t>(239) 228-4790</t>
  </si>
  <si>
    <t>Cody Lee</t>
  </si>
  <si>
    <t>Johnny Seda</t>
  </si>
  <si>
    <t>8851 CODY LEE RD</t>
  </si>
  <si>
    <t>(239) 234-1276</t>
  </si>
  <si>
    <t>Rattlesnake</t>
  </si>
  <si>
    <t>Julissa Figueroa</t>
  </si>
  <si>
    <t>7405 RATTLESNAKE HAMMOCK RD</t>
  </si>
  <si>
    <t>(239) 241-7231</t>
  </si>
  <si>
    <t>Metro Pkwy</t>
  </si>
  <si>
    <t>Deserae Gannelli</t>
  </si>
  <si>
    <t>2811 COLONIAL BLVD</t>
  </si>
  <si>
    <t>(239) 241-8300</t>
  </si>
  <si>
    <t>Mccall</t>
  </si>
  <si>
    <t>Samantha Snyder</t>
  </si>
  <si>
    <t>12561 S MCCALL RD</t>
  </si>
  <si>
    <t>PORT CHARLOTTE</t>
  </si>
  <si>
    <t>(941) 277-5709</t>
  </si>
  <si>
    <t>Estero</t>
  </si>
  <si>
    <t>Rick Marsten</t>
  </si>
  <si>
    <t>8030 TYSON EYE WAY</t>
  </si>
  <si>
    <t>ESTERO</t>
  </si>
  <si>
    <t>(239) 422-5745</t>
  </si>
  <si>
    <t>Cypress Gardens</t>
  </si>
  <si>
    <t>7468 CYPRESS GARDENS BLVD</t>
  </si>
  <si>
    <t>WINTER HAVEN</t>
  </si>
  <si>
    <t>(863) 457-3677</t>
  </si>
  <si>
    <t>Winter Haven</t>
  </si>
  <si>
    <t>Victoria MacDonald</t>
  </si>
  <si>
    <t>1491 3RD STREET</t>
  </si>
  <si>
    <t>(863) 320-2220</t>
  </si>
  <si>
    <t>Mulberry</t>
  </si>
  <si>
    <t>Christina Stivers</t>
  </si>
  <si>
    <t>6691 CHURCH AVE N</t>
  </si>
  <si>
    <t>MULBERRY</t>
  </si>
  <si>
    <t>(863) 339-2021</t>
  </si>
  <si>
    <t>Florida Ave S</t>
  </si>
  <si>
    <t>Bryce Almazan</t>
  </si>
  <si>
    <t>6051 FLORIDA AVE S</t>
  </si>
  <si>
    <t>(863) 213-0542</t>
  </si>
  <si>
    <t>Hwy 98 N</t>
  </si>
  <si>
    <t>Sierra Gramling</t>
  </si>
  <si>
    <t>5735 US-98 N</t>
  </si>
  <si>
    <t>(863) 213-0813</t>
  </si>
  <si>
    <t>Havendale Blvd</t>
  </si>
  <si>
    <t>Josef Nadolni</t>
  </si>
  <si>
    <t>1001 HAVENDALE BLVD NW &amp; 2001 10TH ST NW</t>
  </si>
  <si>
    <t>(863) 247-2291</t>
  </si>
  <si>
    <t>Bartow Rd</t>
  </si>
  <si>
    <t>Emmi Holman</t>
  </si>
  <si>
    <t>3115 US-98</t>
  </si>
  <si>
    <t>(863) 247-2122</t>
  </si>
  <si>
    <t>Breanna Davis</t>
  </si>
  <si>
    <t>Commerce Ctr Dr</t>
  </si>
  <si>
    <t>Tathiana Rivera</t>
  </si>
  <si>
    <t>4670 13TH ST</t>
  </si>
  <si>
    <t>SAINT CLOUD</t>
  </si>
  <si>
    <t>(407) 559-9787</t>
  </si>
  <si>
    <t>Kissimmee</t>
  </si>
  <si>
    <t>Rolando Veloz</t>
  </si>
  <si>
    <t>4573 W IRLO BRONSON MEMORIAL HWY</t>
  </si>
  <si>
    <t>KISSIMMEE</t>
  </si>
  <si>
    <t>(407) 390-1400</t>
  </si>
  <si>
    <t>Leesburg</t>
  </si>
  <si>
    <t>Luis Medina</t>
  </si>
  <si>
    <t>10041 US HWY 441</t>
  </si>
  <si>
    <t>LEESBURG</t>
  </si>
  <si>
    <t>(352) 325-7899</t>
  </si>
  <si>
    <t>Oaks Blvd</t>
  </si>
  <si>
    <t>Eric Cuebas</t>
  </si>
  <si>
    <t>3170 S JOHN YOUNG PKWY</t>
  </si>
  <si>
    <t>(407) 329-2196</t>
  </si>
  <si>
    <t>Port Orange</t>
  </si>
  <si>
    <t>1786 DUNLAWTON AVE</t>
  </si>
  <si>
    <t>PORT ORANGE</t>
  </si>
  <si>
    <t>(386) 356-5117</t>
  </si>
  <si>
    <t>Mt. Dora</t>
  </si>
  <si>
    <t>Brandon Chin</t>
  </si>
  <si>
    <t>18805 US-441</t>
  </si>
  <si>
    <t>MOUNT DORA</t>
  </si>
  <si>
    <t>(352) 358-5008</t>
  </si>
  <si>
    <t>Palm Coast</t>
  </si>
  <si>
    <t>Zachary Sharp</t>
  </si>
  <si>
    <t>110 CYPRESS POINT PKWY</t>
  </si>
  <si>
    <t>PALM COAST</t>
  </si>
  <si>
    <t>(386) 749-3169</t>
  </si>
  <si>
    <t>Lpga</t>
  </si>
  <si>
    <t>1881 LPGA BLVD</t>
  </si>
  <si>
    <t>DAYTONA BEACH</t>
  </si>
  <si>
    <t>(386) 356-2063</t>
  </si>
  <si>
    <t>Ormond Beach</t>
  </si>
  <si>
    <t>49 S YONGE ST</t>
  </si>
  <si>
    <t>ORMOND BEACH</t>
  </si>
  <si>
    <t>(386) 356-5113</t>
  </si>
  <si>
    <t>Neptune</t>
  </si>
  <si>
    <t>Dylan Sanchez</t>
  </si>
  <si>
    <t>4607 NEPTUNE RD</t>
  </si>
  <si>
    <t>(407) 635-8179</t>
  </si>
  <si>
    <t>Altamonte</t>
  </si>
  <si>
    <t>Harold Bailey</t>
  </si>
  <si>
    <t>401 S STATE RD 434</t>
  </si>
  <si>
    <t>ALTAMONTE SPRINGS</t>
  </si>
  <si>
    <t>(321) 300-7489</t>
  </si>
  <si>
    <t>Oviedo</t>
  </si>
  <si>
    <t>Taran Rogers</t>
  </si>
  <si>
    <t>306 W MITCHELL HAMMOCK RD</t>
  </si>
  <si>
    <t>OVIEDO</t>
  </si>
  <si>
    <t>(321) 300-7737</t>
  </si>
  <si>
    <t>Old Cheney Hwy</t>
  </si>
  <si>
    <t>David Chang</t>
  </si>
  <si>
    <t>14540 E COLONIAL DR</t>
  </si>
  <si>
    <t>ORLANDO</t>
  </si>
  <si>
    <t>(321) 300-7703</t>
  </si>
  <si>
    <t>Poinciana</t>
  </si>
  <si>
    <t>Dakota Polk</t>
  </si>
  <si>
    <t>530 CYPRESS PKWY</t>
  </si>
  <si>
    <t>POINCIANA</t>
  </si>
  <si>
    <t>(321) 300-7499</t>
  </si>
  <si>
    <t>Hwy 50</t>
  </si>
  <si>
    <t>Sam Medina</t>
  </si>
  <si>
    <t>17017 FL-50</t>
  </si>
  <si>
    <t>CLERMONT</t>
  </si>
  <si>
    <t>(321) 300-7114</t>
  </si>
  <si>
    <t>Landstar</t>
  </si>
  <si>
    <t>Coral Molinary</t>
  </si>
  <si>
    <t>13785 LANDSTAR BLVD</t>
  </si>
  <si>
    <t>(321) 300-7068</t>
  </si>
  <si>
    <t>Lake Nona</t>
  </si>
  <si>
    <t>Sydney Bates</t>
  </si>
  <si>
    <t>11317 NARCOOSSEE RD</t>
  </si>
  <si>
    <t>(321) 300-3956</t>
  </si>
  <si>
    <t>Curry Ford</t>
  </si>
  <si>
    <t>Steven Livetskiy</t>
  </si>
  <si>
    <t>9900 CURRY FORD RD</t>
  </si>
  <si>
    <t>(321) 300-3364</t>
  </si>
  <si>
    <t>Semoran</t>
  </si>
  <si>
    <t>Keegan Wyatt</t>
  </si>
  <si>
    <t>1405 S SEMORAN BLVD</t>
  </si>
  <si>
    <t>(321) 300-3207</t>
  </si>
  <si>
    <t>Red Bug</t>
  </si>
  <si>
    <t>Carisa Civiello</t>
  </si>
  <si>
    <t>7249 RED BUG LAKE RD</t>
  </si>
  <si>
    <t>(321) 329-0614</t>
  </si>
  <si>
    <t>Clyde Morris Blvd</t>
  </si>
  <si>
    <t>David Corsa</t>
  </si>
  <si>
    <t>3807 CLYDE MORRIS BLVD</t>
  </si>
  <si>
    <t>(386) 309-2621</t>
  </si>
  <si>
    <t>Irwin</t>
  </si>
  <si>
    <t>Angel Mora</t>
  </si>
  <si>
    <t>1164 W NEW HAVEN AVE</t>
  </si>
  <si>
    <t>MELBOURNE</t>
  </si>
  <si>
    <t>(321) 265-4007</t>
  </si>
  <si>
    <t>Long Key</t>
  </si>
  <si>
    <t>Stevie Sorensen</t>
  </si>
  <si>
    <t>5949 SEVEN MILE DR</t>
  </si>
  <si>
    <t>WILDWOOD</t>
  </si>
  <si>
    <t>(352) 399-8342</t>
  </si>
  <si>
    <t>Millenia</t>
  </si>
  <si>
    <t>David Gaus</t>
  </si>
  <si>
    <t>4588 POWER CENTER LN</t>
  </si>
  <si>
    <t>(407) 848-1320</t>
  </si>
  <si>
    <t>Belvedere</t>
  </si>
  <si>
    <t>Kevin Mckinnon</t>
  </si>
  <si>
    <t>2505 PARR DR</t>
  </si>
  <si>
    <t>THE VILLAGES</t>
  </si>
  <si>
    <t>(352) 775-1805</t>
  </si>
  <si>
    <t>0205</t>
  </si>
  <si>
    <t>Viera</t>
  </si>
  <si>
    <t>Daniel Pando</t>
  </si>
  <si>
    <t>1955 VIERA BLVD</t>
  </si>
  <si>
    <t>ROCKLEDGE</t>
  </si>
  <si>
    <t>(321) 273-2520</t>
  </si>
  <si>
    <t>0206</t>
  </si>
  <si>
    <t>Irlo Bronson</t>
  </si>
  <si>
    <t>Ellen Egerton</t>
  </si>
  <si>
    <t>716 E 13TH STREET</t>
  </si>
  <si>
    <t>(407) 632-4160</t>
  </si>
  <si>
    <t>0208</t>
  </si>
  <si>
    <t>Tavares</t>
  </si>
  <si>
    <t>660 E BURLEIGH BLVD</t>
  </si>
  <si>
    <t>TAVARES</t>
  </si>
  <si>
    <t>(352) 289-2233</t>
  </si>
  <si>
    <t>0209</t>
  </si>
  <si>
    <t>Lee Rd</t>
  </si>
  <si>
    <t>Jade Chin</t>
  </si>
  <si>
    <t>852 LEE RD</t>
  </si>
  <si>
    <t>32810-5519</t>
  </si>
  <si>
    <t>(321) 260-2525</t>
  </si>
  <si>
    <t>Anthony Mendez</t>
  </si>
  <si>
    <t>0228</t>
  </si>
  <si>
    <t>Lake Mary Wash</t>
  </si>
  <si>
    <t>Blake Hershone</t>
  </si>
  <si>
    <t>3720 LAKE EMMA RD</t>
  </si>
  <si>
    <t>LAKE MARY</t>
  </si>
  <si>
    <t>(407) 333-3200</t>
  </si>
  <si>
    <t>0229</t>
  </si>
  <si>
    <t>Melbourne Wash</t>
  </si>
  <si>
    <t>Conner Allen</t>
  </si>
  <si>
    <t>7940 N WICKHAM RD</t>
  </si>
  <si>
    <t>(321) 273-2530</t>
  </si>
  <si>
    <t>0230</t>
  </si>
  <si>
    <t>Clermont</t>
  </si>
  <si>
    <t>Sage French</t>
  </si>
  <si>
    <t>1355 E HIGHWAY 50</t>
  </si>
  <si>
    <t>34711-3225</t>
  </si>
  <si>
    <t>(352) 536-2583</t>
  </si>
  <si>
    <t>0231</t>
  </si>
  <si>
    <t>Ocoee</t>
  </si>
  <si>
    <t>11301 COLONIAL DR</t>
  </si>
  <si>
    <t>OCOEE</t>
  </si>
  <si>
    <t>34761-3302</t>
  </si>
  <si>
    <t>0233</t>
  </si>
  <si>
    <t>Fern Park</t>
  </si>
  <si>
    <t>Dakota Cochran</t>
  </si>
  <si>
    <t>6501 SOUTH US HWY 17 92</t>
  </si>
  <si>
    <t>CASSELBERRY</t>
  </si>
  <si>
    <t>(407) 260-0335</t>
  </si>
  <si>
    <t>0234</t>
  </si>
  <si>
    <t>French Ave</t>
  </si>
  <si>
    <t>Andre Swanston</t>
  </si>
  <si>
    <t>2418 S FRENCH AVE</t>
  </si>
  <si>
    <t>(407) 322-6284</t>
  </si>
  <si>
    <t>0235</t>
  </si>
  <si>
    <t>Colonial</t>
  </si>
  <si>
    <t>Justin Rowley</t>
  </si>
  <si>
    <t>12180 E COLONIAL DR</t>
  </si>
  <si>
    <t>(407) 207-1294</t>
  </si>
  <si>
    <t>0236</t>
  </si>
  <si>
    <t>Chickasaw</t>
  </si>
  <si>
    <t>7958 E COLONIAL DR</t>
  </si>
  <si>
    <t>(407) 203-0993</t>
  </si>
  <si>
    <t>0243</t>
  </si>
  <si>
    <t>Silver Star</t>
  </si>
  <si>
    <t>Brendan Gilreath</t>
  </si>
  <si>
    <t>4551 SILVER STAR RD</t>
  </si>
  <si>
    <t>(407) 553-3430</t>
  </si>
  <si>
    <t>0276</t>
  </si>
  <si>
    <t>Highway 27</t>
  </si>
  <si>
    <t>Luke Marin</t>
  </si>
  <si>
    <t>3195 S HWY 27</t>
  </si>
  <si>
    <t>(352) 241-4488</t>
  </si>
  <si>
    <t>0277</t>
  </si>
  <si>
    <t>Deltona</t>
  </si>
  <si>
    <t>3119 HOWLAND BLVD</t>
  </si>
  <si>
    <t>DELTONA</t>
  </si>
  <si>
    <t>(386) 218-6802</t>
  </si>
  <si>
    <t>0278</t>
  </si>
  <si>
    <t>Titusville</t>
  </si>
  <si>
    <t>3353 COLUMBIA BLVD</t>
  </si>
  <si>
    <t>TITUSVILLE</t>
  </si>
  <si>
    <t>(321) 273-5935</t>
  </si>
  <si>
    <t>0279</t>
  </si>
  <si>
    <t>Orange Blossom</t>
  </si>
  <si>
    <t>Cameron Snell</t>
  </si>
  <si>
    <t>5275 S ORANGE BLOSSOM TRAIL</t>
  </si>
  <si>
    <t>(407) 553-3429</t>
  </si>
  <si>
    <t>S Federal Hwy</t>
  </si>
  <si>
    <t>9200 US-1</t>
  </si>
  <si>
    <t>(904) 413-0279</t>
  </si>
  <si>
    <t>Port St. Lucie</t>
  </si>
  <si>
    <t>Cora Gooljar</t>
  </si>
  <si>
    <t>229 SW PORT ST LUCIE BLVD</t>
  </si>
  <si>
    <t>(772) 245-0991</t>
  </si>
  <si>
    <t>Cutler Bay</t>
  </si>
  <si>
    <t>Brittany Stokes Shegog</t>
  </si>
  <si>
    <t>21550 SW 112TH AVE</t>
  </si>
  <si>
    <t>MIAMI</t>
  </si>
  <si>
    <t>(786) 530-8995</t>
  </si>
  <si>
    <t>Karlee Feldner</t>
  </si>
  <si>
    <t>Goldenrod</t>
  </si>
  <si>
    <t>Paul Gilbert</t>
  </si>
  <si>
    <t>3775 NW FEDERAL HWY</t>
  </si>
  <si>
    <t>JENSEN BEACH</t>
  </si>
  <si>
    <t>(772) 208-3966</t>
  </si>
  <si>
    <t>State Route 52</t>
  </si>
  <si>
    <t>9215 STATE ROUTE 52</t>
  </si>
  <si>
    <t>HUDSON</t>
  </si>
  <si>
    <t>(727) 214-3847</t>
  </si>
  <si>
    <t>Park Ridge</t>
  </si>
  <si>
    <t>James Thomas</t>
  </si>
  <si>
    <t>6801 PARK BLVD</t>
  </si>
  <si>
    <t>PINELLAS PARK</t>
  </si>
  <si>
    <t>(727) 620-5085</t>
  </si>
  <si>
    <t>Hillsborough</t>
  </si>
  <si>
    <t>12806 W HILLSBOROUGH AVE</t>
  </si>
  <si>
    <t>(656) 444-0758</t>
  </si>
  <si>
    <t>Wesley Chapel</t>
  </si>
  <si>
    <t>WESLEY CHAPEL</t>
  </si>
  <si>
    <t>(656) 202-4586</t>
  </si>
  <si>
    <t>Bruce B Downs</t>
  </si>
  <si>
    <t>20306 TROUT CREEK DR</t>
  </si>
  <si>
    <t>(656) 444-0759</t>
  </si>
  <si>
    <t>Zephyrhills</t>
  </si>
  <si>
    <t>Anthony Skitowski</t>
  </si>
  <si>
    <t>6353 GALL BOULEVARD</t>
  </si>
  <si>
    <t>ZEPHYRHILLS</t>
  </si>
  <si>
    <t>(813) 670-2213</t>
  </si>
  <si>
    <t>0221</t>
  </si>
  <si>
    <t>Clearwater</t>
  </si>
  <si>
    <t>Bradley Krupp</t>
  </si>
  <si>
    <t>1880 GULF TO BAY BLVD</t>
  </si>
  <si>
    <t>CLEARWATER</t>
  </si>
  <si>
    <t>(727) 446-9274</t>
  </si>
  <si>
    <t>0222</t>
  </si>
  <si>
    <t>Seminole</t>
  </si>
  <si>
    <t>Riley Funk</t>
  </si>
  <si>
    <t>10471 PARK BLVD</t>
  </si>
  <si>
    <t>SEMINOLE</t>
  </si>
  <si>
    <t>(727) 392-0357</t>
  </si>
  <si>
    <t>0223</t>
  </si>
  <si>
    <t>Gandy</t>
  </si>
  <si>
    <t>Malek Harris</t>
  </si>
  <si>
    <t>3622 GANDY BLVD</t>
  </si>
  <si>
    <t>(813) 837-9333</t>
  </si>
  <si>
    <t>0224</t>
  </si>
  <si>
    <t>Dale Mabry</t>
  </si>
  <si>
    <t>Brittney Gordon</t>
  </si>
  <si>
    <t>2230 N DALE MABRY</t>
  </si>
  <si>
    <t>(813) 876-2278</t>
  </si>
  <si>
    <t>0226</t>
  </si>
  <si>
    <t>North Dale Mabry</t>
  </si>
  <si>
    <t>Dennis Crumlich</t>
  </si>
  <si>
    <t>8101 NORTH DALE MABRY</t>
  </si>
  <si>
    <t>(813) 933-6661</t>
  </si>
  <si>
    <t>Brian Peter</t>
  </si>
  <si>
    <t>0273</t>
  </si>
  <si>
    <t>Hudson</t>
  </si>
  <si>
    <t>Skiler Woods</t>
  </si>
  <si>
    <t>12611 US HIGHWAY 19</t>
  </si>
  <si>
    <t>34667-1955</t>
  </si>
  <si>
    <t>(727) 868-7130</t>
  </si>
  <si>
    <t>0274</t>
  </si>
  <si>
    <t>Spring Hill</t>
  </si>
  <si>
    <t>David Herster</t>
  </si>
  <si>
    <t>4330 COMMERCIAL WAY</t>
  </si>
  <si>
    <t>SPRING HILL</t>
  </si>
  <si>
    <t>(352) 597-5573</t>
  </si>
  <si>
    <t>Riverstone</t>
  </si>
  <si>
    <t>651 RIVERSTONE PKWY</t>
  </si>
  <si>
    <t>CANTON</t>
  </si>
  <si>
    <t>(678) 493-0956</t>
  </si>
  <si>
    <t>State Bridge</t>
  </si>
  <si>
    <t>Clabe Ferguson</t>
  </si>
  <si>
    <t>11110 STATE BRIDGE RD</t>
  </si>
  <si>
    <t>ALPHARETTA</t>
  </si>
  <si>
    <t>(678) 871-1392</t>
  </si>
  <si>
    <t>0246</t>
  </si>
  <si>
    <t>Dawsonville Hwy</t>
  </si>
  <si>
    <t>Adam Taylor</t>
  </si>
  <si>
    <t>550 DAWSONVILLE HWY</t>
  </si>
  <si>
    <t>GAINESVILLE</t>
  </si>
  <si>
    <t>(770) 535-2588</t>
  </si>
  <si>
    <t>0247</t>
  </si>
  <si>
    <t>Oxford</t>
  </si>
  <si>
    <t>Joel Garrett</t>
  </si>
  <si>
    <t>65 PLAZA LANE</t>
  </si>
  <si>
    <t>OXFORD</t>
  </si>
  <si>
    <t>(256) 835-1053</t>
  </si>
  <si>
    <t>0248</t>
  </si>
  <si>
    <t>Athens</t>
  </si>
  <si>
    <t>Tyler Trujillo</t>
  </si>
  <si>
    <t>1035 PARKWAY BLVD</t>
  </si>
  <si>
    <t>30606-6171</t>
  </si>
  <si>
    <t>(706) 521-5889</t>
  </si>
  <si>
    <t>0249</t>
  </si>
  <si>
    <t>Monroe</t>
  </si>
  <si>
    <t>John Zuber</t>
  </si>
  <si>
    <t>170 MARTIN LUTHER KING JR BLVD</t>
  </si>
  <si>
    <t>MONROE</t>
  </si>
  <si>
    <t>30655-5620</t>
  </si>
  <si>
    <t>(770) 207-1900</t>
  </si>
  <si>
    <t>0252</t>
  </si>
  <si>
    <t>Griffin</t>
  </si>
  <si>
    <t>557 N EXPRESSWAY</t>
  </si>
  <si>
    <t>GRIFFIN</t>
  </si>
  <si>
    <t>(770) 228-8001</t>
  </si>
  <si>
    <t>0253</t>
  </si>
  <si>
    <t>Lovejoy</t>
  </si>
  <si>
    <t>Matthew Flowers</t>
  </si>
  <si>
    <t>11303 TARA BLVD</t>
  </si>
  <si>
    <t>HAMPTON</t>
  </si>
  <si>
    <t>(770) 471-0019</t>
  </si>
  <si>
    <t>0254</t>
  </si>
  <si>
    <t>Stone Mountain</t>
  </si>
  <si>
    <t>4850 STONE MOUNTAIN HWY</t>
  </si>
  <si>
    <t>LILBURN</t>
  </si>
  <si>
    <t>(706) 661-7058</t>
  </si>
  <si>
    <t>0255</t>
  </si>
  <si>
    <t>Old National</t>
  </si>
  <si>
    <t>Isaiah Strozier</t>
  </si>
  <si>
    <t>6165 OLD NATIONAL HWY</t>
  </si>
  <si>
    <t>COLLEGE PARK</t>
  </si>
  <si>
    <t>(678) 466-1875</t>
  </si>
  <si>
    <t>0256</t>
  </si>
  <si>
    <t>Aspen Drive</t>
  </si>
  <si>
    <t>Kasee Garmon</t>
  </si>
  <si>
    <t>44 ASPEN DR</t>
  </si>
  <si>
    <t>DALLAS</t>
  </si>
  <si>
    <t>(770) 779-8176</t>
  </si>
  <si>
    <t>0257</t>
  </si>
  <si>
    <t>Piedmont</t>
  </si>
  <si>
    <t>Jacob King</t>
  </si>
  <si>
    <t>2980 PIEDMONT RD</t>
  </si>
  <si>
    <t>ATLANTA</t>
  </si>
  <si>
    <t>(404) 846-4040</t>
  </si>
  <si>
    <t>0258</t>
  </si>
  <si>
    <t>Ponce De Leon</t>
  </si>
  <si>
    <t>575 PONCE DE LEON</t>
  </si>
  <si>
    <t>(404) 876-3232</t>
  </si>
  <si>
    <t>0262</t>
  </si>
  <si>
    <t>Acworth</t>
  </si>
  <si>
    <t>Giancarlo Raffo</t>
  </si>
  <si>
    <t>3530 COBB PKWY NW</t>
  </si>
  <si>
    <t>ACWORTH</t>
  </si>
  <si>
    <t>30101-4016</t>
  </si>
  <si>
    <t>(678) 213-1313</t>
  </si>
  <si>
    <t>0263</t>
  </si>
  <si>
    <t>Douglasville</t>
  </si>
  <si>
    <t>Kimberly Ogletree</t>
  </si>
  <si>
    <t>6984 DOUGLAS BLVD</t>
  </si>
  <si>
    <t>DOUGLASVILLE</t>
  </si>
  <si>
    <t>30135-7128</t>
  </si>
  <si>
    <t>(678) 213-2285</t>
  </si>
  <si>
    <t>0264</t>
  </si>
  <si>
    <t>Hiram</t>
  </si>
  <si>
    <t>Alexis Strozier</t>
  </si>
  <si>
    <t>5651 WENDY BAGWELL PKWY</t>
  </si>
  <si>
    <t>HIRAM</t>
  </si>
  <si>
    <t>30141-7806</t>
  </si>
  <si>
    <t>(770) 943-5967</t>
  </si>
  <si>
    <t>0265</t>
  </si>
  <si>
    <t>Marietta</t>
  </si>
  <si>
    <t>Audie Glover</t>
  </si>
  <si>
    <t>3330 DALLAS HWY SW</t>
  </si>
  <si>
    <t>MARIETTA</t>
  </si>
  <si>
    <t>30064-2462</t>
  </si>
  <si>
    <t>(678) 213-1029</t>
  </si>
  <si>
    <t>0266</t>
  </si>
  <si>
    <t>Conyers</t>
  </si>
  <si>
    <t>Hannah Petoia</t>
  </si>
  <si>
    <t>2281 HWY 20 NE</t>
  </si>
  <si>
    <t>CONYERS</t>
  </si>
  <si>
    <t>(770) 760-7074</t>
  </si>
  <si>
    <t>0267</t>
  </si>
  <si>
    <t>Covington</t>
  </si>
  <si>
    <t>3261 HWY 278 NE</t>
  </si>
  <si>
    <t>COVINGTON</t>
  </si>
  <si>
    <t>(770) 788-0033</t>
  </si>
  <si>
    <t>0268</t>
  </si>
  <si>
    <t>Buford</t>
  </si>
  <si>
    <t>2825 BUFORD DR</t>
  </si>
  <si>
    <t>BUFORD</t>
  </si>
  <si>
    <t>(770) 614-9601</t>
  </si>
  <si>
    <t>0269</t>
  </si>
  <si>
    <t>Cumming</t>
  </si>
  <si>
    <t>Alexis Henry</t>
  </si>
  <si>
    <t>1780 BUFORD HWY</t>
  </si>
  <si>
    <t>CUMMING</t>
  </si>
  <si>
    <t>30041-8200</t>
  </si>
  <si>
    <t>(770) 889-3322</t>
  </si>
  <si>
    <t>0270</t>
  </si>
  <si>
    <t>Peachtree</t>
  </si>
  <si>
    <t>Robert Feinburg</t>
  </si>
  <si>
    <t>930 PEACHTREE PKWY</t>
  </si>
  <si>
    <t>30041-6823</t>
  </si>
  <si>
    <t>(678) 771-8783</t>
  </si>
  <si>
    <t>Kimberly Rd</t>
  </si>
  <si>
    <t>Elijah Miller</t>
  </si>
  <si>
    <t>707 E KIMBERLY RD</t>
  </si>
  <si>
    <t>DAVENPORT</t>
  </si>
  <si>
    <t>(563) 265-3110</t>
  </si>
  <si>
    <t>Lakeview</t>
  </si>
  <si>
    <t>Sydney Rosebrough</t>
  </si>
  <si>
    <t>4511 E 53RD STREET</t>
  </si>
  <si>
    <t>(563) 306-2633</t>
  </si>
  <si>
    <t>0723</t>
  </si>
  <si>
    <t>Northland</t>
  </si>
  <si>
    <t>Dakota Voshell</t>
  </si>
  <si>
    <t>5055 NORTHLAND AVENUE NE</t>
  </si>
  <si>
    <t>(319) 377-6342</t>
  </si>
  <si>
    <t>0727</t>
  </si>
  <si>
    <t>Blairs Ferry</t>
  </si>
  <si>
    <t>Xiujuan Chen</t>
  </si>
  <si>
    <t>5520 EDGEWOOD RD NE</t>
  </si>
  <si>
    <t>(319) 238-6459</t>
  </si>
  <si>
    <t>Derek Brown</t>
  </si>
  <si>
    <t>0735</t>
  </si>
  <si>
    <t>Marion</t>
  </si>
  <si>
    <t>Jake Ducker</t>
  </si>
  <si>
    <t>3957 KATZ DRIVE</t>
  </si>
  <si>
    <t>MARION</t>
  </si>
  <si>
    <t>(319) 379-3706</t>
  </si>
  <si>
    <t>12th Ave</t>
  </si>
  <si>
    <t>5440 E UNIVERSITY AVE</t>
  </si>
  <si>
    <t>PLEASANT HILL</t>
  </si>
  <si>
    <t>(515) 957-7218</t>
  </si>
  <si>
    <t>Altoona</t>
  </si>
  <si>
    <t>Shoalie Niebauer</t>
  </si>
  <si>
    <t>3590 PRAIRIE FIRE NW</t>
  </si>
  <si>
    <t>ALTOONA</t>
  </si>
  <si>
    <t>(515) 978-8988</t>
  </si>
  <si>
    <t>Hickman</t>
  </si>
  <si>
    <t>Savhannah White</t>
  </si>
  <si>
    <t>555 E HICKMAN RD</t>
  </si>
  <si>
    <t>WAUKEE</t>
  </si>
  <si>
    <t>(515) 207-6522</t>
  </si>
  <si>
    <t>0721</t>
  </si>
  <si>
    <t>Ingersoll</t>
  </si>
  <si>
    <t>Colton Gourley</t>
  </si>
  <si>
    <t>2525 INGERSOLL AVENUE</t>
  </si>
  <si>
    <t>(515) 282-1537</t>
  </si>
  <si>
    <t>0722</t>
  </si>
  <si>
    <t>University</t>
  </si>
  <si>
    <t>Mike Sellers</t>
  </si>
  <si>
    <t>8727 UNIVERSITY AVENUE</t>
  </si>
  <si>
    <t>CLIVE</t>
  </si>
  <si>
    <t>(515) 224-9324</t>
  </si>
  <si>
    <t>0724</t>
  </si>
  <si>
    <t>Merle Hay</t>
  </si>
  <si>
    <t>Jairo Pelico</t>
  </si>
  <si>
    <t>3333 MERLE HAY ROAD</t>
  </si>
  <si>
    <t>(515) 278-1200</t>
  </si>
  <si>
    <t>0725</t>
  </si>
  <si>
    <t>Urbandale</t>
  </si>
  <si>
    <t>Stormie Michael</t>
  </si>
  <si>
    <t>12035 HICKMAN RD</t>
  </si>
  <si>
    <t>URBANDALE</t>
  </si>
  <si>
    <t>50323-1819</t>
  </si>
  <si>
    <t>(515) 512-9835</t>
  </si>
  <si>
    <t>0726</t>
  </si>
  <si>
    <t>Army Post</t>
  </si>
  <si>
    <t>Nick Gruich</t>
  </si>
  <si>
    <t>850 ARMY POST RD</t>
  </si>
  <si>
    <t>(515) 325-2481</t>
  </si>
  <si>
    <t>0729</t>
  </si>
  <si>
    <t>Jordan Creek</t>
  </si>
  <si>
    <t>Spencer Gilbertson</t>
  </si>
  <si>
    <t>102 S JORDAN CREEK PKWY</t>
  </si>
  <si>
    <t>WEST DES MOINES</t>
  </si>
  <si>
    <t>(515) 325-0455</t>
  </si>
  <si>
    <t>Thomas Duncan</t>
  </si>
  <si>
    <t>0731</t>
  </si>
  <si>
    <t>North Merle Hay</t>
  </si>
  <si>
    <t>4850 MERLE HAY RD</t>
  </si>
  <si>
    <t>(515) 254-2593</t>
  </si>
  <si>
    <t>0733</t>
  </si>
  <si>
    <t>Grimes</t>
  </si>
  <si>
    <t>Neris Martinez</t>
  </si>
  <si>
    <t>1901 SE 11TH ST</t>
  </si>
  <si>
    <t>GRIMES</t>
  </si>
  <si>
    <t>(515) 325-1712</t>
  </si>
  <si>
    <t>0734</t>
  </si>
  <si>
    <t>Ankeny</t>
  </si>
  <si>
    <t>Bahari Afare</t>
  </si>
  <si>
    <t>109 S ANKENY BLVD</t>
  </si>
  <si>
    <t>ANKENY</t>
  </si>
  <si>
    <t>(515) 325-0478</t>
  </si>
  <si>
    <t>Milano</t>
  </si>
  <si>
    <t>Ashley Marten</t>
  </si>
  <si>
    <t>4891 N CORTONA WAY</t>
  </si>
  <si>
    <t>MERIDIAN</t>
  </si>
  <si>
    <t>(208) 202-5469</t>
  </si>
  <si>
    <t>Progress Ave</t>
  </si>
  <si>
    <t>Hector Hinojosa</t>
  </si>
  <si>
    <t>675 S PROGRESS AVE</t>
  </si>
  <si>
    <t>(208) 297-3240</t>
  </si>
  <si>
    <t>0501</t>
  </si>
  <si>
    <t>Fairview</t>
  </si>
  <si>
    <t>Mikel Hart</t>
  </si>
  <si>
    <t>5950 FAIRVIEW AVENUE</t>
  </si>
  <si>
    <t>0502</t>
  </si>
  <si>
    <t>Broadway</t>
  </si>
  <si>
    <t>Jessika Ellis</t>
  </si>
  <si>
    <t>1790 BROADWAY AVE</t>
  </si>
  <si>
    <t>(208) 344-1790</t>
  </si>
  <si>
    <t>Becky Kravetz</t>
  </si>
  <si>
    <t>0506</t>
  </si>
  <si>
    <t>Meridian</t>
  </si>
  <si>
    <t>3296 E PINE AVE</t>
  </si>
  <si>
    <t>(208) 895-8077</t>
  </si>
  <si>
    <t>0507</t>
  </si>
  <si>
    <t>Nampa</t>
  </si>
  <si>
    <t>Shane Ford</t>
  </si>
  <si>
    <t>1701 CALDWELL BLVD</t>
  </si>
  <si>
    <t>NAMPA</t>
  </si>
  <si>
    <t>(208) 467-4129</t>
  </si>
  <si>
    <t>0508</t>
  </si>
  <si>
    <t>Garrity</t>
  </si>
  <si>
    <t>Eric Barker</t>
  </si>
  <si>
    <t>4324 GARRITY BLVD</t>
  </si>
  <si>
    <t>83687-3140</t>
  </si>
  <si>
    <t>(208) 912-0339</t>
  </si>
  <si>
    <t>0651</t>
  </si>
  <si>
    <t>Annapolis</t>
  </si>
  <si>
    <t>Cannon Ferguson</t>
  </si>
  <si>
    <t>(410) 897-9274</t>
  </si>
  <si>
    <t>0652</t>
  </si>
  <si>
    <t>Severna</t>
  </si>
  <si>
    <t>Joseph Green</t>
  </si>
  <si>
    <t>8562 VETERANS HIGHWAY</t>
  </si>
  <si>
    <t>MILLERSVILLE</t>
  </si>
  <si>
    <t>(410) 729-9274</t>
  </si>
  <si>
    <t>MI-Detroit</t>
  </si>
  <si>
    <t>Frenchtown</t>
  </si>
  <si>
    <t>Ethan Pecynski</t>
  </si>
  <si>
    <t>1910 N TELEGRAPH</t>
  </si>
  <si>
    <t>(734) 230-2460</t>
  </si>
  <si>
    <t>Ford Rd</t>
  </si>
  <si>
    <t>Kaitlin Cole</t>
  </si>
  <si>
    <t>2104 HAGGERTY ROAD N</t>
  </si>
  <si>
    <t>(734) 238-3088</t>
  </si>
  <si>
    <t>Latson</t>
  </si>
  <si>
    <t>Travis Adle</t>
  </si>
  <si>
    <t>1015 S LATSON RD</t>
  </si>
  <si>
    <t>HOWELL</t>
  </si>
  <si>
    <t>(517) 225-6675</t>
  </si>
  <si>
    <t>New Baltimore</t>
  </si>
  <si>
    <t>29300 23 MILE RD</t>
  </si>
  <si>
    <t>NEW BALTIMORE</t>
  </si>
  <si>
    <t>(586) 210-6765</t>
  </si>
  <si>
    <t>Clarkston</t>
  </si>
  <si>
    <t>Sara Kangas</t>
  </si>
  <si>
    <t>6440 DIXIE HWY</t>
  </si>
  <si>
    <t>CLARKSTON</t>
  </si>
  <si>
    <t>(248) 605-0440</t>
  </si>
  <si>
    <t>Mount Clemens</t>
  </si>
  <si>
    <t>Cole Stevens</t>
  </si>
  <si>
    <t>54 N GROESBECK HWY</t>
  </si>
  <si>
    <t>MOUNT CLEMENS</t>
  </si>
  <si>
    <t>(586) 307-5050</t>
  </si>
  <si>
    <t>Argyle</t>
  </si>
  <si>
    <t>Cole Hubbell</t>
  </si>
  <si>
    <t>JACKSON</t>
  </si>
  <si>
    <t>(517) 265-4365</t>
  </si>
  <si>
    <t>10 Mile</t>
  </si>
  <si>
    <t>Susan Loveland</t>
  </si>
  <si>
    <t>2775 10 MILE RD NE</t>
  </si>
  <si>
    <t>(616) 866-6801</t>
  </si>
  <si>
    <t>Holland</t>
  </si>
  <si>
    <t>594 E 16TH ST</t>
  </si>
  <si>
    <t>HOLLAND</t>
  </si>
  <si>
    <t>(616) 377-4006</t>
  </si>
  <si>
    <t>0458</t>
  </si>
  <si>
    <t>Grand Ledge</t>
  </si>
  <si>
    <t>Chris Biggin</t>
  </si>
  <si>
    <t>940 SAGINAW HWY</t>
  </si>
  <si>
    <t>GRAND LEDGE</t>
  </si>
  <si>
    <t>(517) 627-9506</t>
  </si>
  <si>
    <t>0459</t>
  </si>
  <si>
    <t>Lansing</t>
  </si>
  <si>
    <t>6008 W SAGINAW HWY</t>
  </si>
  <si>
    <t>LANSING</t>
  </si>
  <si>
    <t>(517) 993-6266</t>
  </si>
  <si>
    <t>Sierra Hardy</t>
  </si>
  <si>
    <t>0462</t>
  </si>
  <si>
    <t>Junior</t>
  </si>
  <si>
    <t>Timothy Music</t>
  </si>
  <si>
    <t>1000 28TH ST SE</t>
  </si>
  <si>
    <t>GRAND RAPIDS</t>
  </si>
  <si>
    <t>(616) 245-4330</t>
  </si>
  <si>
    <t>0463</t>
  </si>
  <si>
    <t>Alpine</t>
  </si>
  <si>
    <t>Daniel Dearborn</t>
  </si>
  <si>
    <t>3755 ALPINE AVE NW</t>
  </si>
  <si>
    <t>COMSTOCK PARK</t>
  </si>
  <si>
    <t>(616) 784-1600</t>
  </si>
  <si>
    <t>0464</t>
  </si>
  <si>
    <t>Woodland</t>
  </si>
  <si>
    <t>Jianna Pietrusza</t>
  </si>
  <si>
    <t>2730 28TH ST SE</t>
  </si>
  <si>
    <t>(616) 957-1655</t>
  </si>
  <si>
    <t>0465</t>
  </si>
  <si>
    <t>Leonard</t>
  </si>
  <si>
    <t>Anthony DeBaar</t>
  </si>
  <si>
    <t>1325 LEONARD ST NW</t>
  </si>
  <si>
    <t>(616) 454-2457</t>
  </si>
  <si>
    <t>0466</t>
  </si>
  <si>
    <t>Kalamazoo</t>
  </si>
  <si>
    <t>Michael Guiles</t>
  </si>
  <si>
    <t>6700 KALAMAZOO AVE SE</t>
  </si>
  <si>
    <t>(616) 608-0660</t>
  </si>
  <si>
    <t>0467</t>
  </si>
  <si>
    <t>Beltline</t>
  </si>
  <si>
    <t>Hannah Gramza</t>
  </si>
  <si>
    <t>2205 E BELTLINE AVE NE</t>
  </si>
  <si>
    <t>49525-9779</t>
  </si>
  <si>
    <t>(616) 447-9560</t>
  </si>
  <si>
    <t>0468</t>
  </si>
  <si>
    <t>Plainfield</t>
  </si>
  <si>
    <t>Dan Erb</t>
  </si>
  <si>
    <t>3752 PLAINFIELD AVE NE</t>
  </si>
  <si>
    <t>(616) 364-4871</t>
  </si>
  <si>
    <t>0469</t>
  </si>
  <si>
    <t>44th Street</t>
  </si>
  <si>
    <t>Samuel Angok</t>
  </si>
  <si>
    <t>604 44TH ST SE</t>
  </si>
  <si>
    <t>(616) 532-7600</t>
  </si>
  <si>
    <t>0470</t>
  </si>
  <si>
    <t>Fuller Street</t>
  </si>
  <si>
    <t>Randall Rapelje</t>
  </si>
  <si>
    <t>340 FULLER AVE NE</t>
  </si>
  <si>
    <t>(616) 776-0365</t>
  </si>
  <si>
    <t>0471</t>
  </si>
  <si>
    <t>28th Street</t>
  </si>
  <si>
    <t>Joshua Johnson</t>
  </si>
  <si>
    <t>3797 28TH ST SE</t>
  </si>
  <si>
    <t>(616) 940-0904</t>
  </si>
  <si>
    <t>0473</t>
  </si>
  <si>
    <t>Walker</t>
  </si>
  <si>
    <t>Zachary Hoover</t>
  </si>
  <si>
    <t>4260 LAKE MICHIGAN DR NW</t>
  </si>
  <si>
    <t>49534-4529</t>
  </si>
  <si>
    <t>(616) 453-9792</t>
  </si>
  <si>
    <t>0474</t>
  </si>
  <si>
    <t>Cascade</t>
  </si>
  <si>
    <t>Joshua Colombe</t>
  </si>
  <si>
    <t>6771 OLD 28TH ST SE</t>
  </si>
  <si>
    <t>49546-6923</t>
  </si>
  <si>
    <t>(616) 942-5361</t>
  </si>
  <si>
    <t>0475</t>
  </si>
  <si>
    <t>Jenison</t>
  </si>
  <si>
    <t>Ian Hodges</t>
  </si>
  <si>
    <t>325 BALDWIN ST</t>
  </si>
  <si>
    <t>JENISON</t>
  </si>
  <si>
    <t>49428-7988</t>
  </si>
  <si>
    <t>(616) 457-4540</t>
  </si>
  <si>
    <t>0476</t>
  </si>
  <si>
    <t>Greenville</t>
  </si>
  <si>
    <t>Thomas Shinabargar</t>
  </si>
  <si>
    <t>725 N LAFAYETTE ST</t>
  </si>
  <si>
    <t>GREENVILLE</t>
  </si>
  <si>
    <t>48838-1125</t>
  </si>
  <si>
    <t>(616) 754-8482</t>
  </si>
  <si>
    <t>0477</t>
  </si>
  <si>
    <t>Byron Center</t>
  </si>
  <si>
    <t>294 84TH STREET</t>
  </si>
  <si>
    <t>BYRON CENTER</t>
  </si>
  <si>
    <t>(616) 557-9460</t>
  </si>
  <si>
    <t>Wilder</t>
  </si>
  <si>
    <t>Summer Wade</t>
  </si>
  <si>
    <t>3631 WILDER RD</t>
  </si>
  <si>
    <t>BAY CITY</t>
  </si>
  <si>
    <t>(989) 686-4400</t>
  </si>
  <si>
    <t>N. Union</t>
  </si>
  <si>
    <t>Garrett Meinhard</t>
  </si>
  <si>
    <t>901 N EUCLID AVE</t>
  </si>
  <si>
    <t>(989) 922-1289</t>
  </si>
  <si>
    <t>Center Ave</t>
  </si>
  <si>
    <t>Anthony Rocha</t>
  </si>
  <si>
    <t>2921 CENTER AVE</t>
  </si>
  <si>
    <t>ESSEXVILLE</t>
  </si>
  <si>
    <t>(209) 519-4465</t>
  </si>
  <si>
    <t>Saginaw</t>
  </si>
  <si>
    <t>1214 S SAGINAW RD</t>
  </si>
  <si>
    <t>MIDLAND</t>
  </si>
  <si>
    <t>(989) 631-2642</t>
  </si>
  <si>
    <t>Cinema</t>
  </si>
  <si>
    <t>Brittany Frick</t>
  </si>
  <si>
    <t>525 JOE MANN BLVD</t>
  </si>
  <si>
    <t>(989) 633-2740</t>
  </si>
  <si>
    <t>Craig Hill</t>
  </si>
  <si>
    <t>430 S MISSION ST</t>
  </si>
  <si>
    <t>MOUNT PLEASANT</t>
  </si>
  <si>
    <t>(989) 772-5860</t>
  </si>
  <si>
    <t>Collin VanDorn</t>
  </si>
  <si>
    <t>Lawndale</t>
  </si>
  <si>
    <t>Dani Tickner</t>
  </si>
  <si>
    <t>6075 STATE STREET</t>
  </si>
  <si>
    <t>(989) 249-1589</t>
  </si>
  <si>
    <t>Pickard</t>
  </si>
  <si>
    <t>John Hagerman</t>
  </si>
  <si>
    <t>5190 E PICKARD STREET</t>
  </si>
  <si>
    <t>(989) 779-0505</t>
  </si>
  <si>
    <t>Badger Dr</t>
  </si>
  <si>
    <t>Cammie Eberlin</t>
  </si>
  <si>
    <t>2251 BADGER DRIVE</t>
  </si>
  <si>
    <t>(715) 760-9532</t>
  </si>
  <si>
    <t>Rogers</t>
  </si>
  <si>
    <t>Oscar Hernandez</t>
  </si>
  <si>
    <t>21421 S DIAMOND LAKE RD</t>
  </si>
  <si>
    <t>ROGERS</t>
  </si>
  <si>
    <t>(763) 260-4669</t>
  </si>
  <si>
    <t>Minnetonka</t>
  </si>
  <si>
    <t>17600 MN-7 MINNETONKA</t>
  </si>
  <si>
    <t>MINNETONKA</t>
  </si>
  <si>
    <t>(952) 377-8113</t>
  </si>
  <si>
    <t>Duluth Heights</t>
  </si>
  <si>
    <t>Jason Hanratty</t>
  </si>
  <si>
    <t>604 W CENTRAL ENTRANCE</t>
  </si>
  <si>
    <t>(218) 461-0919</t>
  </si>
  <si>
    <t>Riverside</t>
  </si>
  <si>
    <t>Parker Olson</t>
  </si>
  <si>
    <t>1604 CROSSINGS LOOP</t>
  </si>
  <si>
    <t>(320) 247-6270</t>
  </si>
  <si>
    <t>Ulysses</t>
  </si>
  <si>
    <t>12311 ULYSSES ST NE</t>
  </si>
  <si>
    <t>BLAINE</t>
  </si>
  <si>
    <t>(763) 328-0266</t>
  </si>
  <si>
    <t>Mankato</t>
  </si>
  <si>
    <t>Chad Olson</t>
  </si>
  <si>
    <t>1541 MADISON AVE</t>
  </si>
  <si>
    <t>MANKATO</t>
  </si>
  <si>
    <t>(507) 769-0419</t>
  </si>
  <si>
    <t>Forest Lake</t>
  </si>
  <si>
    <t>Chandler Kenning</t>
  </si>
  <si>
    <t>1106 BROADWAY AVE W</t>
  </si>
  <si>
    <t>FOREST LAKE</t>
  </si>
  <si>
    <t>(612) 444-9009</t>
  </si>
  <si>
    <t>Round Lake Blvd</t>
  </si>
  <si>
    <t>3201 ROUND LAKE BOULEVARD</t>
  </si>
  <si>
    <t>ANOKA</t>
  </si>
  <si>
    <t>(763) 220-8479</t>
  </si>
  <si>
    <t>Jefferson Hwy</t>
  </si>
  <si>
    <t>Scott Baanrud</t>
  </si>
  <si>
    <t>12218 BUSINESS PARK BLVD N</t>
  </si>
  <si>
    <t>CHAMPLIN</t>
  </si>
  <si>
    <t>(763) 220-8489</t>
  </si>
  <si>
    <t>Fridley</t>
  </si>
  <si>
    <t>Kenneth Ward</t>
  </si>
  <si>
    <t>7699 HWY 65 NE</t>
  </si>
  <si>
    <t>FRIDLEY</t>
  </si>
  <si>
    <t>(763) 220-8791</t>
  </si>
  <si>
    <t>Voyageur</t>
  </si>
  <si>
    <t>Kass Teahan</t>
  </si>
  <si>
    <t>222 LINCOLN AVE SE</t>
  </si>
  <si>
    <t>(320) 200-0389</t>
  </si>
  <si>
    <t>Flying Cloud</t>
  </si>
  <si>
    <t>Fred Melo-Angeles</t>
  </si>
  <si>
    <t>8340 CRYSTAL VIEW RD</t>
  </si>
  <si>
    <t>EDEN PRAIRIE</t>
  </si>
  <si>
    <t>(612) 444-6204</t>
  </si>
  <si>
    <t>Maplewood</t>
  </si>
  <si>
    <t>Leah Goodson</t>
  </si>
  <si>
    <t>3050 WHITE BEAR AVE</t>
  </si>
  <si>
    <t>MAPLEWOOD</t>
  </si>
  <si>
    <t>(612) 444-6510</t>
  </si>
  <si>
    <t>Springbrook</t>
  </si>
  <si>
    <t>Nick Haas</t>
  </si>
  <si>
    <t>8501 SPRINGBROOK DR</t>
  </si>
  <si>
    <t>COON RAPIDS</t>
  </si>
  <si>
    <t>(612) 238-1455</t>
  </si>
  <si>
    <t>Stillwater</t>
  </si>
  <si>
    <t>Carlos Mejia Rivas</t>
  </si>
  <si>
    <t>14100 60TH STREET N</t>
  </si>
  <si>
    <t>STILLWATER</t>
  </si>
  <si>
    <t>(651) 300-6755</t>
  </si>
  <si>
    <t>Arden Hills</t>
  </si>
  <si>
    <t>Vanessa Pumper</t>
  </si>
  <si>
    <t>3751 LEXINGTON AVE N</t>
  </si>
  <si>
    <t>ARDEN HILLS</t>
  </si>
  <si>
    <t>(612) 405-5612</t>
  </si>
  <si>
    <t>Onalaska</t>
  </si>
  <si>
    <t>Walter Stavroplus</t>
  </si>
  <si>
    <t>3850 WI-16</t>
  </si>
  <si>
    <t>LA CROSSE</t>
  </si>
  <si>
    <t>(608) 433-0884</t>
  </si>
  <si>
    <t>0401</t>
  </si>
  <si>
    <t>Cottage Grove</t>
  </si>
  <si>
    <t>8420 EAST POINT DOUGLAS ROAD</t>
  </si>
  <si>
    <t>COTTAGE GROVE</t>
  </si>
  <si>
    <t>(651) 458-8971</t>
  </si>
  <si>
    <t>0402</t>
  </si>
  <si>
    <t>Saint Cloud</t>
  </si>
  <si>
    <t>Christopher Hage</t>
  </si>
  <si>
    <t>3104 WEST DIVISION STREET</t>
  </si>
  <si>
    <t>(320) 253-4204</t>
  </si>
  <si>
    <t>0430</t>
  </si>
  <si>
    <t>Plymouth</t>
  </si>
  <si>
    <t>Travis Singleton</t>
  </si>
  <si>
    <t>11318 HIGHWAY 55</t>
  </si>
  <si>
    <t>(763) 541-1419</t>
  </si>
  <si>
    <t>0432</t>
  </si>
  <si>
    <t>Apple Valley</t>
  </si>
  <si>
    <t>Angel Cart</t>
  </si>
  <si>
    <t>15620 ENGLISH AVE</t>
  </si>
  <si>
    <t>(651) 401-1960</t>
  </si>
  <si>
    <t>0451</t>
  </si>
  <si>
    <t>Columbia Heights</t>
  </si>
  <si>
    <t>4423 CENTRAL AVE NE</t>
  </si>
  <si>
    <t>COLUMBIA HEIGHTS</t>
  </si>
  <si>
    <t>(763) 788-1631</t>
  </si>
  <si>
    <t>0452</t>
  </si>
  <si>
    <t>Shoreview</t>
  </si>
  <si>
    <t>Melvin Cortes Cervantes</t>
  </si>
  <si>
    <t>4595 HODGSON ROAD</t>
  </si>
  <si>
    <t>SHOREVIEW</t>
  </si>
  <si>
    <t>(651) 483-1752</t>
  </si>
  <si>
    <t>0601</t>
  </si>
  <si>
    <t>Edina</t>
  </si>
  <si>
    <t>Darcy Barreno</t>
  </si>
  <si>
    <t>7711 NORMANDALE RD</t>
  </si>
  <si>
    <t>EDINA</t>
  </si>
  <si>
    <t>(952) 835-2363</t>
  </si>
  <si>
    <t>0602</t>
  </si>
  <si>
    <t>Downtowner</t>
  </si>
  <si>
    <t>Victor Rivas</t>
  </si>
  <si>
    <t>520 7TH ST E</t>
  </si>
  <si>
    <t>SAINT PAUL</t>
  </si>
  <si>
    <t>55101-2400</t>
  </si>
  <si>
    <t>(651) 222-7045</t>
  </si>
  <si>
    <t>0605</t>
  </si>
  <si>
    <t>Roseville</t>
  </si>
  <si>
    <t>1555 WEST COUNTY ROAD B</t>
  </si>
  <si>
    <t>ROSEVILLE</t>
  </si>
  <si>
    <t>(651) 631-0220</t>
  </si>
  <si>
    <t>0606</t>
  </si>
  <si>
    <t>St Louis Park</t>
  </si>
  <si>
    <t>Eric Bruce</t>
  </si>
  <si>
    <t>8650 HIGHWAY 7</t>
  </si>
  <si>
    <t>SAINT LOUIS PARK</t>
  </si>
  <si>
    <t>(952) 931-9412</t>
  </si>
  <si>
    <t>0608</t>
  </si>
  <si>
    <t>West St Paul</t>
  </si>
  <si>
    <t>Jordan Leopold</t>
  </si>
  <si>
    <t>110 THOMPSON AVENUE EAST</t>
  </si>
  <si>
    <t>WEST SAINT PAUL</t>
  </si>
  <si>
    <t>(651) 455-1304</t>
  </si>
  <si>
    <t>0609</t>
  </si>
  <si>
    <t>Anoka</t>
  </si>
  <si>
    <t>700 EAST RIVER ROAD</t>
  </si>
  <si>
    <t>(763) 427-1860</t>
  </si>
  <si>
    <t>0612</t>
  </si>
  <si>
    <t>Brooklyn Park</t>
  </si>
  <si>
    <t>Dalton Bliss</t>
  </si>
  <si>
    <t>8508 XYLON AVENUE NORTH</t>
  </si>
  <si>
    <t>BROOKLYN PARK</t>
  </si>
  <si>
    <t>(763) 424-6954</t>
  </si>
  <si>
    <t>0613</t>
  </si>
  <si>
    <t>71st Street</t>
  </si>
  <si>
    <t>Mandi Hesse</t>
  </si>
  <si>
    <t>7100 W BROADWAY AVE</t>
  </si>
  <si>
    <t>(763) 566-1388</t>
  </si>
  <si>
    <t>0614</t>
  </si>
  <si>
    <t>Zane</t>
  </si>
  <si>
    <t>Alayna Baker</t>
  </si>
  <si>
    <t>5909 96TH LANE NORTH</t>
  </si>
  <si>
    <t>(763) 290-1452</t>
  </si>
  <si>
    <t>0801</t>
  </si>
  <si>
    <t>41st Street</t>
  </si>
  <si>
    <t>Travis Wiers</t>
  </si>
  <si>
    <t>3223 41ST STREET NW</t>
  </si>
  <si>
    <t>ROCHESTER</t>
  </si>
  <si>
    <t>(507) 424-3023</t>
  </si>
  <si>
    <t>0802</t>
  </si>
  <si>
    <t>Crossroads</t>
  </si>
  <si>
    <t>Kaleb Carman</t>
  </si>
  <si>
    <t>333 CROSSROADS DR SW</t>
  </si>
  <si>
    <t>(507) 280-6233</t>
  </si>
  <si>
    <t>0803</t>
  </si>
  <si>
    <t>River Road</t>
  </si>
  <si>
    <t>Demarcus Bedford</t>
  </si>
  <si>
    <t>3939 WEST RIVER PKWY NW</t>
  </si>
  <si>
    <t>(507) 280-9049</t>
  </si>
  <si>
    <t>Mill St</t>
  </si>
  <si>
    <t>Brandon Newton</t>
  </si>
  <si>
    <t>350 N EASTGATE AVE</t>
  </si>
  <si>
    <t>(417) 708-7205</t>
  </si>
  <si>
    <t>Route 66</t>
  </si>
  <si>
    <t>Hannah Thomas</t>
  </si>
  <si>
    <t>1521 WEST TURNER STREET</t>
  </si>
  <si>
    <t>(417) 812-8488</t>
  </si>
  <si>
    <t>Republic</t>
  </si>
  <si>
    <t>Trent Baker</t>
  </si>
  <si>
    <t>1358 US HWY 60</t>
  </si>
  <si>
    <t>REPUBLIC</t>
  </si>
  <si>
    <t>(417) 233-1217</t>
  </si>
  <si>
    <t>0751</t>
  </si>
  <si>
    <t>Battlefield</t>
  </si>
  <si>
    <t>Brett Bischoff</t>
  </si>
  <si>
    <t>1240 E BATTLEFIELD ST</t>
  </si>
  <si>
    <t>(417) 881-0435</t>
  </si>
  <si>
    <t>August Clark</t>
  </si>
  <si>
    <t>0753</t>
  </si>
  <si>
    <t>Campbell</t>
  </si>
  <si>
    <t>Jacob Watkins</t>
  </si>
  <si>
    <t>4115 S CAMPBELL AVE</t>
  </si>
  <si>
    <t>(417) 886-8570</t>
  </si>
  <si>
    <t>0754</t>
  </si>
  <si>
    <t>Glenstone</t>
  </si>
  <si>
    <t>Brett Carter</t>
  </si>
  <si>
    <t>1146 S GLENSTONE AVE</t>
  </si>
  <si>
    <t>65804-0314</t>
  </si>
  <si>
    <t>(417) 201-5177</t>
  </si>
  <si>
    <t>0755</t>
  </si>
  <si>
    <t>S Cox</t>
  </si>
  <si>
    <t>Curtis Lohkamp</t>
  </si>
  <si>
    <t>1820 W BATTLEFIELD RD</t>
  </si>
  <si>
    <t>65807-4112</t>
  </si>
  <si>
    <t>(417) 201-5178</t>
  </si>
  <si>
    <t>0757</t>
  </si>
  <si>
    <t>Kansas Expressway</t>
  </si>
  <si>
    <t>Brittany McClelland</t>
  </si>
  <si>
    <t>1737 SOUTH KANSAS EXPRESSWAY</t>
  </si>
  <si>
    <t>(417) 831-8072</t>
  </si>
  <si>
    <t>0861</t>
  </si>
  <si>
    <t>Ridgeland</t>
  </si>
  <si>
    <t>Brian Magee</t>
  </si>
  <si>
    <t>110 LAKE HARBOUR DR</t>
  </si>
  <si>
    <t>RIDGELAND</t>
  </si>
  <si>
    <t>(601) 898-8811</t>
  </si>
  <si>
    <t>0862</t>
  </si>
  <si>
    <t>Stribling Lane</t>
  </si>
  <si>
    <t>Kevin Jackson</t>
  </si>
  <si>
    <t>111 STRIBLING LANE</t>
  </si>
  <si>
    <t>(601) 724-1358</t>
  </si>
  <si>
    <t>0863</t>
  </si>
  <si>
    <t>Clinton</t>
  </si>
  <si>
    <t>Rebecca Hendricks</t>
  </si>
  <si>
    <t>1023 HAMPSTEAD BLVD</t>
  </si>
  <si>
    <t>CLINTON</t>
  </si>
  <si>
    <t>(601) 925-9728</t>
  </si>
  <si>
    <t>0864</t>
  </si>
  <si>
    <t>Hwy 39</t>
  </si>
  <si>
    <t>Teia Hopson</t>
  </si>
  <si>
    <t>1716 HWY 39</t>
  </si>
  <si>
    <t>(601) 286-3123</t>
  </si>
  <si>
    <t>Chris Large</t>
  </si>
  <si>
    <t>0866</t>
  </si>
  <si>
    <t>Meadowbrook</t>
  </si>
  <si>
    <t>Brittany Robbins</t>
  </si>
  <si>
    <t>240 MEADOWBROOK RD</t>
  </si>
  <si>
    <t>(601) 321-9001</t>
  </si>
  <si>
    <t>0867</t>
  </si>
  <si>
    <t>I-55</t>
  </si>
  <si>
    <t>Joshua Griffin</t>
  </si>
  <si>
    <t>4782 I-55 N FRONTAGE RD</t>
  </si>
  <si>
    <t>(601) 398-4815</t>
  </si>
  <si>
    <t>0868</t>
  </si>
  <si>
    <t>Richland</t>
  </si>
  <si>
    <t>Jayla Neal</t>
  </si>
  <si>
    <t>109 E HARPER ST</t>
  </si>
  <si>
    <t>(601) 215-8030</t>
  </si>
  <si>
    <t>Los Lunas</t>
  </si>
  <si>
    <t>Alfred Morris</t>
  </si>
  <si>
    <t>1503 MAIN ST SW</t>
  </si>
  <si>
    <t>LOS LUNAS</t>
  </si>
  <si>
    <t>(505) 532-4292</t>
  </si>
  <si>
    <t>Volcano</t>
  </si>
  <si>
    <t>Haven Valdespino</t>
  </si>
  <si>
    <t>201 98TH ST NW</t>
  </si>
  <si>
    <t>(505) 208-6140</t>
  </si>
  <si>
    <t>Rio Bravo</t>
  </si>
  <si>
    <t>Emanol Serrano</t>
  </si>
  <si>
    <t>3155 AVANZANDO RD SW</t>
  </si>
  <si>
    <t>(505) 658-4032</t>
  </si>
  <si>
    <t>Gibson</t>
  </si>
  <si>
    <t>Isaiah Barraza-Martinez</t>
  </si>
  <si>
    <t>2020 GIBSON BLVD SE</t>
  </si>
  <si>
    <t>(505) 532-4200</t>
  </si>
  <si>
    <t>Southern</t>
  </si>
  <si>
    <t>David Loera</t>
  </si>
  <si>
    <t>2410 SOUTHERN BLVD SE</t>
  </si>
  <si>
    <t>RIO RANCHO</t>
  </si>
  <si>
    <t>(505) 532-4282</t>
  </si>
  <si>
    <t>Fiesta Park</t>
  </si>
  <si>
    <t>Michelle Ward</t>
  </si>
  <si>
    <t>4709 ALAMEDA BLVD NE</t>
  </si>
  <si>
    <t>(505) 273-8336</t>
  </si>
  <si>
    <t>Montoya</t>
  </si>
  <si>
    <t>Jennae Gomez</t>
  </si>
  <si>
    <t>7941 MONTOYA RD</t>
  </si>
  <si>
    <t>(505) 814-0056</t>
  </si>
  <si>
    <t>0388</t>
  </si>
  <si>
    <t>2nd Street</t>
  </si>
  <si>
    <t>John Hedrick</t>
  </si>
  <si>
    <t>2300 N 4TH ST NW</t>
  </si>
  <si>
    <t>(505) 242-1553</t>
  </si>
  <si>
    <t>0389</t>
  </si>
  <si>
    <t>Rio Rancho</t>
  </si>
  <si>
    <t>Jose Montoya</t>
  </si>
  <si>
    <t>2421 NEW MEXICO HWY 528 SE</t>
  </si>
  <si>
    <t>(505) 404-9141</t>
  </si>
  <si>
    <t>0391</t>
  </si>
  <si>
    <t>Central Ave</t>
  </si>
  <si>
    <t>Jon Woodruff</t>
  </si>
  <si>
    <t>5308 CENTRAL AVE SE</t>
  </si>
  <si>
    <t>(505) 265-1507</t>
  </si>
  <si>
    <t>0392</t>
  </si>
  <si>
    <t>Coors Blvd</t>
  </si>
  <si>
    <t>Luis Ramirez</t>
  </si>
  <si>
    <t>3101 COORS BLVD NW</t>
  </si>
  <si>
    <t>(505) 831-0595</t>
  </si>
  <si>
    <t>0393</t>
  </si>
  <si>
    <t>Snow Heights</t>
  </si>
  <si>
    <t>9516 SNOW HEIGHTS CIRCLE N E</t>
  </si>
  <si>
    <t>(505) 298-8833</t>
  </si>
  <si>
    <t>0394</t>
  </si>
  <si>
    <t>San Mateo</t>
  </si>
  <si>
    <t>Jonathan Smith</t>
  </si>
  <si>
    <t>5215 SAN MATEO N E</t>
  </si>
  <si>
    <t>(505) 883-9774</t>
  </si>
  <si>
    <t>0395</t>
  </si>
  <si>
    <t>San Pedro</t>
  </si>
  <si>
    <t>Samuel Mumaw</t>
  </si>
  <si>
    <t>8100 SAN PEDRO N E</t>
  </si>
  <si>
    <t>(505) 797-3503</t>
  </si>
  <si>
    <t>Carlos Briones</t>
  </si>
  <si>
    <t>0397</t>
  </si>
  <si>
    <t>Bernalillo</t>
  </si>
  <si>
    <t>Estevon Loera</t>
  </si>
  <si>
    <t>324 W HIGHWAY 550</t>
  </si>
  <si>
    <t>BERNALILLO</t>
  </si>
  <si>
    <t>(505) 257-3658</t>
  </si>
  <si>
    <t>0398</t>
  </si>
  <si>
    <t>Valencia</t>
  </si>
  <si>
    <t>Sonia Torres Diaz</t>
  </si>
  <si>
    <t>6016 CENTRAL AVE SE</t>
  </si>
  <si>
    <t>(505) 639-4375</t>
  </si>
  <si>
    <t>0399</t>
  </si>
  <si>
    <t>Homestead</t>
  </si>
  <si>
    <t>Brandon Hernandez</t>
  </si>
  <si>
    <t>4200 SAN MATEO BLVD NE</t>
  </si>
  <si>
    <t>(505) 207-6802</t>
  </si>
  <si>
    <t>Pinon Hills</t>
  </si>
  <si>
    <t>Nizhoni Bell</t>
  </si>
  <si>
    <t>5530 E MAIN ST</t>
  </si>
  <si>
    <t>87402-8653</t>
  </si>
  <si>
    <t>(505) 336-5277</t>
  </si>
  <si>
    <t>Ediel Enriquez</t>
  </si>
  <si>
    <t>0032</t>
  </si>
  <si>
    <t>West Main</t>
  </si>
  <si>
    <t>Paul Livingston</t>
  </si>
  <si>
    <t>1309 W MAIN ST</t>
  </si>
  <si>
    <t>(505) 258-4627</t>
  </si>
  <si>
    <t>Sonoma Ranch</t>
  </si>
  <si>
    <t>Jennifer Nunez</t>
  </si>
  <si>
    <t>189 N SONOMA RANCH BLVD</t>
  </si>
  <si>
    <t>(575) 323-1737</t>
  </si>
  <si>
    <t>0386</t>
  </si>
  <si>
    <t>Lujan</t>
  </si>
  <si>
    <t>Rafael Quezada</t>
  </si>
  <si>
    <t>543 S LUJAN ST</t>
  </si>
  <si>
    <t>(575) 525-9137</t>
  </si>
  <si>
    <t>0387</t>
  </si>
  <si>
    <t>Main St</t>
  </si>
  <si>
    <t>Julian Rubio</t>
  </si>
  <si>
    <t>2935 N MAIN ST</t>
  </si>
  <si>
    <t>(575) 541-9010</t>
  </si>
  <si>
    <t>Jonestown</t>
  </si>
  <si>
    <t>Nathaniel Tress</t>
  </si>
  <si>
    <t>5390 JONESTOWN ROAD</t>
  </si>
  <si>
    <t>HARRISBURG</t>
  </si>
  <si>
    <t>(717) 836-0884</t>
  </si>
  <si>
    <t>0686</t>
  </si>
  <si>
    <t>Ephrata</t>
  </si>
  <si>
    <t>Patrick Billet</t>
  </si>
  <si>
    <t>825 WEST MAIN STREET</t>
  </si>
  <si>
    <t>EPHRATA</t>
  </si>
  <si>
    <t>(717) 301-8007</t>
  </si>
  <si>
    <t>0688</t>
  </si>
  <si>
    <t>York</t>
  </si>
  <si>
    <t>William Metzinger</t>
  </si>
  <si>
    <t>2720 EAST MARKET ST</t>
  </si>
  <si>
    <t>YORK</t>
  </si>
  <si>
    <t>(717) 840-9000</t>
  </si>
  <si>
    <t>0690</t>
  </si>
  <si>
    <t>Lancaster</t>
  </si>
  <si>
    <t>Nicholas Miceli</t>
  </si>
  <si>
    <t>1417 MANHEIM PIKE</t>
  </si>
  <si>
    <t>(717) 678-6513</t>
  </si>
  <si>
    <t>0692</t>
  </si>
  <si>
    <t>Reading</t>
  </si>
  <si>
    <t>600 REVERE BLVD</t>
  </si>
  <si>
    <t>READING</t>
  </si>
  <si>
    <t>(717) 325-4162</t>
  </si>
  <si>
    <t>0831</t>
  </si>
  <si>
    <t>Gallatin</t>
  </si>
  <si>
    <t>Ben Haynes</t>
  </si>
  <si>
    <t>941 MEMORY LANE</t>
  </si>
  <si>
    <t>GALLATIN</t>
  </si>
  <si>
    <t>(615) 451-0730</t>
  </si>
  <si>
    <t>0832</t>
  </si>
  <si>
    <t>Hermitage</t>
  </si>
  <si>
    <t>Harley Pettis</t>
  </si>
  <si>
    <t>4841 LEBANON PIKE</t>
  </si>
  <si>
    <t>HERMITAGE</t>
  </si>
  <si>
    <t>(615) 889-4889</t>
  </si>
  <si>
    <t>0833</t>
  </si>
  <si>
    <t>Nashboro</t>
  </si>
  <si>
    <t>2130 MURFREESBORO PIKE</t>
  </si>
  <si>
    <t>(615) 360-3490</t>
  </si>
  <si>
    <t>0834</t>
  </si>
  <si>
    <t>Columbia Tn</t>
  </si>
  <si>
    <t>Eric Graham</t>
  </si>
  <si>
    <t>403 SOUTH JAMES CAMPBELL BLVD</t>
  </si>
  <si>
    <t>COLUMBIA</t>
  </si>
  <si>
    <t>(931) 388-3360</t>
  </si>
  <si>
    <t>0835</t>
  </si>
  <si>
    <t>Lavergne</t>
  </si>
  <si>
    <t>Sharline Jusino</t>
  </si>
  <si>
    <t>4201 HURRICANE CREEK BLVD</t>
  </si>
  <si>
    <t>ANTIOCH</t>
  </si>
  <si>
    <t>(615) 641-6228</t>
  </si>
  <si>
    <t>0836</t>
  </si>
  <si>
    <t>Murfreesboro</t>
  </si>
  <si>
    <t>Mikel Brown</t>
  </si>
  <si>
    <t>3337 MEMORIAL BLVD</t>
  </si>
  <si>
    <t>MURFREESBORO</t>
  </si>
  <si>
    <t>(615) 848-1577</t>
  </si>
  <si>
    <t>0837</t>
  </si>
  <si>
    <t>Highway 96</t>
  </si>
  <si>
    <t>Brendan Stubblefield</t>
  </si>
  <si>
    <t>3320 FRANKLIN RD</t>
  </si>
  <si>
    <t>(615) 896-7550</t>
  </si>
  <si>
    <t>0838</t>
  </si>
  <si>
    <t>Smyrna</t>
  </si>
  <si>
    <t>Troy Smith</t>
  </si>
  <si>
    <t>1200 NEEDHAM DR</t>
  </si>
  <si>
    <t>SMYRNA</t>
  </si>
  <si>
    <t>(615) 355-0154</t>
  </si>
  <si>
    <t>0839</t>
  </si>
  <si>
    <t>Mount Juliet</t>
  </si>
  <si>
    <t>457 N MOUNT JULIET  RD</t>
  </si>
  <si>
    <t>MOUNT JULIET</t>
  </si>
  <si>
    <t>(615) 773-5246</t>
  </si>
  <si>
    <t>0840</t>
  </si>
  <si>
    <t>Hendersonville</t>
  </si>
  <si>
    <t>Isaiah Montgomery</t>
  </si>
  <si>
    <t>223 EAST MAIN ST</t>
  </si>
  <si>
    <t>HENDERSONVILLE</t>
  </si>
  <si>
    <t>(615) 822-8627</t>
  </si>
  <si>
    <t>0841</t>
  </si>
  <si>
    <t>East Nashville</t>
  </si>
  <si>
    <t>Reginald Roby</t>
  </si>
  <si>
    <t>2831 GALLATIN PIKE</t>
  </si>
  <si>
    <t>(615) 226-2441</t>
  </si>
  <si>
    <t>0842</t>
  </si>
  <si>
    <t>Nolensville Pike</t>
  </si>
  <si>
    <t>Kortney Mckissack</t>
  </si>
  <si>
    <t>4024 NOLENSVILLE PIKE</t>
  </si>
  <si>
    <t>(615) 928-8022</t>
  </si>
  <si>
    <t>0844</t>
  </si>
  <si>
    <t>Dunbar Cave</t>
  </si>
  <si>
    <t>Kelci Crider</t>
  </si>
  <si>
    <t>1820 WILMA RUDOLPH BLVD</t>
  </si>
  <si>
    <t>CLARKSVILLE</t>
  </si>
  <si>
    <t>37040-6089</t>
  </si>
  <si>
    <t>(931) 648-1333</t>
  </si>
  <si>
    <t>0845</t>
  </si>
  <si>
    <t>Needmore</t>
  </si>
  <si>
    <t>Cordaro Jarratt</t>
  </si>
  <si>
    <t>2640 WILMA RUDOLPH BLVD</t>
  </si>
  <si>
    <t>37040-5836</t>
  </si>
  <si>
    <t>(931) 919-5151</t>
  </si>
  <si>
    <t>0846</t>
  </si>
  <si>
    <t>Dover Crossing</t>
  </si>
  <si>
    <t>Nicholas Raines</t>
  </si>
  <si>
    <t>30 DOVER CROSSING RD</t>
  </si>
  <si>
    <t>37042-4111</t>
  </si>
  <si>
    <t>(931) 542-2625</t>
  </si>
  <si>
    <t>Quail Valley</t>
  </si>
  <si>
    <t>Michael Moore</t>
  </si>
  <si>
    <t>2094 HWY 351</t>
  </si>
  <si>
    <t>(325) 298-4520</t>
  </si>
  <si>
    <t>Pioneer</t>
  </si>
  <si>
    <t>130 S PIONEER DR</t>
  </si>
  <si>
    <t>(325) 244-6277</t>
  </si>
  <si>
    <t>0291</t>
  </si>
  <si>
    <t>Buffalo Gap</t>
  </si>
  <si>
    <t>Eduardo Enciso</t>
  </si>
  <si>
    <t>4002 BUFFALO GAP RD</t>
  </si>
  <si>
    <t>(325) 437-2562</t>
  </si>
  <si>
    <t>0292</t>
  </si>
  <si>
    <t>Judge Ely</t>
  </si>
  <si>
    <t>501 S JUDGE ELY BLVD</t>
  </si>
  <si>
    <t>(325) 437-5436</t>
  </si>
  <si>
    <t>Leanna Ramirez</t>
  </si>
  <si>
    <t>0294</t>
  </si>
  <si>
    <t>Hwy 314</t>
  </si>
  <si>
    <t>6118 BUFFALO GAP RD</t>
  </si>
  <si>
    <t>(325) 283-2052</t>
  </si>
  <si>
    <t>0301</t>
  </si>
  <si>
    <t>Burnet</t>
  </si>
  <si>
    <t>Blaine Mallon</t>
  </si>
  <si>
    <t>5721 BURNET ROAD</t>
  </si>
  <si>
    <t>(512) 451-4970</t>
  </si>
  <si>
    <t>0305</t>
  </si>
  <si>
    <t>Research</t>
  </si>
  <si>
    <t>Steven Cates</t>
  </si>
  <si>
    <t>8500 RESEARCH BLVD STE 100</t>
  </si>
  <si>
    <t>(512) 467-6633</t>
  </si>
  <si>
    <t>Nick Taylor</t>
  </si>
  <si>
    <t>0308</t>
  </si>
  <si>
    <t>Whitestone</t>
  </si>
  <si>
    <t>Tyree Johnson</t>
  </si>
  <si>
    <t>1501 W WHITESTONE BLVD</t>
  </si>
  <si>
    <t>CEDAR PARK</t>
  </si>
  <si>
    <t>(512) 904-9786</t>
  </si>
  <si>
    <t>0309</t>
  </si>
  <si>
    <t>Gattis</t>
  </si>
  <si>
    <t>1821 GATTIS SCHOOL RD</t>
  </si>
  <si>
    <t>(512) 218-1236</t>
  </si>
  <si>
    <t>0316</t>
  </si>
  <si>
    <t>Pflugerville</t>
  </si>
  <si>
    <t>Michael Chappell</t>
  </si>
  <si>
    <t>15400 FM-1825</t>
  </si>
  <si>
    <t>PFLUGERVILLE</t>
  </si>
  <si>
    <t>(512) 243-6372</t>
  </si>
  <si>
    <t>0318</t>
  </si>
  <si>
    <t>Oakwood Blvd</t>
  </si>
  <si>
    <t>2000 ROUND ROCK AVE</t>
  </si>
  <si>
    <t>(512) 428-5855</t>
  </si>
  <si>
    <t>Pellicano</t>
  </si>
  <si>
    <t>Lanie Martinez</t>
  </si>
  <si>
    <t>12400 PELLICANO DRIVE</t>
  </si>
  <si>
    <t>(915) 895-5040</t>
  </si>
  <si>
    <t>Sun Bowl Dr</t>
  </si>
  <si>
    <t>Joshua Grijalva</t>
  </si>
  <si>
    <t>2921 N MESA ST</t>
  </si>
  <si>
    <t>(915) 265-7785</t>
  </si>
  <si>
    <t>Eastlake</t>
  </si>
  <si>
    <t>Leopoldo Cereceres Jr</t>
  </si>
  <si>
    <t>12596 ROJAS DR</t>
  </si>
  <si>
    <t>79928-5245</t>
  </si>
  <si>
    <t>(915) 213-0340</t>
  </si>
  <si>
    <t>Sandstone Ranch</t>
  </si>
  <si>
    <t>Jerry Gallegos</t>
  </si>
  <si>
    <t>5240 MARCUS URIBE DR</t>
  </si>
  <si>
    <t>(915) 213-0613</t>
  </si>
  <si>
    <t>Joe Battle</t>
  </si>
  <si>
    <t>John Monahan</t>
  </si>
  <si>
    <t>2214 JOE BATTLE BLVD</t>
  </si>
  <si>
    <t>(915) 213-1228</t>
  </si>
  <si>
    <t>Nuevo Hueco</t>
  </si>
  <si>
    <t>9909 NORTH LOOP DR</t>
  </si>
  <si>
    <t>(915) 213-3232</t>
  </si>
  <si>
    <t>Talbot Rd</t>
  </si>
  <si>
    <t>Mario Recendez</t>
  </si>
  <si>
    <t>901 TALBOT AVE</t>
  </si>
  <si>
    <t>(915) 213-0773</t>
  </si>
  <si>
    <t>Turner</t>
  </si>
  <si>
    <t>Miguel Madrid</t>
  </si>
  <si>
    <t>3689 GEORGE DIETER</t>
  </si>
  <si>
    <t>(915) 344-7176</t>
  </si>
  <si>
    <t>0351</t>
  </si>
  <si>
    <t>Cielo Vista</t>
  </si>
  <si>
    <t>Matthew Rodriguez</t>
  </si>
  <si>
    <t>8857 GATEWAY WEST</t>
  </si>
  <si>
    <t>(915) 778-5104</t>
  </si>
  <si>
    <t>0352</t>
  </si>
  <si>
    <t>Coronado</t>
  </si>
  <si>
    <t>Rafael Salas</t>
  </si>
  <si>
    <t>6237 N MESA</t>
  </si>
  <si>
    <t>(915) 265-6925</t>
  </si>
  <si>
    <t>0353</t>
  </si>
  <si>
    <t>Montwood</t>
  </si>
  <si>
    <t>Jorge Rodriguez</t>
  </si>
  <si>
    <t>12120 MONTWOOD</t>
  </si>
  <si>
    <t>(915) 245-2114</t>
  </si>
  <si>
    <t>0354</t>
  </si>
  <si>
    <t>Osborne</t>
  </si>
  <si>
    <t>Abraham Soriano</t>
  </si>
  <si>
    <t>4800 OSBORNE DRIVE</t>
  </si>
  <si>
    <t>(915) 585-0480</t>
  </si>
  <si>
    <t>0355</t>
  </si>
  <si>
    <t>Paseo Del Norte</t>
  </si>
  <si>
    <t>Pablo Rivera</t>
  </si>
  <si>
    <t>7820 PASEO DEL NORTE BLVD</t>
  </si>
  <si>
    <t>(915) 613-3775</t>
  </si>
  <si>
    <t>0356</t>
  </si>
  <si>
    <t>Zaragoza</t>
  </si>
  <si>
    <t>Sergio Betancourt</t>
  </si>
  <si>
    <t>3516 N ZARAGOZA RD</t>
  </si>
  <si>
    <t>(915) 703-7682</t>
  </si>
  <si>
    <t>0357</t>
  </si>
  <si>
    <t>Hondo Pass</t>
  </si>
  <si>
    <t>8950 DYER ST</t>
  </si>
  <si>
    <t>(915) 265-6926</t>
  </si>
  <si>
    <t>Fernando Lopez</t>
  </si>
  <si>
    <t>0362</t>
  </si>
  <si>
    <t>George Dieter</t>
  </si>
  <si>
    <t>Omar Acosta</t>
  </si>
  <si>
    <t>1482 GEORGE DIETER</t>
  </si>
  <si>
    <t>(915) 856-7407</t>
  </si>
  <si>
    <t>0363</t>
  </si>
  <si>
    <t>North Loop</t>
  </si>
  <si>
    <t>Miguel Rios</t>
  </si>
  <si>
    <t>8835 NORTH LOOP</t>
  </si>
  <si>
    <t>(915) 858-0820</t>
  </si>
  <si>
    <t>0364</t>
  </si>
  <si>
    <t>Dyer</t>
  </si>
  <si>
    <t>9811 DYER</t>
  </si>
  <si>
    <t>(915) 757-1485</t>
  </si>
  <si>
    <t>0365</t>
  </si>
  <si>
    <t>Montana</t>
  </si>
  <si>
    <t>Alejandro Rivera</t>
  </si>
  <si>
    <t>6365 MONTANA</t>
  </si>
  <si>
    <t>(915) 772-2613</t>
  </si>
  <si>
    <t>0366</t>
  </si>
  <si>
    <t>Alameda</t>
  </si>
  <si>
    <t>Ricardo Lomas</t>
  </si>
  <si>
    <t>8139 ALAMEDA AVE</t>
  </si>
  <si>
    <t>(915) 858-0262</t>
  </si>
  <si>
    <t>0367</t>
  </si>
  <si>
    <t>Sunland Park</t>
  </si>
  <si>
    <t>Ruel Shaffer</t>
  </si>
  <si>
    <t>965 SUNLAND PARK DR</t>
  </si>
  <si>
    <t>(915) 265-7713</t>
  </si>
  <si>
    <t>0368</t>
  </si>
  <si>
    <t>Peyton</t>
  </si>
  <si>
    <t>13020 EASTLAKE BLVD</t>
  </si>
  <si>
    <t>(915) 265-7714</t>
  </si>
  <si>
    <t>0369</t>
  </si>
  <si>
    <t>Desert Trail</t>
  </si>
  <si>
    <t>7373 N MESA</t>
  </si>
  <si>
    <t>(915) 781-6414</t>
  </si>
  <si>
    <t>0375</t>
  </si>
  <si>
    <t>Horizon Blvd</t>
  </si>
  <si>
    <t>Miguel Recendez</t>
  </si>
  <si>
    <t>13620 HORIZON BLVD</t>
  </si>
  <si>
    <t>HORIZON CITY</t>
  </si>
  <si>
    <t>(915) 255-0035</t>
  </si>
  <si>
    <t>Brigade</t>
  </si>
  <si>
    <t>Walter Aguilar</t>
  </si>
  <si>
    <t>2466 GESSNER RD</t>
  </si>
  <si>
    <t>(713) 930-0491</t>
  </si>
  <si>
    <t>Bliss Meadows</t>
  </si>
  <si>
    <t>5800 SPENCER HIGHWAY</t>
  </si>
  <si>
    <t>PASADENA</t>
  </si>
  <si>
    <t>(281) 982-1588</t>
  </si>
  <si>
    <t>Holzwarth</t>
  </si>
  <si>
    <t>Ashley Coovert</t>
  </si>
  <si>
    <t>1631 LOUETTA RD</t>
  </si>
  <si>
    <t>SPRING</t>
  </si>
  <si>
    <t>(281) 671-0894</t>
  </si>
  <si>
    <t>Laurynnbrook</t>
  </si>
  <si>
    <t>Josh Tickle</t>
  </si>
  <si>
    <t>7705 SPENCER HWY</t>
  </si>
  <si>
    <t>(281) 783-4913</t>
  </si>
  <si>
    <t>Valley Ranch</t>
  </si>
  <si>
    <t>21938 MARKET PLACE DR</t>
  </si>
  <si>
    <t>NEW CANEY</t>
  </si>
  <si>
    <t>(346) 532-1899</t>
  </si>
  <si>
    <t>Kemah</t>
  </si>
  <si>
    <t>Larry Menifee</t>
  </si>
  <si>
    <t>312 FM 518 RD</t>
  </si>
  <si>
    <t>KEMAH</t>
  </si>
  <si>
    <t>(281) 698-5399</t>
  </si>
  <si>
    <t>Barker Cypress</t>
  </si>
  <si>
    <t>Timothy Martinez</t>
  </si>
  <si>
    <t>1210 BARKER CYPRESS RD</t>
  </si>
  <si>
    <t>(281) 752-6044</t>
  </si>
  <si>
    <t>Bellfort</t>
  </si>
  <si>
    <t>Bruce Gross</t>
  </si>
  <si>
    <t>4924 BELLFORT AVE</t>
  </si>
  <si>
    <t>(281) 985-1558</t>
  </si>
  <si>
    <t>Boudreaux Rd</t>
  </si>
  <si>
    <t>Devin English</t>
  </si>
  <si>
    <t>22302 KUYKENDAHL ROAD</t>
  </si>
  <si>
    <t>(281) 407-7101</t>
  </si>
  <si>
    <t>Magnolia</t>
  </si>
  <si>
    <t>Clay Eddleman</t>
  </si>
  <si>
    <t>13321 FM 1488</t>
  </si>
  <si>
    <t>MAGNOLIA</t>
  </si>
  <si>
    <t>(346) 248-6117</t>
  </si>
  <si>
    <t>Greenmoor Dr</t>
  </si>
  <si>
    <t>Caleb Jones</t>
  </si>
  <si>
    <t>28985 FM2978</t>
  </si>
  <si>
    <t>(281) 356-0124</t>
  </si>
  <si>
    <t>Pearland</t>
  </si>
  <si>
    <t>Judith Nunez</t>
  </si>
  <si>
    <t>1828 MAIN ST</t>
  </si>
  <si>
    <t>PEARLAND</t>
  </si>
  <si>
    <t>(281) 406-3887</t>
  </si>
  <si>
    <t>Kingwood</t>
  </si>
  <si>
    <t>Ayonna Taylor</t>
  </si>
  <si>
    <t>2720 W LAKE HOUSTON PKWY</t>
  </si>
  <si>
    <t>HUMBLE</t>
  </si>
  <si>
    <t>(281) 318-5285</t>
  </si>
  <si>
    <t>Fry</t>
  </si>
  <si>
    <t>Isaac Avila</t>
  </si>
  <si>
    <t>9502 FRY RD</t>
  </si>
  <si>
    <t>CYPRESS</t>
  </si>
  <si>
    <t>(346) 539-1030</t>
  </si>
  <si>
    <t>0001</t>
  </si>
  <si>
    <t>Crosstimbers</t>
  </si>
  <si>
    <t>Brandon Van Laningham</t>
  </si>
  <si>
    <t>640 WEST CROSSTIMBERS</t>
  </si>
  <si>
    <t>(713) 691-4636</t>
  </si>
  <si>
    <t>Tyrone Coleman</t>
  </si>
  <si>
    <t>0003</t>
  </si>
  <si>
    <t>Voss</t>
  </si>
  <si>
    <t>Guadalupe Marcos</t>
  </si>
  <si>
    <t>2251 SOUTH VOSS ROAD</t>
  </si>
  <si>
    <t>(713) 783-5780</t>
  </si>
  <si>
    <t>0004</t>
  </si>
  <si>
    <t>1960 East</t>
  </si>
  <si>
    <t>Mason Monaghan</t>
  </si>
  <si>
    <t>210 FM 1960 ROAD EAST</t>
  </si>
  <si>
    <t>(281) 821-0476</t>
  </si>
  <si>
    <t>0005</t>
  </si>
  <si>
    <t>Westheimer</t>
  </si>
  <si>
    <t>10760 WESTHEIMER</t>
  </si>
  <si>
    <t>(713) 789-6935</t>
  </si>
  <si>
    <t>0006</t>
  </si>
  <si>
    <t>Champions</t>
  </si>
  <si>
    <t>6612 FM 1960 ROAD WEST</t>
  </si>
  <si>
    <t>(281) 537-8049</t>
  </si>
  <si>
    <t>0007</t>
  </si>
  <si>
    <t>Hillcroft</t>
  </si>
  <si>
    <t>Samuel Brenes</t>
  </si>
  <si>
    <t>6107 HILLCROFT STREET</t>
  </si>
  <si>
    <t>(713) 777-9019</t>
  </si>
  <si>
    <t>0008</t>
  </si>
  <si>
    <t>Uvalde</t>
  </si>
  <si>
    <t>380 UVALDE ROAD</t>
  </si>
  <si>
    <t>(713) 455-6651</t>
  </si>
  <si>
    <t>0009</t>
  </si>
  <si>
    <t>Humble</t>
  </si>
  <si>
    <t>Cj Nunn</t>
  </si>
  <si>
    <t>9637 FM 1960 BY PASS WEST</t>
  </si>
  <si>
    <t>(281) 540-2988</t>
  </si>
  <si>
    <t>0010</t>
  </si>
  <si>
    <t>Kirby</t>
  </si>
  <si>
    <t>Armando Villegas</t>
  </si>
  <si>
    <t>3150 KIRBY DRIVE</t>
  </si>
  <si>
    <t>(346) 395-5233</t>
  </si>
  <si>
    <t>0011</t>
  </si>
  <si>
    <t>Sugarland</t>
  </si>
  <si>
    <t>Charlie Saenz</t>
  </si>
  <si>
    <t>2530 HIGHWAY 6</t>
  </si>
  <si>
    <t>SUGAR LAND</t>
  </si>
  <si>
    <t>(346) 395-5219</t>
  </si>
  <si>
    <t>0012</t>
  </si>
  <si>
    <t>Galleria</t>
  </si>
  <si>
    <t>Samantha Hemsell</t>
  </si>
  <si>
    <t>5735 WESTHEIMER RD</t>
  </si>
  <si>
    <t>(832) 678-3010</t>
  </si>
  <si>
    <t>0013</t>
  </si>
  <si>
    <t>Memorial Dr</t>
  </si>
  <si>
    <t>Anthony Suarez</t>
  </si>
  <si>
    <t>14732 MEMORIAL DRIVE</t>
  </si>
  <si>
    <t>(832) 678-3020</t>
  </si>
  <si>
    <t>0015</t>
  </si>
  <si>
    <t>Upper Kirby</t>
  </si>
  <si>
    <t>Kevin Cooper</t>
  </si>
  <si>
    <t>5102 KIRBY RD</t>
  </si>
  <si>
    <t>(281) 747-5771</t>
  </si>
  <si>
    <t>0016</t>
  </si>
  <si>
    <t>Mason Road</t>
  </si>
  <si>
    <t>1144 SOUTH MASON RD</t>
  </si>
  <si>
    <t>KATY</t>
  </si>
  <si>
    <t>(832) 678-3060</t>
  </si>
  <si>
    <t>0017</t>
  </si>
  <si>
    <t>Highway 6 North</t>
  </si>
  <si>
    <t>Jorge Guzman</t>
  </si>
  <si>
    <t>5909 HIGHWAY 6 NORTH</t>
  </si>
  <si>
    <t>(832) 678-3101</t>
  </si>
  <si>
    <t>0018</t>
  </si>
  <si>
    <t>Addicks-Howell</t>
  </si>
  <si>
    <t>9045 HIGHWAY 6 SOUTH</t>
  </si>
  <si>
    <t>(832) 678-3102</t>
  </si>
  <si>
    <t>0019</t>
  </si>
  <si>
    <t>Atascocita</t>
  </si>
  <si>
    <t>5701 FM 1960 RD EAST</t>
  </si>
  <si>
    <t>(832) 678-3103</t>
  </si>
  <si>
    <t>0020</t>
  </si>
  <si>
    <t>Louetta</t>
  </si>
  <si>
    <t>Pedro De La Cruz</t>
  </si>
  <si>
    <t>7715 LOUETTA RD</t>
  </si>
  <si>
    <t>(832) 678-3104</t>
  </si>
  <si>
    <t>0021</t>
  </si>
  <si>
    <t>Washington Ave</t>
  </si>
  <si>
    <t>Jose Murillo</t>
  </si>
  <si>
    <t>3522 W WASHINGTON AVE</t>
  </si>
  <si>
    <t>(832) 678-3105</t>
  </si>
  <si>
    <t>0022</t>
  </si>
  <si>
    <t>Fairmont</t>
  </si>
  <si>
    <t>Ashley Brown</t>
  </si>
  <si>
    <t>5964 FAIRMONT PKWY</t>
  </si>
  <si>
    <t>(832) 678-3106</t>
  </si>
  <si>
    <t>0023</t>
  </si>
  <si>
    <t>Wallisville</t>
  </si>
  <si>
    <t>Brandon Mora</t>
  </si>
  <si>
    <t>15232 WALLISVILLE RD</t>
  </si>
  <si>
    <t>(832) 678-3107</t>
  </si>
  <si>
    <t>0024</t>
  </si>
  <si>
    <t>Bellaire</t>
  </si>
  <si>
    <t>Francisco Vigil</t>
  </si>
  <si>
    <t>7601 BELLAIRE BLVD</t>
  </si>
  <si>
    <t>(832) 678-3108</t>
  </si>
  <si>
    <t>0025</t>
  </si>
  <si>
    <t>Copperfield</t>
  </si>
  <si>
    <t>7310 HWY 6N</t>
  </si>
  <si>
    <t>(281) 856-9274</t>
  </si>
  <si>
    <t>0026</t>
  </si>
  <si>
    <t>South Main</t>
  </si>
  <si>
    <t>John Morales</t>
  </si>
  <si>
    <t>8810 S MAIN ST</t>
  </si>
  <si>
    <t>77025-2707</t>
  </si>
  <si>
    <t>(713) 664-9905</t>
  </si>
  <si>
    <t>0027</t>
  </si>
  <si>
    <t>Genesis</t>
  </si>
  <si>
    <t>Jessenia Morales</t>
  </si>
  <si>
    <t>1380 FM 528</t>
  </si>
  <si>
    <t>WEBSTER</t>
  </si>
  <si>
    <t>(281) 661-6315</t>
  </si>
  <si>
    <t>0028</t>
  </si>
  <si>
    <t>Rankin Road</t>
  </si>
  <si>
    <t>12552 RICHBOURG ST</t>
  </si>
  <si>
    <t>(713) 568-1139</t>
  </si>
  <si>
    <t>0029</t>
  </si>
  <si>
    <t>Spring Green</t>
  </si>
  <si>
    <t>Eustachio Gil</t>
  </si>
  <si>
    <t>1726 SPRING GREEN BLVD-TRACT 5</t>
  </si>
  <si>
    <t>(281) 742-9299</t>
  </si>
  <si>
    <t>0120</t>
  </si>
  <si>
    <t>Highway 6</t>
  </si>
  <si>
    <t>Patrick Moore</t>
  </si>
  <si>
    <t>5415 HIGHWAY 6</t>
  </si>
  <si>
    <t>MISSOURI CITY</t>
  </si>
  <si>
    <t>(281) 261-3100</t>
  </si>
  <si>
    <t>0130</t>
  </si>
  <si>
    <t>Dulles</t>
  </si>
  <si>
    <t>Aaron Jasso</t>
  </si>
  <si>
    <t>601 DULLES AVE</t>
  </si>
  <si>
    <t>STAFFORD</t>
  </si>
  <si>
    <t>(832) 539-1505</t>
  </si>
  <si>
    <t>0140</t>
  </si>
  <si>
    <t>Holcombe</t>
  </si>
  <si>
    <t>Henry Vazquez</t>
  </si>
  <si>
    <t>2237 W HOLCOMBE BLVD</t>
  </si>
  <si>
    <t>(713) 665-4470</t>
  </si>
  <si>
    <t>0150</t>
  </si>
  <si>
    <t>Perry Road</t>
  </si>
  <si>
    <t>9271 FM 1960 RD WEST</t>
  </si>
  <si>
    <t>(832) 536-1155</t>
  </si>
  <si>
    <t>0261</t>
  </si>
  <si>
    <t>Mesquite Wash</t>
  </si>
  <si>
    <t>Eric Flores</t>
  </si>
  <si>
    <t>3205 N GALLOWAY</t>
  </si>
  <si>
    <t>MESQUITE</t>
  </si>
  <si>
    <t>(972) 613-1443</t>
  </si>
  <si>
    <t>0311</t>
  </si>
  <si>
    <t>Mlk</t>
  </si>
  <si>
    <t>Mason Crisman</t>
  </si>
  <si>
    <t>4901 MARTIN LUTHER KING DR</t>
  </si>
  <si>
    <t>(254) 449-7075</t>
  </si>
  <si>
    <t>0312</t>
  </si>
  <si>
    <t>Hwy 190</t>
  </si>
  <si>
    <t>Kyle Bradley</t>
  </si>
  <si>
    <t>101 E HWY 190</t>
  </si>
  <si>
    <t>COPPERAS COVE</t>
  </si>
  <si>
    <t>(254) 518-8210</t>
  </si>
  <si>
    <t>William Wilkinson</t>
  </si>
  <si>
    <t>0315</t>
  </si>
  <si>
    <t>Ft Hood</t>
  </si>
  <si>
    <t>BLDG #50014 CLEAR CREEK RD</t>
  </si>
  <si>
    <t>FORT CAVAZOS</t>
  </si>
  <si>
    <t>(254) 432-6331</t>
  </si>
  <si>
    <t>0317</t>
  </si>
  <si>
    <t>Stan Schlueter Loop</t>
  </si>
  <si>
    <t>Jazmine Oden</t>
  </si>
  <si>
    <t>3402 W STAN SCHLUETER LOOP</t>
  </si>
  <si>
    <t>(254) 232-0837</t>
  </si>
  <si>
    <t>Mac Davis</t>
  </si>
  <si>
    <t>Matthew Vining</t>
  </si>
  <si>
    <t>1710 MAC DAVIS LN</t>
  </si>
  <si>
    <t>Milwaukee Ave</t>
  </si>
  <si>
    <t>Nathan Virden</t>
  </si>
  <si>
    <t>6707 MILWAUKEE AVE</t>
  </si>
  <si>
    <t>(806) 403-0487</t>
  </si>
  <si>
    <t>Slide Rd</t>
  </si>
  <si>
    <t>Tyson Crain</t>
  </si>
  <si>
    <t>10102 SLIDE RD</t>
  </si>
  <si>
    <t>(806) 403-0486</t>
  </si>
  <si>
    <t>Non-Integrated</t>
  </si>
  <si>
    <t>Loop 289</t>
  </si>
  <si>
    <t>2010 W LOOP 289</t>
  </si>
  <si>
    <t>(806) 779-4035</t>
  </si>
  <si>
    <t>74th St</t>
  </si>
  <si>
    <t>7401 UNIVERSITY AVE</t>
  </si>
  <si>
    <t>(806) 602-0411</t>
  </si>
  <si>
    <t>0296</t>
  </si>
  <si>
    <t>4th Street</t>
  </si>
  <si>
    <t>Tayton Rose</t>
  </si>
  <si>
    <t>5523 4TH STREET</t>
  </si>
  <si>
    <t>(806) 785-8890</t>
  </si>
  <si>
    <t>0297</t>
  </si>
  <si>
    <t>82nd Street</t>
  </si>
  <si>
    <t>Brandon Herrera</t>
  </si>
  <si>
    <t>6001 82ND STREET</t>
  </si>
  <si>
    <t>(806) 687-3311</t>
  </si>
  <si>
    <t>0298</t>
  </si>
  <si>
    <t>Indiana Ave</t>
  </si>
  <si>
    <t>Alexis Sanchez</t>
  </si>
  <si>
    <t>8301 INDIANA AVE</t>
  </si>
  <si>
    <t>(806) 687-9549</t>
  </si>
  <si>
    <t>Torrey Collins</t>
  </si>
  <si>
    <t>West Valley</t>
  </si>
  <si>
    <t>Eduardo Pena</t>
  </si>
  <si>
    <t>2055 W 3500 S</t>
  </si>
  <si>
    <t>(801) 528-3554</t>
  </si>
  <si>
    <t>Hwy 89</t>
  </si>
  <si>
    <t>Travis Brown</t>
  </si>
  <si>
    <t>4181 S STATE ST</t>
  </si>
  <si>
    <t>SALT LAKE CITY</t>
  </si>
  <si>
    <t>(385) 313-9766</t>
  </si>
  <si>
    <t>Redwood</t>
  </si>
  <si>
    <t>Jose Soberanis Radilla</t>
  </si>
  <si>
    <t>4681 S REDWOOD RD</t>
  </si>
  <si>
    <t>TAYLORSVILLE</t>
  </si>
  <si>
    <t>(385) 347-0093</t>
  </si>
  <si>
    <t>Cherry Hill</t>
  </si>
  <si>
    <t>Anderson Da Silva Leguizamon</t>
  </si>
  <si>
    <t>1408 STATE ST</t>
  </si>
  <si>
    <t>OREM</t>
  </si>
  <si>
    <t>(385) 286-5733</t>
  </si>
  <si>
    <t>Kaysville</t>
  </si>
  <si>
    <t>Chandler Hollberg</t>
  </si>
  <si>
    <t>165 WEST 200 NORTH</t>
  </si>
  <si>
    <t>KAYSVILLE</t>
  </si>
  <si>
    <t>(385) 262-3203</t>
  </si>
  <si>
    <t>Vineyard</t>
  </si>
  <si>
    <t>John Douglass</t>
  </si>
  <si>
    <t>221 N GENEVA RD</t>
  </si>
  <si>
    <t>(385) 204-3880</t>
  </si>
  <si>
    <t>Syracuse</t>
  </si>
  <si>
    <t>Gordon Sunder</t>
  </si>
  <si>
    <t>1632 SOUTH 3000 W</t>
  </si>
  <si>
    <t>SYRACUSE</t>
  </si>
  <si>
    <t>(385) 367-5899</t>
  </si>
  <si>
    <t>0511</t>
  </si>
  <si>
    <t>Taylorsville</t>
  </si>
  <si>
    <t>Keaton Pike</t>
  </si>
  <si>
    <t>3856 W 5400 S</t>
  </si>
  <si>
    <t>(385) 238-1731</t>
  </si>
  <si>
    <t>0512</t>
  </si>
  <si>
    <t>Washington</t>
  </si>
  <si>
    <t>Kendall Takacs</t>
  </si>
  <si>
    <t>1721 S WASHINGTON BLVD</t>
  </si>
  <si>
    <t>OGDEN</t>
  </si>
  <si>
    <t>(801) 821-2456</t>
  </si>
  <si>
    <t>0520</t>
  </si>
  <si>
    <t>American Fork</t>
  </si>
  <si>
    <t>Jayden Wilson</t>
  </si>
  <si>
    <t>83 NORTH WEST STATE ROAD</t>
  </si>
  <si>
    <t>AMERICAN FORK</t>
  </si>
  <si>
    <t>(801) 756-9699</t>
  </si>
  <si>
    <t>0521</t>
  </si>
  <si>
    <t>Sandy</t>
  </si>
  <si>
    <t>Gregory Menges</t>
  </si>
  <si>
    <t>9534 SOUTH HIGHLAND DRIVE</t>
  </si>
  <si>
    <t>SANDY</t>
  </si>
  <si>
    <t>(801) 501-7777</t>
  </si>
  <si>
    <t>0522</t>
  </si>
  <si>
    <t>Millcreek</t>
  </si>
  <si>
    <t>Tracey Starr</t>
  </si>
  <si>
    <t>1990 E 3300 S</t>
  </si>
  <si>
    <t>(801) 483-1999</t>
  </si>
  <si>
    <t>0523</t>
  </si>
  <si>
    <t>Bountiful</t>
  </si>
  <si>
    <t>Karson Flint</t>
  </si>
  <si>
    <t>305 W 500 S</t>
  </si>
  <si>
    <t>BOUNTIFUL</t>
  </si>
  <si>
    <t>(801) 292-3271</t>
  </si>
  <si>
    <t>0524</t>
  </si>
  <si>
    <t>South Salt Lake</t>
  </si>
  <si>
    <t>Cadell McDonald</t>
  </si>
  <si>
    <t>1478 S 300 W</t>
  </si>
  <si>
    <t>84115-5138</t>
  </si>
  <si>
    <t>(801) 484-8800</t>
  </si>
  <si>
    <t>0525</t>
  </si>
  <si>
    <t>Foothills</t>
  </si>
  <si>
    <t>Derek Gonzalez</t>
  </si>
  <si>
    <t>1635 FOOTHILL DR</t>
  </si>
  <si>
    <t>(801) 582-0494</t>
  </si>
  <si>
    <t>0526</t>
  </si>
  <si>
    <t>South Jordan</t>
  </si>
  <si>
    <t>Hunter Park</t>
  </si>
  <si>
    <t>3497 W SOUTH JORDAN PKWY</t>
  </si>
  <si>
    <t>SOUTH JORDAN</t>
  </si>
  <si>
    <t>(385) 256-9922</t>
  </si>
  <si>
    <t>0527</t>
  </si>
  <si>
    <t>West Jordan</t>
  </si>
  <si>
    <t>Jazmyn Johannessen</t>
  </si>
  <si>
    <t>1377 W 7800 SOUTH</t>
  </si>
  <si>
    <t>WEST JORDAN</t>
  </si>
  <si>
    <t>(801) 563-7939</t>
  </si>
  <si>
    <t>0528</t>
  </si>
  <si>
    <t>Park City</t>
  </si>
  <si>
    <t>Caitlin Acocks</t>
  </si>
  <si>
    <t>6515 N HWY 224</t>
  </si>
  <si>
    <t>PARK CITY</t>
  </si>
  <si>
    <t>(435) 647-9274</t>
  </si>
  <si>
    <t>0529</t>
  </si>
  <si>
    <t>Layton</t>
  </si>
  <si>
    <t>Joshua Sunder</t>
  </si>
  <si>
    <t>1182 N MAIN ST</t>
  </si>
  <si>
    <t>LAYTON</t>
  </si>
  <si>
    <t>(801) 547-5007</t>
  </si>
  <si>
    <t>Brady Alva</t>
  </si>
  <si>
    <t>0531</t>
  </si>
  <si>
    <t>Cottonwood</t>
  </si>
  <si>
    <t>Chandler Borders</t>
  </si>
  <si>
    <t>2228 E FORT UNION BLVD</t>
  </si>
  <si>
    <t>COTTONWOOD</t>
  </si>
  <si>
    <t>(801) 942-4447</t>
  </si>
  <si>
    <t>0533</t>
  </si>
  <si>
    <t>Anthem</t>
  </si>
  <si>
    <t>Kaeden Randak</t>
  </si>
  <si>
    <t>5153 W ANTHEM PARK BLVD</t>
  </si>
  <si>
    <t>HERRIMAN</t>
  </si>
  <si>
    <t>(801) 938-4945</t>
  </si>
  <si>
    <t>0535</t>
  </si>
  <si>
    <t>Highlands</t>
  </si>
  <si>
    <t>Ali Akbar</t>
  </si>
  <si>
    <t>5512 W 7800 SOUTH</t>
  </si>
  <si>
    <t>(385) 374-1639</t>
  </si>
  <si>
    <t>0536</t>
  </si>
  <si>
    <t>Riverton</t>
  </si>
  <si>
    <t>David Kyte</t>
  </si>
  <si>
    <t>4627 W 13400 SOUTH</t>
  </si>
  <si>
    <t>RIVERTON</t>
  </si>
  <si>
    <t>(385) 380-4664</t>
  </si>
  <si>
    <t>Sunset Hwy</t>
  </si>
  <si>
    <t>Maritza Sandoval</t>
  </si>
  <si>
    <t>9009 W US HWY 2</t>
  </si>
  <si>
    <t>(509) 219-6255</t>
  </si>
  <si>
    <t>Regal</t>
  </si>
  <si>
    <t>Daniel Ocampo</t>
  </si>
  <si>
    <t>4301 S REGAL ST</t>
  </si>
  <si>
    <t>(509) 495-1966</t>
  </si>
  <si>
    <t>Hoerner St</t>
  </si>
  <si>
    <t>Mycheal Sullivan</t>
  </si>
  <si>
    <t>255 E HOERNER AVE</t>
  </si>
  <si>
    <t>(509) 508-3955</t>
  </si>
  <si>
    <t>Mcclellan</t>
  </si>
  <si>
    <t>Timothy Mcbroom</t>
  </si>
  <si>
    <t>202 W 3RD AVE</t>
  </si>
  <si>
    <t>(509) 508-3353</t>
  </si>
  <si>
    <t>Greenstone</t>
  </si>
  <si>
    <t>Ahilin Arias</t>
  </si>
  <si>
    <t>1740 E RENSHAW DRIVE</t>
  </si>
  <si>
    <t>(509) 798-0699</t>
  </si>
  <si>
    <t>Larkin Dull</t>
  </si>
  <si>
    <t>0571</t>
  </si>
  <si>
    <t>Pines</t>
  </si>
  <si>
    <t>Isabell Esmieu</t>
  </si>
  <si>
    <t>423 NORTH PINES ROAD</t>
  </si>
  <si>
    <t>(509) 928-7226</t>
  </si>
  <si>
    <t>0572</t>
  </si>
  <si>
    <t>Division</t>
  </si>
  <si>
    <t>1022 NORTH DIVISION</t>
  </si>
  <si>
    <t>(509) 325-1060</t>
  </si>
  <si>
    <t>0573</t>
  </si>
  <si>
    <t>North Division</t>
  </si>
  <si>
    <t>Dustin Hayward</t>
  </si>
  <si>
    <t>6420 N DIVISION</t>
  </si>
  <si>
    <t>(509) 484-0478</t>
  </si>
  <si>
    <t>0574</t>
  </si>
  <si>
    <t>Sullivan</t>
  </si>
  <si>
    <t>Landin Poe</t>
  </si>
  <si>
    <t>307 N SULLIVAN RD</t>
  </si>
  <si>
    <t>(509) 928-2491</t>
  </si>
  <si>
    <t>Moses Lake</t>
  </si>
  <si>
    <t>Jenifer Acosta</t>
  </si>
  <si>
    <t>1035 N STRATFORD RD SUITE K</t>
  </si>
  <si>
    <t>MOSES LAKE</t>
  </si>
  <si>
    <t>(509) 343-8947</t>
  </si>
  <si>
    <t>0575</t>
  </si>
  <si>
    <t>Kennewick</t>
  </si>
  <si>
    <t>Laramie Bowles</t>
  </si>
  <si>
    <t>404 NORTH COLUMBIA CENTER</t>
  </si>
  <si>
    <t>(509) 783-9274</t>
  </si>
  <si>
    <t>0577</t>
  </si>
  <si>
    <t>Aaron Dr</t>
  </si>
  <si>
    <t>1131 AARON DRIVE</t>
  </si>
  <si>
    <t>(509) 219-6243</t>
  </si>
  <si>
    <t>0578</t>
  </si>
  <si>
    <t>Burden Blvd</t>
  </si>
  <si>
    <t>Zach Conley</t>
  </si>
  <si>
    <t>7200 BURDEN BLVD (ROAD 68)</t>
  </si>
  <si>
    <t>PASCO</t>
  </si>
  <si>
    <t>(509) 219-6246</t>
  </si>
  <si>
    <t>0579</t>
  </si>
  <si>
    <t>West Court St</t>
  </si>
  <si>
    <t>Alexandra Johnson</t>
  </si>
  <si>
    <t>3810 W COURT ST</t>
  </si>
  <si>
    <t>(509) 318-2499</t>
  </si>
  <si>
    <t>Casimiro Cedillo</t>
  </si>
  <si>
    <t>0581</t>
  </si>
  <si>
    <t>Okanogan Pl</t>
  </si>
  <si>
    <t>Nahely Davila</t>
  </si>
  <si>
    <t>5231 W OKANOGAN PL</t>
  </si>
  <si>
    <t>(509) 219-6248</t>
  </si>
  <si>
    <t>0582</t>
  </si>
  <si>
    <t>9th Ave</t>
  </si>
  <si>
    <t>Rae Davis</t>
  </si>
  <si>
    <t>1100 DALLES MILITARY RD</t>
  </si>
  <si>
    <t>WALLA WALLA</t>
  </si>
  <si>
    <t>(509) 243-6605</t>
  </si>
  <si>
    <t>0583</t>
  </si>
  <si>
    <t>Kennedy Rd</t>
  </si>
  <si>
    <t>Jaiman Nechanicky</t>
  </si>
  <si>
    <t>3220 KENNEDY ROAD</t>
  </si>
  <si>
    <t>WEST RICHLAND</t>
  </si>
  <si>
    <t>(509) 219-6053</t>
  </si>
  <si>
    <t>Kimber</t>
  </si>
  <si>
    <t>John Komperda</t>
  </si>
  <si>
    <t>9733 N ALPINE RD</t>
  </si>
  <si>
    <t>MACHESNEY PARK</t>
  </si>
  <si>
    <t>(815) 315-1765</t>
  </si>
  <si>
    <t>Loves Park</t>
  </si>
  <si>
    <t>Lynn Lloyd</t>
  </si>
  <si>
    <t>7422 E RIVERSIDE BLVD</t>
  </si>
  <si>
    <t>LOVES PARK</t>
  </si>
  <si>
    <t>(815) 315-1875</t>
  </si>
  <si>
    <t>0481</t>
  </si>
  <si>
    <t>University Ave</t>
  </si>
  <si>
    <t>2202 UNIVERSITY AVE</t>
  </si>
  <si>
    <t>(608) 238-1111</t>
  </si>
  <si>
    <t>0482</t>
  </si>
  <si>
    <t>Elizabeth Berry</t>
  </si>
  <si>
    <t>(608) 257-2929</t>
  </si>
  <si>
    <t>0483</t>
  </si>
  <si>
    <t>Park St</t>
  </si>
  <si>
    <t>Matthew Kirk</t>
  </si>
  <si>
    <t>907 S PARK ST</t>
  </si>
  <si>
    <t>(608) 257-3991</t>
  </si>
  <si>
    <t>0492</t>
  </si>
  <si>
    <t>State St</t>
  </si>
  <si>
    <t>Danielle Dolan</t>
  </si>
  <si>
    <t>3708 E STATE ST</t>
  </si>
  <si>
    <t>(815) 399-0219</t>
  </si>
  <si>
    <t>Castle Manor</t>
  </si>
  <si>
    <t>Joseph Prellwitz</t>
  </si>
  <si>
    <t>4763 S 27TH ST</t>
  </si>
  <si>
    <t>(414) 249-6653</t>
  </si>
  <si>
    <t>Market Lane</t>
  </si>
  <si>
    <t>3677 MARKET LANE</t>
  </si>
  <si>
    <t>KENOSHA</t>
  </si>
  <si>
    <t>(262) 286-2950</t>
  </si>
  <si>
    <t>Kenosha</t>
  </si>
  <si>
    <t>Baylee Andersen</t>
  </si>
  <si>
    <t>5803 75TH ST</t>
  </si>
  <si>
    <t>(262) 286-4269</t>
  </si>
  <si>
    <t>0479</t>
  </si>
  <si>
    <t>Oklahoma Ave.</t>
  </si>
  <si>
    <t>Miguel Corona</t>
  </si>
  <si>
    <t>2006 W OKLAHOMA AVE</t>
  </si>
  <si>
    <t>(414) 383-3035</t>
  </si>
  <si>
    <t>0484</t>
  </si>
  <si>
    <t>Miller Park Way</t>
  </si>
  <si>
    <t>Antonio Hernandez</t>
  </si>
  <si>
    <t>2260 MILLER PARK WAY</t>
  </si>
  <si>
    <t>53219-1642</t>
  </si>
  <si>
    <t>(414) 383-2484</t>
  </si>
  <si>
    <t>0485</t>
  </si>
  <si>
    <t>Oshkosh</t>
  </si>
  <si>
    <t>1490 CAPITAL DR</t>
  </si>
  <si>
    <t>OSHKOSH</t>
  </si>
  <si>
    <t>54902-6194</t>
  </si>
  <si>
    <t>(920) 235-1185</t>
  </si>
  <si>
    <t>0486</t>
  </si>
  <si>
    <t>Cudahy Wash</t>
  </si>
  <si>
    <t>5506 S PACKARD AVE</t>
  </si>
  <si>
    <t>CUDAHY</t>
  </si>
  <si>
    <t>53110-2611</t>
  </si>
  <si>
    <t>(414) 744-7009</t>
  </si>
  <si>
    <t>0487</t>
  </si>
  <si>
    <t>Menomonee Falls Wash</t>
  </si>
  <si>
    <t>Travis Leonard</t>
  </si>
  <si>
    <t>N95W18255 APPLETON AVE</t>
  </si>
  <si>
    <t>MENOMONEE FALLS</t>
  </si>
  <si>
    <t>53051-1327</t>
  </si>
  <si>
    <t>(262) 251-7332</t>
  </si>
  <si>
    <t>0488</t>
  </si>
  <si>
    <t>Rawson Wash</t>
  </si>
  <si>
    <t>Zay Leon</t>
  </si>
  <si>
    <t>7700 W RAWSON AVE</t>
  </si>
  <si>
    <t>FRANKLIN</t>
  </si>
  <si>
    <t>53132-9201</t>
  </si>
  <si>
    <t>(414) 488-1745</t>
  </si>
  <si>
    <t>0493</t>
  </si>
  <si>
    <t>Brookfield</t>
  </si>
  <si>
    <t>Paul Vitelli</t>
  </si>
  <si>
    <t>19050 W BLUEMOUND RD</t>
  </si>
  <si>
    <t>BROOKFIELD</t>
  </si>
  <si>
    <t>(262) 297-6872</t>
  </si>
  <si>
    <t>0494</t>
  </si>
  <si>
    <t>Good Hope</t>
  </si>
  <si>
    <t>Bijan Muhammad</t>
  </si>
  <si>
    <t>7338 W GOOD HOPE RD</t>
  </si>
  <si>
    <t>(414) 296-8345</t>
  </si>
  <si>
    <t>0495</t>
  </si>
  <si>
    <t>Howell</t>
  </si>
  <si>
    <t>Darian Desvignes</t>
  </si>
  <si>
    <t>160 W LAYTON AVE</t>
  </si>
  <si>
    <t>(414) 810-4111</t>
  </si>
  <si>
    <t>Dominick Tyler</t>
  </si>
  <si>
    <t>Klaryssa Melendrez</t>
  </si>
  <si>
    <t>Ben Minelli</t>
  </si>
  <si>
    <t>Denis Cubias</t>
  </si>
  <si>
    <t>Natalie Craven</t>
  </si>
  <si>
    <t>Ashley Wallace</t>
  </si>
  <si>
    <t>James Glass</t>
  </si>
  <si>
    <t>Helder Hernandez</t>
  </si>
  <si>
    <t>(915) 206-4515</t>
  </si>
  <si>
    <t>Lukas Burt</t>
  </si>
  <si>
    <t>David McHatton</t>
  </si>
  <si>
    <t>Johnny Hernandez</t>
  </si>
  <si>
    <t>Celi Cordero</t>
  </si>
  <si>
    <t>Manny Ortiz</t>
  </si>
  <si>
    <t>Ryan Gutierrez-Carrisalez</t>
  </si>
  <si>
    <t>Chris Turner</t>
  </si>
  <si>
    <t>0847</t>
  </si>
  <si>
    <t>Carver Lane</t>
  </si>
  <si>
    <t>Kyle Whitworth</t>
  </si>
  <si>
    <t>1555 WEST MAIN ST</t>
  </si>
  <si>
    <t>LEBANON</t>
  </si>
  <si>
    <t>(615) 547-3710</t>
  </si>
  <si>
    <t>Dylan Schimp</t>
  </si>
  <si>
    <t>Heath Garmon</t>
  </si>
  <si>
    <t>Liliana Espinoza</t>
  </si>
  <si>
    <t>Tyler Foster</t>
  </si>
  <si>
    <t>Jenny Rouse</t>
  </si>
  <si>
    <t>Miranda Maston</t>
  </si>
  <si>
    <t>Chris Gallup</t>
  </si>
  <si>
    <t>Waterford</t>
  </si>
  <si>
    <t>Nicholas Roy</t>
  </si>
  <si>
    <t>4187 HIGHLAND RD</t>
  </si>
  <si>
    <t>WATERFORD TWP</t>
  </si>
  <si>
    <t>(248) 599-1820</t>
  </si>
  <si>
    <t>(806) 403-0488</t>
  </si>
  <si>
    <t>Adam Gonzales</t>
  </si>
  <si>
    <t>Brandon Robinson</t>
  </si>
  <si>
    <t>MaryGrace Gilley</t>
  </si>
  <si>
    <t>Sofia Daheri</t>
  </si>
  <si>
    <t>Matthew Machusko</t>
  </si>
  <si>
    <t>Nydia Christie</t>
  </si>
  <si>
    <t>Yesenia Duarte</t>
  </si>
  <si>
    <t>Jon Hall</t>
  </si>
  <si>
    <t>Guy Tennant</t>
  </si>
  <si>
    <t>Wes Long</t>
  </si>
  <si>
    <t>Kennedy Jones</t>
  </si>
  <si>
    <t>Viviana Lopez</t>
  </si>
  <si>
    <t>Dillan Morales</t>
  </si>
  <si>
    <t>Giovanni Loaiza</t>
  </si>
  <si>
    <t>Kaitlyn Rimes</t>
  </si>
  <si>
    <t>Eli Schmidtbauer</t>
  </si>
  <si>
    <t>William Sprinkle</t>
  </si>
  <si>
    <t>29891 WESLEY CHAPEL BLVD</t>
  </si>
  <si>
    <t>Miguel Iglesias</t>
  </si>
  <si>
    <t>951 N WEST AVE</t>
  </si>
  <si>
    <t>Keithon Clark</t>
  </si>
  <si>
    <t>Jose Perez</t>
  </si>
  <si>
    <t>Holly Hutcheson</t>
  </si>
  <si>
    <t>Colton Smith</t>
  </si>
  <si>
    <t>Fe Renteria</t>
  </si>
  <si>
    <t>Brandon Jimenez</t>
  </si>
  <si>
    <t>Jorge Escobar</t>
  </si>
  <si>
    <t>Luz Rodriguez</t>
  </si>
  <si>
    <t>Robert Roundtree</t>
  </si>
  <si>
    <t>Shaily Ford Lee</t>
  </si>
  <si>
    <t>Benjamin Glass</t>
  </si>
  <si>
    <t>Hafiz Muhammad U Sheraz</t>
  </si>
  <si>
    <t>Ceres</t>
  </si>
  <si>
    <t>Alexis Vigil</t>
  </si>
  <si>
    <t>1210 E WHITMORE AVE</t>
  </si>
  <si>
    <t>(209) 900-1929</t>
  </si>
  <si>
    <t>Chris Buckles</t>
  </si>
  <si>
    <t>Andrew Diaz</t>
  </si>
  <si>
    <t>Skylar Prescott</t>
  </si>
  <si>
    <t>Rufus Morrow</t>
  </si>
  <si>
    <t>David LeVac</t>
  </si>
  <si>
    <t>Taylin McCormick</t>
  </si>
  <si>
    <t>Dylan Chandler</t>
  </si>
  <si>
    <t>Samantha Gonzalez</t>
  </si>
  <si>
    <t>Dakota Bradley</t>
  </si>
  <si>
    <t>Taylor Tropea</t>
  </si>
  <si>
    <t>Austin Hennings</t>
  </si>
  <si>
    <t>Cameron Phillips</t>
  </si>
  <si>
    <t>Bethanny Branco-Langley</t>
  </si>
  <si>
    <t>Kevin Avila-Bettencourt</t>
  </si>
  <si>
    <t>Gray Perez</t>
  </si>
  <si>
    <t>Alex Venegas</t>
  </si>
  <si>
    <t>Ashley August</t>
  </si>
  <si>
    <t>Taylor Masters</t>
  </si>
  <si>
    <t>Mackenzie Johnson</t>
  </si>
  <si>
    <t>Lailonny Anaya</t>
  </si>
  <si>
    <t>Keyla Salcido</t>
  </si>
  <si>
    <t>Cleevon Brown</t>
  </si>
  <si>
    <t>Parker Munn</t>
  </si>
  <si>
    <t>Ana Castro</t>
  </si>
  <si>
    <t>Evan Hinzman</t>
  </si>
  <si>
    <t>Dustin Doyel</t>
  </si>
  <si>
    <t>Okemos</t>
  </si>
  <si>
    <t>4880 MARSH RD</t>
  </si>
  <si>
    <t>OKEMOS</t>
  </si>
  <si>
    <t>(517) 299-0600</t>
  </si>
  <si>
    <t>77018</t>
  </si>
  <si>
    <t>77055</t>
  </si>
  <si>
    <t>77057</t>
  </si>
  <si>
    <t>77073</t>
  </si>
  <si>
    <t>77042</t>
  </si>
  <si>
    <t>77069</t>
  </si>
  <si>
    <t>77081</t>
  </si>
  <si>
    <t>77015</t>
  </si>
  <si>
    <t>77338</t>
  </si>
  <si>
    <t>77098</t>
  </si>
  <si>
    <t>77478</t>
  </si>
  <si>
    <t>77079</t>
  </si>
  <si>
    <t>77450</t>
  </si>
  <si>
    <t>77084</t>
  </si>
  <si>
    <t>77083</t>
  </si>
  <si>
    <t>77346</t>
  </si>
  <si>
    <t>77379</t>
  </si>
  <si>
    <t>77007</t>
  </si>
  <si>
    <t>77505</t>
  </si>
  <si>
    <t>77049</t>
  </si>
  <si>
    <t>77036</t>
  </si>
  <si>
    <t>Sabrina Monteleone</t>
  </si>
  <si>
    <t>77095</t>
  </si>
  <si>
    <t>77598</t>
  </si>
  <si>
    <t>77090</t>
  </si>
  <si>
    <t>77494</t>
  </si>
  <si>
    <t>87401</t>
  </si>
  <si>
    <t>81008</t>
  </si>
  <si>
    <t>35601</t>
  </si>
  <si>
    <t>35633</t>
  </si>
  <si>
    <t>77459</t>
  </si>
  <si>
    <t>77477</t>
  </si>
  <si>
    <t>77030</t>
  </si>
  <si>
    <t>77070</t>
  </si>
  <si>
    <t>32955</t>
  </si>
  <si>
    <t>34769</t>
  </si>
  <si>
    <t>32778</t>
  </si>
  <si>
    <t>33765</t>
  </si>
  <si>
    <t>33772</t>
  </si>
  <si>
    <t>33611</t>
  </si>
  <si>
    <t>33607</t>
  </si>
  <si>
    <t>33614</t>
  </si>
  <si>
    <t>32771</t>
  </si>
  <si>
    <t>32746</t>
  </si>
  <si>
    <t>32940</t>
  </si>
  <si>
    <t>32730</t>
  </si>
  <si>
    <t>32826</t>
  </si>
  <si>
    <t>32807</t>
  </si>
  <si>
    <t>Jace Dailey</t>
  </si>
  <si>
    <t>35242</t>
  </si>
  <si>
    <t>35216</t>
  </si>
  <si>
    <t>32808</t>
  </si>
  <si>
    <t>30501</t>
  </si>
  <si>
    <t>36203</t>
  </si>
  <si>
    <t>Elijah Marlyne</t>
  </si>
  <si>
    <t>30223</t>
  </si>
  <si>
    <t>30228</t>
  </si>
  <si>
    <t>30047</t>
  </si>
  <si>
    <t>30349</t>
  </si>
  <si>
    <t>30157</t>
  </si>
  <si>
    <t>30305</t>
  </si>
  <si>
    <t>Elliott Sliger</t>
  </si>
  <si>
    <t>30308</t>
  </si>
  <si>
    <t>75150</t>
  </si>
  <si>
    <t>30013</t>
  </si>
  <si>
    <t>30014</t>
  </si>
  <si>
    <t>30519</t>
  </si>
  <si>
    <t>33619</t>
  </si>
  <si>
    <t>34606</t>
  </si>
  <si>
    <t>34711</t>
  </si>
  <si>
    <t>32725</t>
  </si>
  <si>
    <t>32780</t>
  </si>
  <si>
    <t>32839</t>
  </si>
  <si>
    <t>Daniel Phillips</t>
  </si>
  <si>
    <t>79605</t>
  </si>
  <si>
    <t>79602</t>
  </si>
  <si>
    <t>79606</t>
  </si>
  <si>
    <t>79416</t>
  </si>
  <si>
    <t>79424</t>
  </si>
  <si>
    <t>79423</t>
  </si>
  <si>
    <t>78756</t>
  </si>
  <si>
    <t>78758</t>
  </si>
  <si>
    <t>78681</t>
  </si>
  <si>
    <t>78613</t>
  </si>
  <si>
    <t>David Lesley</t>
  </si>
  <si>
    <t>78664</t>
  </si>
  <si>
    <t>76543</t>
  </si>
  <si>
    <t>76522</t>
  </si>
  <si>
    <t>76502</t>
  </si>
  <si>
    <t>76544</t>
  </si>
  <si>
    <t>78660</t>
  </si>
  <si>
    <t>76549</t>
  </si>
  <si>
    <t>85715</t>
  </si>
  <si>
    <t>85704</t>
  </si>
  <si>
    <t>85743</t>
  </si>
  <si>
    <t>85710</t>
  </si>
  <si>
    <t>85719</t>
  </si>
  <si>
    <t>85716</t>
  </si>
  <si>
    <t>85713</t>
  </si>
  <si>
    <t>85705</t>
  </si>
  <si>
    <t>85746</t>
  </si>
  <si>
    <t>Brian Montgomery</t>
  </si>
  <si>
    <t>85635</t>
  </si>
  <si>
    <t>80016</t>
  </si>
  <si>
    <t>81005</t>
  </si>
  <si>
    <t>80817</t>
  </si>
  <si>
    <t>80924</t>
  </si>
  <si>
    <t>79925</t>
  </si>
  <si>
    <t>79912</t>
  </si>
  <si>
    <t>79936</t>
  </si>
  <si>
    <t>79922</t>
  </si>
  <si>
    <t>79938</t>
  </si>
  <si>
    <t>79904</t>
  </si>
  <si>
    <t>79935</t>
  </si>
  <si>
    <t>79907</t>
  </si>
  <si>
    <t>79924</t>
  </si>
  <si>
    <t>79928</t>
  </si>
  <si>
    <t>88001</t>
  </si>
  <si>
    <t>87102</t>
  </si>
  <si>
    <t>87124</t>
  </si>
  <si>
    <t>87108</t>
  </si>
  <si>
    <t>87120</t>
  </si>
  <si>
    <t>87112</t>
  </si>
  <si>
    <t>87109</t>
  </si>
  <si>
    <t>87113</t>
  </si>
  <si>
    <t>87114</t>
  </si>
  <si>
    <t>87004</t>
  </si>
  <si>
    <t>55016</t>
  </si>
  <si>
    <t>56301</t>
  </si>
  <si>
    <t>55441</t>
  </si>
  <si>
    <t>55124</t>
  </si>
  <si>
    <t>99208</t>
  </si>
  <si>
    <t>55421</t>
  </si>
  <si>
    <t>55126</t>
  </si>
  <si>
    <t>48837</t>
  </si>
  <si>
    <t>48917</t>
  </si>
  <si>
    <t>49509</t>
  </si>
  <si>
    <t>49508</t>
  </si>
  <si>
    <t>49321</t>
  </si>
  <si>
    <t>49512</t>
  </si>
  <si>
    <t>49504</t>
  </si>
  <si>
    <t>Brooklyn Schantz</t>
  </si>
  <si>
    <t>49525</t>
  </si>
  <si>
    <t>49548</t>
  </si>
  <si>
    <t>49503</t>
  </si>
  <si>
    <t>49315</t>
  </si>
  <si>
    <t>53215</t>
  </si>
  <si>
    <t>53726</t>
  </si>
  <si>
    <t>53703</t>
  </si>
  <si>
    <t>53715</t>
  </si>
  <si>
    <t>61108</t>
  </si>
  <si>
    <t>53045</t>
  </si>
  <si>
    <t>53223</t>
  </si>
  <si>
    <t>Angel Mandujano Rodriguez</t>
  </si>
  <si>
    <t>53207</t>
  </si>
  <si>
    <t>83704</t>
  </si>
  <si>
    <t>83706</t>
  </si>
  <si>
    <t>83702</t>
  </si>
  <si>
    <t>83642</t>
  </si>
  <si>
    <t>83651</t>
  </si>
  <si>
    <t>84129</t>
  </si>
  <si>
    <t>84404</t>
  </si>
  <si>
    <t>84003</t>
  </si>
  <si>
    <t>84092</t>
  </si>
  <si>
    <t>84106</t>
  </si>
  <si>
    <t>84010</t>
  </si>
  <si>
    <t>84108</t>
  </si>
  <si>
    <t>84095</t>
  </si>
  <si>
    <t>84088</t>
  </si>
  <si>
    <t>84098</t>
  </si>
  <si>
    <t>Samuel Kroon</t>
  </si>
  <si>
    <t>84041</t>
  </si>
  <si>
    <t>84020</t>
  </si>
  <si>
    <t>84121</t>
  </si>
  <si>
    <t>84096</t>
  </si>
  <si>
    <t>84081</t>
  </si>
  <si>
    <t>99206</t>
  </si>
  <si>
    <t>99202</t>
  </si>
  <si>
    <t>99037</t>
  </si>
  <si>
    <t>99336</t>
  </si>
  <si>
    <t>99352</t>
  </si>
  <si>
    <t>99301</t>
  </si>
  <si>
    <t>99362</t>
  </si>
  <si>
    <t>99353</t>
  </si>
  <si>
    <t>55435</t>
  </si>
  <si>
    <t>55113</t>
  </si>
  <si>
    <t>55426</t>
  </si>
  <si>
    <t>55118</t>
  </si>
  <si>
    <t>55303</t>
  </si>
  <si>
    <t>55445</t>
  </si>
  <si>
    <t>55428</t>
  </si>
  <si>
    <t>21037</t>
  </si>
  <si>
    <t>21108</t>
  </si>
  <si>
    <t>Tara Clark</t>
  </si>
  <si>
    <t>17522</t>
  </si>
  <si>
    <t>17402</t>
  </si>
  <si>
    <t>17601</t>
  </si>
  <si>
    <t>Wilson Steffy</t>
  </si>
  <si>
    <t>19608</t>
  </si>
  <si>
    <t>50312</t>
  </si>
  <si>
    <t>50325</t>
  </si>
  <si>
    <t>52402</t>
  </si>
  <si>
    <t>50310</t>
  </si>
  <si>
    <t>50315</t>
  </si>
  <si>
    <t>52411</t>
  </si>
  <si>
    <t>52404</t>
  </si>
  <si>
    <t>50266</t>
  </si>
  <si>
    <t>50320</t>
  </si>
  <si>
    <t>Marina Song</t>
  </si>
  <si>
    <t>50322</t>
  </si>
  <si>
    <t>50111</t>
  </si>
  <si>
    <t>50023</t>
  </si>
  <si>
    <t>52302</t>
  </si>
  <si>
    <t>65804</t>
  </si>
  <si>
    <t>65807</t>
  </si>
  <si>
    <t>55901</t>
  </si>
  <si>
    <t>55902</t>
  </si>
  <si>
    <t>Tasha Carlson</t>
  </si>
  <si>
    <t>37066</t>
  </si>
  <si>
    <t>37076</t>
  </si>
  <si>
    <t>37217</t>
  </si>
  <si>
    <t>38401</t>
  </si>
  <si>
    <t>37013</t>
  </si>
  <si>
    <t>37129</t>
  </si>
  <si>
    <t>37128</t>
  </si>
  <si>
    <t>37167</t>
  </si>
  <si>
    <t>37122</t>
  </si>
  <si>
    <t>37075</t>
  </si>
  <si>
    <t>37216</t>
  </si>
  <si>
    <t>37211</t>
  </si>
  <si>
    <t>37087</t>
  </si>
  <si>
    <t>39157</t>
  </si>
  <si>
    <t>39042</t>
  </si>
  <si>
    <t>39056</t>
  </si>
  <si>
    <t>39301</t>
  </si>
  <si>
    <t>39232</t>
  </si>
  <si>
    <t>39206</t>
  </si>
  <si>
    <t>39211</t>
  </si>
  <si>
    <t>39218</t>
  </si>
  <si>
    <t>95356</t>
  </si>
  <si>
    <t>95307</t>
  </si>
  <si>
    <t>95350</t>
  </si>
  <si>
    <t>95348</t>
  </si>
  <si>
    <t>95240</t>
  </si>
  <si>
    <t>95361</t>
  </si>
  <si>
    <t>95367</t>
  </si>
  <si>
    <t>95301</t>
  </si>
  <si>
    <t>95355</t>
  </si>
  <si>
    <t>95336</t>
  </si>
  <si>
    <t>95354</t>
  </si>
  <si>
    <t>95376</t>
  </si>
  <si>
    <t>95382</t>
  </si>
  <si>
    <t>Ewan McIntyre</t>
  </si>
  <si>
    <t>95337</t>
  </si>
  <si>
    <t>95363</t>
  </si>
  <si>
    <t>93635</t>
  </si>
  <si>
    <t>95380</t>
  </si>
  <si>
    <t>95340</t>
  </si>
  <si>
    <t>1001</t>
  </si>
  <si>
    <t>93551</t>
  </si>
  <si>
    <t>1002</t>
  </si>
  <si>
    <t>93301</t>
  </si>
  <si>
    <t>1003</t>
  </si>
  <si>
    <t>93534</t>
  </si>
  <si>
    <t>1004</t>
  </si>
  <si>
    <t>93311</t>
  </si>
  <si>
    <t>1005</t>
  </si>
  <si>
    <t>93312</t>
  </si>
  <si>
    <t>1006</t>
  </si>
  <si>
    <t>93308</t>
  </si>
  <si>
    <t>1007</t>
  </si>
  <si>
    <t>93313</t>
  </si>
  <si>
    <t>1008</t>
  </si>
  <si>
    <t>93306</t>
  </si>
  <si>
    <t>1009</t>
  </si>
  <si>
    <t>1010</t>
  </si>
  <si>
    <t>1011</t>
  </si>
  <si>
    <t>93309</t>
  </si>
  <si>
    <t>1013</t>
  </si>
  <si>
    <t>93550</t>
  </si>
  <si>
    <t>1014</t>
  </si>
  <si>
    <t>1016</t>
  </si>
  <si>
    <t>1018</t>
  </si>
  <si>
    <t>92376</t>
  </si>
  <si>
    <t>1019</t>
  </si>
  <si>
    <t>92307</t>
  </si>
  <si>
    <t>1027</t>
  </si>
  <si>
    <t>92555</t>
  </si>
  <si>
    <t>1031</t>
  </si>
  <si>
    <t>92345</t>
  </si>
  <si>
    <t>1034</t>
  </si>
  <si>
    <t>93454</t>
  </si>
  <si>
    <t>1035</t>
  </si>
  <si>
    <t>93307</t>
  </si>
  <si>
    <t>1037</t>
  </si>
  <si>
    <t>92407</t>
  </si>
  <si>
    <t>1038</t>
  </si>
  <si>
    <t>93314</t>
  </si>
  <si>
    <t>1039</t>
  </si>
  <si>
    <t>93277</t>
  </si>
  <si>
    <t>1051</t>
  </si>
  <si>
    <t>93257</t>
  </si>
  <si>
    <t>1052</t>
  </si>
  <si>
    <t>93230</t>
  </si>
  <si>
    <t>1053</t>
  </si>
  <si>
    <t>93618</t>
  </si>
  <si>
    <t>1054</t>
  </si>
  <si>
    <t>1055</t>
  </si>
  <si>
    <t>1056</t>
  </si>
  <si>
    <t>93274</t>
  </si>
  <si>
    <t>1057</t>
  </si>
  <si>
    <t>93215</t>
  </si>
  <si>
    <t>1058</t>
  </si>
  <si>
    <t>1064</t>
  </si>
  <si>
    <t>92308</t>
  </si>
  <si>
    <t>1072</t>
  </si>
  <si>
    <t>93654</t>
  </si>
  <si>
    <t>1076</t>
  </si>
  <si>
    <t>1101</t>
  </si>
  <si>
    <t>77080</t>
  </si>
  <si>
    <t>1102</t>
  </si>
  <si>
    <t>1103</t>
  </si>
  <si>
    <t>77388</t>
  </si>
  <si>
    <t>1104</t>
  </si>
  <si>
    <t>1106</t>
  </si>
  <si>
    <t>Megan McGrath</t>
  </si>
  <si>
    <t>77357</t>
  </si>
  <si>
    <t>1108</t>
  </si>
  <si>
    <t>77565</t>
  </si>
  <si>
    <t>1109</t>
  </si>
  <si>
    <t>1110</t>
  </si>
  <si>
    <t>77035</t>
  </si>
  <si>
    <t>1111</t>
  </si>
  <si>
    <t>77389</t>
  </si>
  <si>
    <t>1112</t>
  </si>
  <si>
    <t>77354</t>
  </si>
  <si>
    <t>1113</t>
  </si>
  <si>
    <t>1114</t>
  </si>
  <si>
    <t>77581</t>
  </si>
  <si>
    <t>1116</t>
  </si>
  <si>
    <t>77339</t>
  </si>
  <si>
    <t>1117</t>
  </si>
  <si>
    <t>77433</t>
  </si>
  <si>
    <t>1118</t>
  </si>
  <si>
    <t>79601</t>
  </si>
  <si>
    <t>1205</t>
  </si>
  <si>
    <t>1206</t>
  </si>
  <si>
    <t>34746</t>
  </si>
  <si>
    <t>1207</t>
  </si>
  <si>
    <t>34788</t>
  </si>
  <si>
    <t>1208</t>
  </si>
  <si>
    <t>1211</t>
  </si>
  <si>
    <t>32127</t>
  </si>
  <si>
    <t>1212</t>
  </si>
  <si>
    <t>32757</t>
  </si>
  <si>
    <t>1213</t>
  </si>
  <si>
    <t>32164</t>
  </si>
  <si>
    <t>1214</t>
  </si>
  <si>
    <t>32117</t>
  </si>
  <si>
    <t>1215</t>
  </si>
  <si>
    <t>32174</t>
  </si>
  <si>
    <t>1221</t>
  </si>
  <si>
    <t>34669</t>
  </si>
  <si>
    <t>1222</t>
  </si>
  <si>
    <t>33884</t>
  </si>
  <si>
    <t>1223</t>
  </si>
  <si>
    <t>1224</t>
  </si>
  <si>
    <t>33881</t>
  </si>
  <si>
    <t>1225</t>
  </si>
  <si>
    <t>33860</t>
  </si>
  <si>
    <t>1233</t>
  </si>
  <si>
    <t>32714</t>
  </si>
  <si>
    <t>1234</t>
  </si>
  <si>
    <t>32765</t>
  </si>
  <si>
    <t>1235</t>
  </si>
  <si>
    <t>1236</t>
  </si>
  <si>
    <t>34759</t>
  </si>
  <si>
    <t>1237</t>
  </si>
  <si>
    <t>1238</t>
  </si>
  <si>
    <t>32824</t>
  </si>
  <si>
    <t>1239</t>
  </si>
  <si>
    <t>32832</t>
  </si>
  <si>
    <t>1241</t>
  </si>
  <si>
    <t>32825</t>
  </si>
  <si>
    <t>1242</t>
  </si>
  <si>
    <t>1244</t>
  </si>
  <si>
    <t>1245</t>
  </si>
  <si>
    <t>32129</t>
  </si>
  <si>
    <t>1246</t>
  </si>
  <si>
    <t>30114</t>
  </si>
  <si>
    <t>1247</t>
  </si>
  <si>
    <t>30022</t>
  </si>
  <si>
    <t>1248</t>
  </si>
  <si>
    <t>30096</t>
  </si>
  <si>
    <t>1249</t>
  </si>
  <si>
    <t>32904</t>
  </si>
  <si>
    <t>1251</t>
  </si>
  <si>
    <t>33781</t>
  </si>
  <si>
    <t>1253</t>
  </si>
  <si>
    <t>34785</t>
  </si>
  <si>
    <t>1254</t>
  </si>
  <si>
    <t>1283</t>
  </si>
  <si>
    <t>1321</t>
  </si>
  <si>
    <t>85629</t>
  </si>
  <si>
    <t>1322</t>
  </si>
  <si>
    <t>85742</t>
  </si>
  <si>
    <t>1323</t>
  </si>
  <si>
    <t>85747</t>
  </si>
  <si>
    <t>1327</t>
  </si>
  <si>
    <t>85653</t>
  </si>
  <si>
    <t>1328</t>
  </si>
  <si>
    <t>85714</t>
  </si>
  <si>
    <t>1329</t>
  </si>
  <si>
    <t>85712</t>
  </si>
  <si>
    <t>1331</t>
  </si>
  <si>
    <t>1341</t>
  </si>
  <si>
    <t>80918</t>
  </si>
  <si>
    <t>1343</t>
  </si>
  <si>
    <t>80132</t>
  </si>
  <si>
    <t>1344</t>
  </si>
  <si>
    <t>80238</t>
  </si>
  <si>
    <t>1349</t>
  </si>
  <si>
    <t>80915</t>
  </si>
  <si>
    <t>1351</t>
  </si>
  <si>
    <t>1352</t>
  </si>
  <si>
    <t>79902</t>
  </si>
  <si>
    <t>1353</t>
  </si>
  <si>
    <t>1354</t>
  </si>
  <si>
    <t>79934</t>
  </si>
  <si>
    <t>1355</t>
  </si>
  <si>
    <t>1356</t>
  </si>
  <si>
    <t>79927</t>
  </si>
  <si>
    <t>1358</t>
  </si>
  <si>
    <t>79835</t>
  </si>
  <si>
    <t>1361</t>
  </si>
  <si>
    <t>1388</t>
  </si>
  <si>
    <t>87031</t>
  </si>
  <si>
    <t>1390</t>
  </si>
  <si>
    <t>88011</t>
  </si>
  <si>
    <t>1391</t>
  </si>
  <si>
    <t>87121</t>
  </si>
  <si>
    <t>1392</t>
  </si>
  <si>
    <t>1393</t>
  </si>
  <si>
    <t>87105</t>
  </si>
  <si>
    <t>1394</t>
  </si>
  <si>
    <t>87106</t>
  </si>
  <si>
    <t>1395</t>
  </si>
  <si>
    <t>1396</t>
  </si>
  <si>
    <t>1453</t>
  </si>
  <si>
    <t>61115</t>
  </si>
  <si>
    <t>1456</t>
  </si>
  <si>
    <t>48162</t>
  </si>
  <si>
    <t>1458</t>
  </si>
  <si>
    <t>61111</t>
  </si>
  <si>
    <t>1461</t>
  </si>
  <si>
    <t>48706</t>
  </si>
  <si>
    <t>1462</t>
  </si>
  <si>
    <t>1463</t>
  </si>
  <si>
    <t>48732</t>
  </si>
  <si>
    <t>1464</t>
  </si>
  <si>
    <t>48640</t>
  </si>
  <si>
    <t>1465</t>
  </si>
  <si>
    <t>1466</t>
  </si>
  <si>
    <t>48858</t>
  </si>
  <si>
    <t>1467</t>
  </si>
  <si>
    <t>48603</t>
  </si>
  <si>
    <t>1468</t>
  </si>
  <si>
    <t>1469</t>
  </si>
  <si>
    <t>49341</t>
  </si>
  <si>
    <t>1472</t>
  </si>
  <si>
    <t>1473</t>
  </si>
  <si>
    <t>49423</t>
  </si>
  <si>
    <t>1474</t>
  </si>
  <si>
    <t>48187</t>
  </si>
  <si>
    <t>1479</t>
  </si>
  <si>
    <t>54016</t>
  </si>
  <si>
    <t>1480</t>
  </si>
  <si>
    <t>53221</t>
  </si>
  <si>
    <t>1481</t>
  </si>
  <si>
    <t>Robby Aran</t>
  </si>
  <si>
    <t>53144</t>
  </si>
  <si>
    <t>1484</t>
  </si>
  <si>
    <t>52807</t>
  </si>
  <si>
    <t>1494</t>
  </si>
  <si>
    <t>53142</t>
  </si>
  <si>
    <t>1495</t>
  </si>
  <si>
    <t>48843</t>
  </si>
  <si>
    <t>1509</t>
  </si>
  <si>
    <t>83646</t>
  </si>
  <si>
    <t>1510</t>
  </si>
  <si>
    <t>1511</t>
  </si>
  <si>
    <t>84119</t>
  </si>
  <si>
    <t>1512</t>
  </si>
  <si>
    <t>84107</t>
  </si>
  <si>
    <t>1513</t>
  </si>
  <si>
    <t>84123</t>
  </si>
  <si>
    <t>1538</t>
  </si>
  <si>
    <t>84097</t>
  </si>
  <si>
    <t>1539</t>
  </si>
  <si>
    <t>84037</t>
  </si>
  <si>
    <t>1541</t>
  </si>
  <si>
    <t>84059</t>
  </si>
  <si>
    <t>1577</t>
  </si>
  <si>
    <t>98837</t>
  </si>
  <si>
    <t>1578</t>
  </si>
  <si>
    <t>99224</t>
  </si>
  <si>
    <t>1579</t>
  </si>
  <si>
    <t>99223</t>
  </si>
  <si>
    <t>1580</t>
  </si>
  <si>
    <t>99218</t>
  </si>
  <si>
    <t>1581</t>
  </si>
  <si>
    <t>99201</t>
  </si>
  <si>
    <t>1601</t>
  </si>
  <si>
    <t>55374</t>
  </si>
  <si>
    <t>1602</t>
  </si>
  <si>
    <t>55345</t>
  </si>
  <si>
    <t>1606</t>
  </si>
  <si>
    <t>55811</t>
  </si>
  <si>
    <t>1607</t>
  </si>
  <si>
    <t>56303</t>
  </si>
  <si>
    <t>1609</t>
  </si>
  <si>
    <t>55434</t>
  </si>
  <si>
    <t>1610</t>
  </si>
  <si>
    <t>56001</t>
  </si>
  <si>
    <t>1611</t>
  </si>
  <si>
    <t>55025</t>
  </si>
  <si>
    <t>1612</t>
  </si>
  <si>
    <t>1613</t>
  </si>
  <si>
    <t>55316</t>
  </si>
  <si>
    <t>1614</t>
  </si>
  <si>
    <t>55432</t>
  </si>
  <si>
    <t>1615</t>
  </si>
  <si>
    <t>56304</t>
  </si>
  <si>
    <t>1616</t>
  </si>
  <si>
    <t>55344</t>
  </si>
  <si>
    <t>1619</t>
  </si>
  <si>
    <t>55109</t>
  </si>
  <si>
    <t>1622</t>
  </si>
  <si>
    <t>55433</t>
  </si>
  <si>
    <t>1686</t>
  </si>
  <si>
    <t>17602</t>
  </si>
  <si>
    <t>1687</t>
  </si>
  <si>
    <t>17112</t>
  </si>
  <si>
    <t>1721</t>
  </si>
  <si>
    <t>50327</t>
  </si>
  <si>
    <t>1722</t>
  </si>
  <si>
    <t>Tajanae Miller</t>
  </si>
  <si>
    <t>50009</t>
  </si>
  <si>
    <t>1723</t>
  </si>
  <si>
    <t>1724</t>
  </si>
  <si>
    <t>50263</t>
  </si>
  <si>
    <t>1751</t>
  </si>
  <si>
    <t>65802</t>
  </si>
  <si>
    <t>1752</t>
  </si>
  <si>
    <t>1801</t>
  </si>
  <si>
    <t>33990</t>
  </si>
  <si>
    <t>1802</t>
  </si>
  <si>
    <t>33991</t>
  </si>
  <si>
    <t>1803</t>
  </si>
  <si>
    <t>33904</t>
  </si>
  <si>
    <t>1804</t>
  </si>
  <si>
    <t>33914</t>
  </si>
  <si>
    <t>1805</t>
  </si>
  <si>
    <t>1806</t>
  </si>
  <si>
    <t>33909</t>
  </si>
  <si>
    <t>1807</t>
  </si>
  <si>
    <t>1808</t>
  </si>
  <si>
    <t>34104</t>
  </si>
  <si>
    <t>1809</t>
  </si>
  <si>
    <t>34135</t>
  </si>
  <si>
    <t>1811</t>
  </si>
  <si>
    <t>Ryan Russell</t>
  </si>
  <si>
    <t>33912</t>
  </si>
  <si>
    <t>1812</t>
  </si>
  <si>
    <t>34114</t>
  </si>
  <si>
    <t>1813</t>
  </si>
  <si>
    <t>33913</t>
  </si>
  <si>
    <t>1814</t>
  </si>
  <si>
    <t>33966</t>
  </si>
  <si>
    <t>1815</t>
  </si>
  <si>
    <t>33981</t>
  </si>
  <si>
    <t>1816</t>
  </si>
  <si>
    <t>33967</t>
  </si>
  <si>
    <t>1851</t>
  </si>
  <si>
    <t>34952</t>
  </si>
  <si>
    <t>1852</t>
  </si>
  <si>
    <t>34984</t>
  </si>
  <si>
    <t>1853</t>
  </si>
  <si>
    <t>33189</t>
  </si>
  <si>
    <t>1854</t>
  </si>
  <si>
    <t>33462</t>
  </si>
  <si>
    <t>1855</t>
  </si>
  <si>
    <t>34957</t>
  </si>
  <si>
    <t>1856</t>
  </si>
  <si>
    <t>32162</t>
  </si>
  <si>
    <t>1901</t>
  </si>
  <si>
    <t>33635</t>
  </si>
  <si>
    <t>1902</t>
  </si>
  <si>
    <t>33543</t>
  </si>
  <si>
    <t>1904</t>
  </si>
  <si>
    <t>33647</t>
  </si>
  <si>
    <t>1906</t>
  </si>
  <si>
    <t>33813</t>
  </si>
  <si>
    <t>1907</t>
  </si>
  <si>
    <t>33809</t>
  </si>
  <si>
    <t>1908</t>
  </si>
  <si>
    <t>1909</t>
  </si>
  <si>
    <t>33803</t>
  </si>
  <si>
    <t>2301</t>
  </si>
  <si>
    <t>92395</t>
  </si>
  <si>
    <t>2302</t>
  </si>
  <si>
    <t>92392</t>
  </si>
  <si>
    <t>2303</t>
  </si>
  <si>
    <t>Robert Lee</t>
  </si>
  <si>
    <t>2304</t>
  </si>
  <si>
    <t>2501</t>
  </si>
  <si>
    <t>33542</t>
  </si>
  <si>
    <t>2502</t>
  </si>
  <si>
    <t>2504</t>
  </si>
  <si>
    <t>87144</t>
  </si>
  <si>
    <t>2518</t>
  </si>
  <si>
    <t>65738</t>
  </si>
  <si>
    <t>2527</t>
  </si>
  <si>
    <t>90640</t>
  </si>
  <si>
    <t>2528</t>
  </si>
  <si>
    <t>92804</t>
  </si>
  <si>
    <t>2529</t>
  </si>
  <si>
    <t>90304</t>
  </si>
  <si>
    <t>2530</t>
  </si>
  <si>
    <t>92705</t>
  </si>
  <si>
    <t>2531</t>
  </si>
  <si>
    <t>91803</t>
  </si>
  <si>
    <t>2537</t>
  </si>
  <si>
    <t>48047</t>
  </si>
  <si>
    <t>2538</t>
  </si>
  <si>
    <t>48346</t>
  </si>
  <si>
    <t>2545</t>
  </si>
  <si>
    <t>2546</t>
  </si>
  <si>
    <t>2552</t>
  </si>
  <si>
    <t>2554</t>
  </si>
  <si>
    <t>48328</t>
  </si>
  <si>
    <t>2557</t>
  </si>
  <si>
    <t>2559</t>
  </si>
  <si>
    <t>84075</t>
  </si>
  <si>
    <t>2561</t>
  </si>
  <si>
    <t>55082</t>
  </si>
  <si>
    <t>2564</t>
  </si>
  <si>
    <t>2567</t>
  </si>
  <si>
    <t>48043</t>
  </si>
  <si>
    <t>2568</t>
  </si>
  <si>
    <t>2570</t>
  </si>
  <si>
    <t>49202</t>
  </si>
  <si>
    <t>2580</t>
  </si>
  <si>
    <t>54601</t>
  </si>
  <si>
    <t>2615</t>
  </si>
  <si>
    <t>Oneida</t>
  </si>
  <si>
    <t>Tom Konkol</t>
  </si>
  <si>
    <t>2314 S ONEIDA ST</t>
  </si>
  <si>
    <t>GREEN BAY</t>
  </si>
  <si>
    <t>54304</t>
  </si>
  <si>
    <t>(920) 429-8329</t>
  </si>
  <si>
    <t>2619</t>
  </si>
  <si>
    <t>48864</t>
  </si>
  <si>
    <t>2641</t>
  </si>
  <si>
    <t>79401</t>
  </si>
  <si>
    <t>2642</t>
  </si>
  <si>
    <t>2643</t>
  </si>
  <si>
    <t>2644</t>
  </si>
  <si>
    <t>79407</t>
  </si>
  <si>
    <t>2645</t>
  </si>
  <si>
    <t>Store # ↓</t>
  </si>
  <si>
    <t>Vlookup Store #</t>
  </si>
  <si>
    <t>Store # &amp; Name ↓</t>
  </si>
  <si>
    <t xml:space="preserve">DO </t>
  </si>
  <si>
    <t>Category</t>
  </si>
  <si>
    <t>Note</t>
  </si>
  <si>
    <t>Combined Code</t>
  </si>
  <si>
    <t>UWC Code</t>
  </si>
  <si>
    <t>Art Code</t>
  </si>
  <si>
    <t>AZ-2552 Tucson Mall</t>
  </si>
  <si>
    <t>AZ - Tucson</t>
  </si>
  <si>
    <t>Alen Keshishian</t>
  </si>
  <si>
    <t>NBB</t>
  </si>
  <si>
    <t>$9.99 all plans 1 mo.</t>
  </si>
  <si>
    <t>01</t>
  </si>
  <si>
    <t>D01</t>
  </si>
  <si>
    <t>AZ-1329 Craycroft</t>
  </si>
  <si>
    <t>AZ-1331 Twin Peaks</t>
  </si>
  <si>
    <t>AZ-2557 Cardinal</t>
  </si>
  <si>
    <t>AZ-0327 South Kolb</t>
  </si>
  <si>
    <t>Sub3k</t>
  </si>
  <si>
    <t>AZ-0326 Swan</t>
  </si>
  <si>
    <t>AZ-0328 Euclid</t>
  </si>
  <si>
    <t>CA-1035 Hosking</t>
  </si>
  <si>
    <t>CA - Bakersfield</t>
  </si>
  <si>
    <t>CA-1038 Heath</t>
  </si>
  <si>
    <t>CA-1058 Stockdale</t>
  </si>
  <si>
    <t>CA-1016 Rosedale Hwy</t>
  </si>
  <si>
    <t>CA-1034 Carmen</t>
  </si>
  <si>
    <t>CA-1013 Hwy 138</t>
  </si>
  <si>
    <t>CA - Los Angeles</t>
  </si>
  <si>
    <t>Bob Bartholomew</t>
  </si>
  <si>
    <t>CA-1018 Rialto</t>
  </si>
  <si>
    <t>CA-1027 Stoneridge</t>
  </si>
  <si>
    <t>CA-1037 Varsity</t>
  </si>
  <si>
    <t>CA-0915 Merced</t>
  </si>
  <si>
    <t>CA - Modesto</t>
  </si>
  <si>
    <t>Underperforming</t>
  </si>
  <si>
    <t>CA-1076 Tuolumne</t>
  </si>
  <si>
    <t>Start promo earlier (8/6), keeping it on after FWW</t>
  </si>
  <si>
    <t>CA-1039 Mooney Blvd</t>
  </si>
  <si>
    <t>CA - San Joaquin Valley</t>
  </si>
  <si>
    <t>All Plans PoR 1 mo.</t>
  </si>
  <si>
    <t>CA-1072 Reedley</t>
  </si>
  <si>
    <t>CA-1031 Jellico Ave</t>
  </si>
  <si>
    <t>CA - Victor Valley</t>
  </si>
  <si>
    <t>CA-1064 Bear Valley</t>
  </si>
  <si>
    <t>CA-1019 Happy Trails Hwy</t>
  </si>
  <si>
    <t>AL-0041 Hartselle</t>
  </si>
  <si>
    <t>AL - Huntsville</t>
  </si>
  <si>
    <t>Dean Ngo</t>
  </si>
  <si>
    <t>50% off all plan 1 mo.</t>
  </si>
  <si>
    <t>E01</t>
  </si>
  <si>
    <t>AL-0042 Limestone</t>
  </si>
  <si>
    <t>AL-0043 Madison</t>
  </si>
  <si>
    <t>AL-0045 9th Street</t>
  </si>
  <si>
    <t>AL-0046 Bassett Ave</t>
  </si>
  <si>
    <t>AL-0047 Grace</t>
  </si>
  <si>
    <t>AL-0051 Azalea</t>
  </si>
  <si>
    <t>AL-0052 Muscle Shoals</t>
  </si>
  <si>
    <t>AL-0053 Cloverdale</t>
  </si>
  <si>
    <t>IA-1484 Kimberly Rd</t>
  </si>
  <si>
    <t>IA - Cedar Rapids/Davenport</t>
  </si>
  <si>
    <t>04</t>
  </si>
  <si>
    <t>IA-1723 Lakeview</t>
  </si>
  <si>
    <t>IA-1724 Hickman</t>
  </si>
  <si>
    <t>IA-1721 12th Ave</t>
  </si>
  <si>
    <t>IA - Des Moines</t>
  </si>
  <si>
    <t>IA-1722 Altoona</t>
  </si>
  <si>
    <t>IA-0734 Ankeny</t>
  </si>
  <si>
    <t>IA-0730 14th Street</t>
  </si>
  <si>
    <t>IA-0733 Grimes</t>
  </si>
  <si>
    <t>IA-0731 North Merle Hay</t>
  </si>
  <si>
    <t>IA - Iowa</t>
  </si>
  <si>
    <t>MN-0803 River Road</t>
  </si>
  <si>
    <t>MN - Minneapolis/Rochester</t>
  </si>
  <si>
    <t>MN-1613 Jefferson Hwy</t>
  </si>
  <si>
    <t>02</t>
  </si>
  <si>
    <t>D02</t>
  </si>
  <si>
    <t>MN-1614 Fridley</t>
  </si>
  <si>
    <t>MN-0609 Anoka</t>
  </si>
  <si>
    <t>WI-2580 Onalaska</t>
  </si>
  <si>
    <t>MN-1606 Duluth Heights</t>
  </si>
  <si>
    <t>MN-1607 Riverside</t>
  </si>
  <si>
    <t>MN-1609 Ulysses</t>
  </si>
  <si>
    <t>MN-1615 Voyageur</t>
  </si>
  <si>
    <t>MN-1619 Maplewood</t>
  </si>
  <si>
    <t>MN-1622 Springbrook</t>
  </si>
  <si>
    <t>MN-2561 Stillwater</t>
  </si>
  <si>
    <t>MN-2568 Arden Hills</t>
  </si>
  <si>
    <t>MO-1752 Route 66</t>
  </si>
  <si>
    <t>MO - Springfield</t>
  </si>
  <si>
    <t>MO-2518 Republic</t>
  </si>
  <si>
    <t>MO-0751 Battlefield</t>
  </si>
  <si>
    <t>MO-0752 Sunshine</t>
  </si>
  <si>
    <t>MO-0753 Campbell</t>
  </si>
  <si>
    <t>MO-0754 Glenstone</t>
  </si>
  <si>
    <t>MO-0755 S Cox</t>
  </si>
  <si>
    <t>MO-0757 Kansas Expressway</t>
  </si>
  <si>
    <t>MO-1751 Mill St</t>
  </si>
  <si>
    <t>MD-0652 Severna</t>
  </si>
  <si>
    <t>MD - Baltimore</t>
  </si>
  <si>
    <t>Jack Larson</t>
  </si>
  <si>
    <t>07</t>
  </si>
  <si>
    <t>E07</t>
  </si>
  <si>
    <t>MI-2537 New Baltimore</t>
  </si>
  <si>
    <t>MI - Detroit</t>
  </si>
  <si>
    <t>MI-2538 Clarkston</t>
  </si>
  <si>
    <t>MI-2567 Mount Clemens</t>
  </si>
  <si>
    <t>MI-1495 Latson</t>
  </si>
  <si>
    <t>MI-2570 Argyle</t>
  </si>
  <si>
    <t>MI-1473 Holland</t>
  </si>
  <si>
    <t>MI - Grand Rapids</t>
  </si>
  <si>
    <t>$10 all plans 3 mos.</t>
  </si>
  <si>
    <t>Version A ($10 3 Mo)</t>
  </si>
  <si>
    <t>A01</t>
  </si>
  <si>
    <t>MI-1474 Ford Rd</t>
  </si>
  <si>
    <t>MI-2554 Waterford</t>
  </si>
  <si>
    <t>MI-1464 Saginaw</t>
  </si>
  <si>
    <t>MI - Saginaw</t>
  </si>
  <si>
    <t>$5, $10, $15</t>
  </si>
  <si>
    <t>C01</t>
  </si>
  <si>
    <t>MI-1468 Lawndale</t>
  </si>
  <si>
    <t>MI-1467 Bay Road</t>
  </si>
  <si>
    <t>PA-1686 Lincoln Hwy</t>
  </si>
  <si>
    <t>PA - Lancaster/Reading</t>
  </si>
  <si>
    <t>06</t>
  </si>
  <si>
    <t>D06</t>
  </si>
  <si>
    <t>PA-1687 Jonestown</t>
  </si>
  <si>
    <t>TN-0834 Columbia Tn</t>
  </si>
  <si>
    <t>TN - Nashville</t>
  </si>
  <si>
    <t>TN-0847 Carver Lane</t>
  </si>
  <si>
    <t>101</t>
  </si>
  <si>
    <t>TN-0832 Hermitage</t>
  </si>
  <si>
    <t>TN-0835 Lavergne</t>
  </si>
  <si>
    <t>TN-0846 Dover Crossing</t>
  </si>
  <si>
    <t>TN-0844 Dunbar Cave</t>
  </si>
  <si>
    <t>TN-0837 Highway 96</t>
  </si>
  <si>
    <t>WI-0481 University Ave</t>
  </si>
  <si>
    <t>WI - Madison/IL</t>
  </si>
  <si>
    <t>WI-0482 Washington</t>
  </si>
  <si>
    <t>IL-1458 Loves Park</t>
  </si>
  <si>
    <t>IL-1453 Kimber</t>
  </si>
  <si>
    <t>IL-0492 State St</t>
  </si>
  <si>
    <t>WI-0495 Howell</t>
  </si>
  <si>
    <t>WI - Milwaukee</t>
  </si>
  <si>
    <t>Version B (90 Days for $30)</t>
  </si>
  <si>
    <t>WI-0493 Brookfield</t>
  </si>
  <si>
    <t>WI-1480 Castle Manor</t>
  </si>
  <si>
    <t>WI-1481 Market Lane</t>
  </si>
  <si>
    <t>WI-1494 Kenosha</t>
  </si>
  <si>
    <t>WI-0494 Good Hope</t>
  </si>
  <si>
    <t>FL-1805 Santa Barbara Blvd</t>
  </si>
  <si>
    <t>FL - Cape Coral</t>
  </si>
  <si>
    <t>Jeff Burr</t>
  </si>
  <si>
    <t>FL-1814 Metro Pkwy</t>
  </si>
  <si>
    <t>FL-1807 Ne 16th Place</t>
  </si>
  <si>
    <t>FL-1813 Arborwood</t>
  </si>
  <si>
    <t>FL-1816 Estero</t>
  </si>
  <si>
    <t>FL-1811 Cody Lee</t>
  </si>
  <si>
    <t>FL-1801 Del Prado</t>
  </si>
  <si>
    <t>FL-1906 Florida Ave S</t>
  </si>
  <si>
    <t>FL - Lakeland</t>
  </si>
  <si>
    <t>FL-0243 Silver Star</t>
  </si>
  <si>
    <t>FL - Orlando</t>
  </si>
  <si>
    <t>FL-0236 Chickasaw</t>
  </si>
  <si>
    <t>FL-1242 Semoran</t>
  </si>
  <si>
    <t>FL-1206 Kissimmee</t>
  </si>
  <si>
    <t>FL-0235 Colonial</t>
  </si>
  <si>
    <t>FL-0233 Fern Park</t>
  </si>
  <si>
    <t>FL-1205 Commerce Ctr Dr</t>
  </si>
  <si>
    <t>FL-1215 Ormond Beach</t>
  </si>
  <si>
    <t>FL-1236 Poinciana</t>
  </si>
  <si>
    <t>FL-1208 Oaks Blvd</t>
  </si>
  <si>
    <t>FL-1245 Clyde Morris Blvd</t>
  </si>
  <si>
    <t>FL-1249 Irwin</t>
  </si>
  <si>
    <t>FL-1254 Millenia</t>
  </si>
  <si>
    <t>FL-1856 Belvedere</t>
  </si>
  <si>
    <t>FL-0279 Orange Blossom</t>
  </si>
  <si>
    <t>FL-1855 Goldenrod</t>
  </si>
  <si>
    <t>FL - SE Florida</t>
  </si>
  <si>
    <t>FL-1854 Hypoluxo</t>
  </si>
  <si>
    <t>FL-0273 Hudson</t>
  </si>
  <si>
    <t>FL - Tampa</t>
  </si>
  <si>
    <t>FL-1902 Wesley Chapel</t>
  </si>
  <si>
    <t>FL-2501 Zephyrhills</t>
  </si>
  <si>
    <t>FL-1251 Park Ridge</t>
  </si>
  <si>
    <t>FL-0274 Spring Hill</t>
  </si>
  <si>
    <t>FL-1221 State Route 52</t>
  </si>
  <si>
    <t>FL-0226 North Dale Mabry</t>
  </si>
  <si>
    <t>FL-1901 Hillsborough</t>
  </si>
  <si>
    <t>GA-0264 Hiram</t>
  </si>
  <si>
    <t>GA  - Atlanta</t>
  </si>
  <si>
    <t>GA-0270 Peachtree</t>
  </si>
  <si>
    <t>MS-0865 Lakeland</t>
  </si>
  <si>
    <t>MS - Mississippi</t>
  </si>
  <si>
    <t>05</t>
  </si>
  <si>
    <t>MS-0868 Richland</t>
  </si>
  <si>
    <t>MS-0864 Hwy 39</t>
  </si>
  <si>
    <t>MS-0866 Meadowbrook</t>
  </si>
  <si>
    <t>MS-0861 Ridgeland</t>
  </si>
  <si>
    <t>TX-0309 Gattis</t>
  </si>
  <si>
    <t>TX - Austin</t>
  </si>
  <si>
    <t>Joseph Mercado</t>
  </si>
  <si>
    <t>$15 off all plans 1 mo.</t>
  </si>
  <si>
    <t>B01</t>
  </si>
  <si>
    <t>TX-0306 Round Rock</t>
  </si>
  <si>
    <t>TX-0318 Oakwood Blvd</t>
  </si>
  <si>
    <t>TX-0308 Whitestone</t>
  </si>
  <si>
    <t>TX-0150 Perry Road</t>
  </si>
  <si>
    <t>TX - Houston</t>
  </si>
  <si>
    <t>TX-0016 Mason Road</t>
  </si>
  <si>
    <t>TX-0017 Highway 6 North</t>
  </si>
  <si>
    <t>TX-1111 Boudreaux Rd</t>
  </si>
  <si>
    <t>TX-1112 Magnolia</t>
  </si>
  <si>
    <t>TX-1113 Greenmoor Dr</t>
  </si>
  <si>
    <t>TX-1117 Fry</t>
  </si>
  <si>
    <t>TX-0015 Upper Kirby</t>
  </si>
  <si>
    <t>TX-0020 Louetta</t>
  </si>
  <si>
    <t>TX-0317 Stan Schlueter Loop</t>
  </si>
  <si>
    <t>TX - Killeen</t>
  </si>
  <si>
    <t>C04</t>
  </si>
  <si>
    <t>TX-0261 Mesquite Wash</t>
  </si>
  <si>
    <t>TX - Killeen/Mesquite</t>
  </si>
  <si>
    <t>CO-0348 Old Ranch Rd</t>
  </si>
  <si>
    <t>CO - Colorado Springs/Pueblo/Denver</t>
  </si>
  <si>
    <t>Juan Moncada</t>
  </si>
  <si>
    <t>B05</t>
  </si>
  <si>
    <t>CO-1341 Academy Blvd</t>
  </si>
  <si>
    <t>CO-1343 Monument</t>
  </si>
  <si>
    <t>CO-1344 Runway North</t>
  </si>
  <si>
    <t>B06</t>
  </si>
  <si>
    <t>CO-1349 Constitution</t>
  </si>
  <si>
    <t>CO-0343 Woodmen</t>
  </si>
  <si>
    <t>CO-0341 Prospect Ave</t>
  </si>
  <si>
    <t>CO-0344 Bradley</t>
  </si>
  <si>
    <t>ID-1509 Milano</t>
  </si>
  <si>
    <t>ID - Boise</t>
  </si>
  <si>
    <t>03</t>
  </si>
  <si>
    <t>D03</t>
  </si>
  <si>
    <t>ID-1510 Progress Ave</t>
  </si>
  <si>
    <t>ID-0501 Fairview</t>
  </si>
  <si>
    <t>ID-0506 Meridian</t>
  </si>
  <si>
    <t>UT-1512 Hwy 89</t>
  </si>
  <si>
    <t>UT - Salt Lake City</t>
  </si>
  <si>
    <t>E03</t>
  </si>
  <si>
    <t>UT-1513 Redwood</t>
  </si>
  <si>
    <t>UT-1538 Cherry Hill</t>
  </si>
  <si>
    <t>UT-1539 Kaysville</t>
  </si>
  <si>
    <t>UT-1541 Vineyard</t>
  </si>
  <si>
    <t>UT-2559 Syracuse</t>
  </si>
  <si>
    <t>UT-0520 American Fork</t>
  </si>
  <si>
    <t>UT-0530 Draper</t>
  </si>
  <si>
    <t>UT-0529 Layton</t>
  </si>
  <si>
    <t>UT-0527 West Jordan</t>
  </si>
  <si>
    <t>UT-0533 Anthem</t>
  </si>
  <si>
    <t>UT-0521 Sandy</t>
  </si>
  <si>
    <t>UT-0523 Bountiful</t>
  </si>
  <si>
    <t>UT-1511 West Valley</t>
  </si>
  <si>
    <t>UT-0536 Riverton</t>
  </si>
  <si>
    <t>WA-1581 Mcclellan</t>
  </si>
  <si>
    <t>WA - Spokane</t>
  </si>
  <si>
    <t>WA-2545 Greenstone</t>
  </si>
  <si>
    <t>NM-0398 Valencia</t>
  </si>
  <si>
    <t>NM - Albuquerque</t>
  </si>
  <si>
    <t>Kevin Brack</t>
  </si>
  <si>
    <t>NM-1394 Gibson</t>
  </si>
  <si>
    <t>NM-1395 Southern</t>
  </si>
  <si>
    <t>NM-2502 Fiesta Park</t>
  </si>
  <si>
    <t>NM-2504 Montoya</t>
  </si>
  <si>
    <t>NM-0399 Homestead</t>
  </si>
  <si>
    <t>TX-1351 Pellicano</t>
  </si>
  <si>
    <t>TX - El Paso</t>
  </si>
  <si>
    <t>TX-2546 Justice</t>
  </si>
  <si>
    <t>TX-1361 Turner</t>
  </si>
  <si>
    <t>TX-0029 Spring Green</t>
  </si>
  <si>
    <t>TX-1102 Bliss Meadows</t>
  </si>
  <si>
    <t>TX-1109 Barker Cypress</t>
  </si>
  <si>
    <t>TX-1114 Pearland</t>
  </si>
  <si>
    <t>AZ-0335 Grant</t>
  </si>
  <si>
    <t xml:space="preserve">$9.99 all plans 1 mo. </t>
  </si>
  <si>
    <t>Wave 4 Promo
9/1 - 11/30</t>
  </si>
  <si>
    <t xml:space="preserve">Source: </t>
  </si>
  <si>
    <t>Wave 4 Proposed.xlsx</t>
  </si>
  <si>
    <t>Promo</t>
  </si>
  <si>
    <t>Filename</t>
  </si>
  <si>
    <t>201</t>
  </si>
  <si>
    <t>10F-101</t>
  </si>
  <si>
    <t>104</t>
  </si>
  <si>
    <t>8D-04</t>
  </si>
  <si>
    <t>102</t>
  </si>
  <si>
    <t>304</t>
  </si>
  <si>
    <t>8F-304</t>
  </si>
  <si>
    <t>107</t>
  </si>
  <si>
    <t>10F-104</t>
  </si>
  <si>
    <t>106</t>
  </si>
  <si>
    <t>10F-201</t>
  </si>
  <si>
    <t>305</t>
  </si>
  <si>
    <t>8D-05</t>
  </si>
  <si>
    <t>404</t>
  </si>
  <si>
    <t>401</t>
  </si>
  <si>
    <t>105</t>
  </si>
  <si>
    <t>103</t>
  </si>
  <si>
    <t>Art Code Unique List</t>
  </si>
  <si>
    <t>Sorted A-Z</t>
  </si>
  <si>
    <t>Handheld Menus</t>
  </si>
  <si>
    <t>Transposed -&gt; (19 total)</t>
  </si>
  <si>
    <t>Awareness Flyers</t>
  </si>
  <si>
    <t>Store Number</t>
  </si>
  <si>
    <t>Mister Kiosk</t>
  </si>
  <si>
    <t>Gen 2 Pegasus</t>
  </si>
  <si>
    <t>Gen 1 Pegasus</t>
  </si>
  <si>
    <t>DRB</t>
  </si>
  <si>
    <t>Windscreen</t>
  </si>
  <si>
    <t>Need windscreen? (0=yes)</t>
  </si>
  <si>
    <t>Sum of Kiosks</t>
  </si>
  <si>
    <t>KIOSK STICKER SIZES BY STORE</t>
  </si>
  <si>
    <t>Source:</t>
  </si>
  <si>
    <t>NBB4 Shipping Key_ Kiosks &amp; Gate Arm Banners - Directions.xlsx</t>
  </si>
  <si>
    <t>10F-1012</t>
  </si>
  <si>
    <t>10F-1043</t>
  </si>
  <si>
    <t>10F-2014</t>
  </si>
  <si>
    <t>8D-045</t>
  </si>
  <si>
    <t>8D-056</t>
  </si>
  <si>
    <t>8F-3047</t>
  </si>
  <si>
    <t>A018</t>
  </si>
  <si>
    <t>B019</t>
  </si>
  <si>
    <t>B0510</t>
  </si>
  <si>
    <t>B0611</t>
  </si>
  <si>
    <t>C0112</t>
  </si>
  <si>
    <t>C0413</t>
  </si>
  <si>
    <t>D0114</t>
  </si>
  <si>
    <t>D0215</t>
  </si>
  <si>
    <t>D0316</t>
  </si>
  <si>
    <t>D0617</t>
  </si>
  <si>
    <t>E0118</t>
  </si>
  <si>
    <t>E0319</t>
  </si>
  <si>
    <t>E0720</t>
  </si>
  <si>
    <t>G</t>
  </si>
  <si>
    <t>Mister Kiosk Stickers</t>
  </si>
  <si>
    <t>D</t>
  </si>
  <si>
    <t>8F</t>
  </si>
  <si>
    <t>10F</t>
  </si>
  <si>
    <t>A</t>
  </si>
  <si>
    <t>B</t>
  </si>
  <si>
    <t>E</t>
  </si>
  <si>
    <t>Gen 2 Pegasus Kiosk Stickers</t>
  </si>
  <si>
    <t>8D</t>
  </si>
  <si>
    <t>C</t>
  </si>
  <si>
    <t>A2</t>
  </si>
  <si>
    <t>B3</t>
  </si>
  <si>
    <t>D4</t>
  </si>
  <si>
    <t>E5</t>
  </si>
  <si>
    <t>8F6</t>
  </si>
  <si>
    <t>10F7</t>
  </si>
  <si>
    <t>10F2</t>
  </si>
  <si>
    <t>D2</t>
  </si>
  <si>
    <t>B2</t>
  </si>
  <si>
    <t>Gen 1 Pegasus Kiosk Stickers</t>
  </si>
  <si>
    <t>B4</t>
  </si>
  <si>
    <t>C5</t>
  </si>
  <si>
    <t>D6</t>
  </si>
  <si>
    <t>8D7</t>
  </si>
  <si>
    <t>E8</t>
  </si>
  <si>
    <t>8F9</t>
  </si>
  <si>
    <t>10F10</t>
  </si>
  <si>
    <t>E11</t>
  </si>
  <si>
    <t>G12</t>
  </si>
  <si>
    <t>DRB Kiosk Stickers</t>
  </si>
  <si>
    <t>A3</t>
  </si>
  <si>
    <t>B5</t>
  </si>
  <si>
    <t>G13</t>
  </si>
  <si>
    <t>28x44 Windscreens</t>
  </si>
  <si>
    <t>DRB KSS</t>
  </si>
  <si>
    <t>Gen 1 Peg KSS</t>
  </si>
  <si>
    <t>Gen 2 Peg KSS</t>
  </si>
  <si>
    <t>Mister Kiosk Stickers (KSS)</t>
  </si>
  <si>
    <t>Roadside Banners</t>
  </si>
  <si>
    <t>D3</t>
  </si>
  <si>
    <t>8D2</t>
  </si>
  <si>
    <t>E2</t>
  </si>
  <si>
    <t>8F2</t>
  </si>
  <si>
    <t>10F3</t>
  </si>
  <si>
    <t>G2</t>
  </si>
  <si>
    <t>A4</t>
  </si>
  <si>
    <t>B6</t>
  </si>
  <si>
    <t>C7</t>
  </si>
  <si>
    <t>D8</t>
  </si>
  <si>
    <t>8D9</t>
  </si>
  <si>
    <t>E10</t>
  </si>
  <si>
    <t>8F11</t>
  </si>
  <si>
    <t>10F12</t>
  </si>
  <si>
    <t>Scancards</t>
  </si>
  <si>
    <t>PoR</t>
  </si>
  <si>
    <t>$15 Off</t>
  </si>
  <si>
    <t>50% Off</t>
  </si>
  <si>
    <t>F</t>
  </si>
  <si>
    <t>A5</t>
  </si>
  <si>
    <t>B7</t>
  </si>
  <si>
    <t>C8</t>
  </si>
  <si>
    <t>D9</t>
  </si>
  <si>
    <t>E12</t>
  </si>
  <si>
    <t>$10 for 3mos</t>
  </si>
  <si>
    <t>Collateral Guide</t>
  </si>
  <si>
    <t>A6</t>
  </si>
  <si>
    <t>B8</t>
  </si>
  <si>
    <t>C9</t>
  </si>
  <si>
    <t>E13</t>
  </si>
  <si>
    <t>Box Sticker</t>
  </si>
  <si>
    <t>total Handheld Menus</t>
  </si>
  <si>
    <t>total Roadside Banners</t>
  </si>
  <si>
    <t>total Collateral Guides</t>
  </si>
  <si>
    <t>total Awareness Flyers</t>
  </si>
  <si>
    <t>total DRB stickers</t>
  </si>
  <si>
    <t>total Gen 1 Peg stickers</t>
  </si>
  <si>
    <t>total Gen 2 Peg stickers</t>
  </si>
  <si>
    <t>total Mister kiosk stickers</t>
  </si>
  <si>
    <t>2026 09 All Plans PoR 1mo Scan Cards-V2-Print.pdf</t>
  </si>
  <si>
    <t>2026 09 Promo 10off 3mos Scan Cards-V2-Print</t>
  </si>
  <si>
    <t>2026 09 Promo-5-10-15-1mo-ScanCardSet-Print</t>
  </si>
  <si>
    <t>2026 09 Promo-15 Off-1mo-ScanCard-Print</t>
  </si>
  <si>
    <t>2026 09 Promo-50off-1mo-ScanCard-Print.pdf</t>
  </si>
  <si>
    <t>2026 09 Promo-999-1mo-ScanCardSet-Print.pdf</t>
  </si>
  <si>
    <t>2026 09 Promo-NB Blitz 4-5 10 15-1mo-HandheldMenu-V2-C-01-Print.pdf</t>
  </si>
  <si>
    <t>2026 09 Promo-NB Blitz 4-5 10 15-1mo-HandheldMenu-V2-C-04-Print.pdf</t>
  </si>
  <si>
    <t>2026 09 Promo-NB Blitz 4-5 10 15-1mo-UWC-Awareness-V2-C-01-Print.pdf</t>
  </si>
  <si>
    <t>2026 09 Promo-NB Blitz 4-5 10 15-1mo-UWC-Awareness-V2-C-04-Print.pdf</t>
  </si>
  <si>
    <t>2026 09 Promo-NB Blitz 4-10-3mos-HandheldMenu-A-01-Print.pdf</t>
  </si>
  <si>
    <t>2026 09 Promo-NB Blitz 4-10-3mos-UWC-Awareness-A-01-Print.pdf</t>
  </si>
  <si>
    <t>2026 09 Promo-NB Blitz 4-15 off-1mo-HandheldMenu-B-01-Print.pdf</t>
  </si>
  <si>
    <t>2026 09 Promo-NB Blitz 4-15 off-1mo-HandheldMenu-B-05-Print.pdf</t>
  </si>
  <si>
    <t>2026 09 Promo-NB Blitz 4-15 off-1mo-HandheldMenu-B-06-Print.pdf</t>
  </si>
  <si>
    <t>2026 09 Promo-NB Blitz 4-15 off-1mo-UWC-Awareness-B-01-Print.pdf</t>
  </si>
  <si>
    <t>2026 09 Promo-NB Blitz 4-15 off-1mo-UWC-Awareness-B-05-Print.pdf</t>
  </si>
  <si>
    <t>2026 09 Promo-NB Blitz 4-15 off-1mo-UWC-Awareness-B-06-Print.pdf</t>
  </si>
  <si>
    <t>2026 09 Promo-NB Blitz 4-50 off-1mo-HandheldMenu-E-01-Print.pdf</t>
  </si>
  <si>
    <t>2026 09 Promo-NB Blitz 4-50 off-1mo-HandheldMenu-E-03-Print.pdf</t>
  </si>
  <si>
    <t>2026 09 Promo-NB Blitz 4-50 off-1mo-HandheldMenu-E-07-Print.pdf</t>
  </si>
  <si>
    <t>2026 09 Promo-NB Blitz 4-50 off-1mo-UWC-Awareness-E-01-Print.pdf</t>
  </si>
  <si>
    <t>2026 09 Promo-NB Blitz 4-50 off-1mo-UWC-Awareness-E-03-Print.pdf</t>
  </si>
  <si>
    <t>2026 09 Promo-NB Blitz 4-50 off-1mo-UWC-Awareness-E-07-Print.pdf</t>
  </si>
  <si>
    <t>2026 09 Promo-NB Blitz 4-999-1mo-HandheldMenu-8D-04-Print.pdf</t>
  </si>
  <si>
    <t>2026 09 Promo-NB Blitz 4-999-1mo-HandheldMenu-8D-05-Print.pdf</t>
  </si>
  <si>
    <t>2026 09 Promo-NB Blitz 4-999-1mo-HandheldMenu-D-01-Print.pdf</t>
  </si>
  <si>
    <t>2026 09 Promo-NB Blitz 4-999-1mo-HandheldMenu-D-02-Print.pdf</t>
  </si>
  <si>
    <t>2026 09 Promo-NB Blitz 4-999-1mo-HandheldMenu-D-03-Print.pdf</t>
  </si>
  <si>
    <t>2026 09 Promo-NB Blitz 4-999-1mo-HandheldMenu-D-06-Print.pdf</t>
  </si>
  <si>
    <t>2026 09 Promo-NB Blitz 4-999-1mo-UWC-Awareness-8D-04-Print.pdf</t>
  </si>
  <si>
    <t>2026 09 Promo-NB Blitz 4-999-1mo-UWC-Awareness-8D-05-Print.pdf</t>
  </si>
  <si>
    <t>2026 09 Promo-NB Blitz 4-999-1mo-UWC-Awareness-D-01-Print.pdf</t>
  </si>
  <si>
    <t>2026 09 Promo-NB Blitz 4-999-1mo-UWC-Awareness-D-02-Print.pdf</t>
  </si>
  <si>
    <t>2026 09 Promo-NB Blitz 4-999-1mo-UWC-Awareness-D-03-Print.pdf</t>
  </si>
  <si>
    <t>2026 09 Promo-NB Blitz 4-999-1mo-UWC-Awareness-D-06-Print.pdf</t>
  </si>
  <si>
    <t>2026 09 Promo-NB Blitz 4-POR-1mo-HandheldMenu-8-8F-304-Print.pdf</t>
  </si>
  <si>
    <t>2026 09 Promo-NB Blitz 4-POR-1mo-HandheldMenu-10-10F-101-Print.pdf</t>
  </si>
  <si>
    <t>2026 09 Promo-NB Blitz 4-POR-1mo-HandheldMenu-10-10F-104-Print.pdf</t>
  </si>
  <si>
    <t>2026 09 Promo-NB Blitz 4-POR-1mo-HandheldMenu-10-10F-201-Print.pdf</t>
  </si>
  <si>
    <t>2026 09 Promo-NB Blitz 4-POR-1mo-UWC-Awareness-8-8F-304-Print.pdf</t>
  </si>
  <si>
    <t>2026 09 Promo-NB Blitz 4-POR-1mo-UWC-Awareness-10-10F-101-Print.pdf</t>
  </si>
  <si>
    <t>2026 09 Promo-NB Blitz 4-POR-1mo-UWC-Awareness-10-10F-104-Print.pdf</t>
  </si>
  <si>
    <t>2026 09 Promo-NB Blitz 4-POR-1mo-UWC-Awareness-10-10F-201-Print.pdf</t>
  </si>
  <si>
    <t>2026 09 Promo-NB Blitz 4-UWC-KSS-DRB XPT 2012 8D-05-Print.pdf</t>
  </si>
  <si>
    <t>2026 09 Promo-NB Blitz 4-UWC-KSS-DRB XPT 2012-8F-304-Print.pdf</t>
  </si>
  <si>
    <t>2026 09 Promo-NB Blitz 4-UWC-KSS-DRB XPT 2012-10F-101-Print.pdf</t>
  </si>
  <si>
    <t>2026 09 Promo-NB Blitz 4-UWC-KSS-DRB XPT 2012-B-01-Print.pdf</t>
  </si>
  <si>
    <t>2026 09 Promo-NB Blitz 4-UWC-KSS-DRB XPT 2012-C-01-Print.pdf</t>
  </si>
  <si>
    <t>2026 09 Promo-NB Blitz 4-UWC-KSS-DRB XPT 2012-D-01-Print.pdf</t>
  </si>
  <si>
    <t>2026 09 Promo-NB Blitz 4-UWC-KSS-DRB XPT 2012-E-01-Print.pdf</t>
  </si>
  <si>
    <t>2026 09 Promo-NB Blitz 4-UWC-KSS-Peg1-D-01-Print.pdf</t>
  </si>
  <si>
    <t>2026 09 Promo-NB Blitz 4-UWC-KSS-Peg1 10F-201-Print.pdf</t>
  </si>
  <si>
    <t>2026 09 Promo-NB Blitz 4-UWC-KSS-Peg1-B-01-Print.pdf</t>
  </si>
  <si>
    <t>2026 09 Promo-NB Blitz 4-UWC-KSS-Peg2 8D-04-Print.pdf</t>
  </si>
  <si>
    <t>2026 09 Promo-NB Blitz 4-UWC-KSS-Peg2-8F-304-Print.pdf</t>
  </si>
  <si>
    <t>2026 09 Promo-NB Blitz 4-UWC-KSS-Peg2-10F-101-Print.pdf</t>
  </si>
  <si>
    <t>2026 09 Promo-NB Blitz 4-UWC-KSS-Peg2-A-01-Print.pdf</t>
  </si>
  <si>
    <t>2026 09 Promo-NB Blitz 4-UWC-KSS-Peg2-B-01-Print.pdf</t>
  </si>
  <si>
    <t>2026 09 Promo-NB Blitz 4-UWC-KSS-Peg2-C-01-Print.pdf</t>
  </si>
  <si>
    <t>2026 09 Promo-NB Blitz 4-UWC-KSS-Peg2-D-01-Print.pdf</t>
  </si>
  <si>
    <t>2026 09 Promo-NB Blitz 4-UWC-KSS-Peg2-E-01-Print.pdf</t>
  </si>
  <si>
    <t>2026 09 Promo-NB Blitz 4-UWC-WS-28x44-8D-Print.pdf</t>
  </si>
  <si>
    <t>2026 09 Promo-NB Blitz 4-UWC-WS-28x44-8F-Print.pdf</t>
  </si>
  <si>
    <t>2026 09 Promo-NB Blitz 4-UWC-WS-28x44-10F-Print.pdf</t>
  </si>
  <si>
    <t>2026 09 Promo-NB Blitz 4-UWC-WS-28x44-A-Print.pdf</t>
  </si>
  <si>
    <t>2026 09 Promo-NB Blitz 4-UWC-WS-28x44-B-Print.pdf</t>
  </si>
  <si>
    <t>2026 09 Promo-NB Blitz 4-UWC-WS-28x44-D-Print.pdf</t>
  </si>
  <si>
    <t>2026 09 Promo-NB Blitz 4-UWC-WS-28x44-E-Print.pdf</t>
  </si>
  <si>
    <t>2026 09 Promo-UWC-96x36 Banner-V4-8F-Print.pdf</t>
  </si>
  <si>
    <t>2026 09 Promo-UWC-96x36 Banner-V4-10F-Print.pdf</t>
  </si>
  <si>
    <t>2026 09 Promo-UWC-96x36 Banner-V4-A-Print.pdf</t>
  </si>
  <si>
    <t>2026 09 Promo-UWC-96x36 Banner-V4-B-Print.pdf</t>
  </si>
  <si>
    <t>2026 09 Promo-UWC-96x36 Banner-V4-C-Print.pdf</t>
  </si>
  <si>
    <t>2026 09 Promo-UWC-96x36 Banner-V4-D-Print.pdf</t>
  </si>
  <si>
    <t>2026 09 Promo-UWC-96x36 Banner-V4-E-Print.pdf</t>
  </si>
  <si>
    <t>NB Blitz 4-UWC-KSS-Mister-V4-8F-304-Print.pdf</t>
  </si>
  <si>
    <t>NB Blitz 4-UWC-KSS-Mister-V4-10F-101-Print.pdf</t>
  </si>
  <si>
    <t>NB Blitz 4-UWC-KSS-Mister-V4-A-01-Print.pdf</t>
  </si>
  <si>
    <t>NB Blitz 4-UWC-KSS-Mister-V4-D-01-Print.pdf</t>
  </si>
  <si>
    <t>NB Blitz 4-UWC-KSS-Mister-V4-E-01-Print.pdf</t>
  </si>
  <si>
    <r>
      <rPr>
        <sz val="16"/>
        <color rgb="FF002060"/>
        <rFont val="Calibri"/>
        <family val="2"/>
        <scheme val="minor"/>
      </rPr>
      <t>NEW BUILD BLITZ WAVE 4</t>
    </r>
    <r>
      <rPr>
        <sz val="16"/>
        <color theme="1"/>
        <rFont val="Calibri"/>
        <family val="2"/>
        <scheme val="minor"/>
      </rPr>
      <t xml:space="preserve">
</t>
    </r>
    <r>
      <rPr>
        <b/>
        <sz val="14"/>
        <color theme="1" tint="0.249977111117893"/>
        <rFont val="Calibri"/>
        <family val="2"/>
        <scheme val="minor"/>
      </rPr>
      <t>August 2026</t>
    </r>
  </si>
  <si>
    <t>Last updated</t>
  </si>
  <si>
    <t>total Scancards</t>
  </si>
  <si>
    <t>total Windscreens</t>
  </si>
  <si>
    <t>V</t>
  </si>
  <si>
    <t>total Scancard Sets</t>
  </si>
  <si>
    <t>NB Blitz 4-UWC-KSS-Mister-V4-B-06-Print.pdf</t>
  </si>
  <si>
    <t>9.99 - Base $8</t>
  </si>
  <si>
    <t>9.99 - Base $10</t>
  </si>
  <si>
    <t>PoR - Base $8</t>
  </si>
  <si>
    <t>PoR - Base $10</t>
  </si>
  <si>
    <t>8D10</t>
  </si>
  <si>
    <t>D11</t>
  </si>
  <si>
    <t>8F14</t>
  </si>
  <si>
    <t>SUM</t>
  </si>
  <si>
    <t>2026 09 Promo-NB Blitz 4-Collateral Guides-10F-Print.pdf</t>
  </si>
  <si>
    <t>2026 09 Promo-NB Blitz 4-Collateral Guides-C-Print.pdf</t>
  </si>
  <si>
    <t>2026 09 Promo-NB Blitz 4-Collateral Guides-D-Print.pdf</t>
  </si>
  <si>
    <t>2026 09 Promo-NB Blitz 4-Collateral Guides-E-Print.pdf</t>
  </si>
  <si>
    <t>2026 09 Promo-NB Blitz 4-Collateral Guides-8D-Print.pdf</t>
  </si>
  <si>
    <t>2026 09 Promo-NB Blitz 4-Collateral Guides-8F-Print.pdf</t>
  </si>
  <si>
    <t>2026 09 Promo-NB Blitz 4-Collateral Guides-A-Print.pdf</t>
  </si>
  <si>
    <t>2026 09 Promo-NB Blitz 4-Collateral Guides-B-Print.pdf</t>
  </si>
  <si>
    <t>2026 09 Promo-NB Blitz 4-UWC-KSS-DRB XPT 2012-A-01-Print.pdf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</si>
</sst>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1" formatCode="_(* #,##0_);_(* \(#,##0\);_(* &quot;-&quot;_);_(@_)"/>
  </numFmts>
  <fonts count="3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i/>
      <sz val="12"/>
      <color theme="0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206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 tint="0.249977111117893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B2DE82"/>
        <bgColor indexed="64"/>
      </patternFill>
    </fill>
    <fill>
      <patternFill patternType="solid">
        <fgColor rgb="FF79DCFF"/>
        <bgColor indexed="64"/>
      </patternFill>
    </fill>
    <fill>
      <patternFill patternType="solid">
        <fgColor rgb="FFFBBBF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544">
    <xf numFmtId="0" fontId="0" fillId="0" borderId="0" xfId="0"/>
    <xf numFmtId="0" fontId="0" fillId="0" borderId="1" xfId="0" applyBorder="1"/>
    <xf numFmtId="0" fontId="4" fillId="2" borderId="2" xfId="0" applyFont="1" applyFill="1" applyBorder="1"/>
    <xf numFmtId="0" fontId="4" fillId="3" borderId="2" xfId="0" applyFont="1" applyFill="1" applyBorder="1"/>
    <xf numFmtId="0" fontId="4" fillId="4" borderId="2" xfId="0" applyFont="1" applyFill="1" applyBorder="1"/>
    <xf numFmtId="0" fontId="4" fillId="2" borderId="9" xfId="0" applyFont="1" applyFill="1" applyBorder="1"/>
    <xf numFmtId="0" fontId="4" fillId="2" borderId="12" xfId="0" applyFont="1" applyFill="1" applyBorder="1"/>
    <xf numFmtId="0" fontId="4" fillId="3" borderId="12" xfId="0" applyFont="1" applyFill="1" applyBorder="1"/>
    <xf numFmtId="0" fontId="4" fillId="4" borderId="12" xfId="0" applyFont="1" applyFill="1" applyBorder="1"/>
    <xf numFmtId="49" fontId="0" fillId="0" borderId="0" xfId="0" applyNumberFormat="1"/>
    <xf numFmtId="14" fontId="0" fillId="0" borderId="0" xfId="0" applyNumberFormat="1"/>
    <xf numFmtId="0" fontId="10" fillId="6" borderId="16" xfId="0" applyFont="1" applyFill="1" applyBorder="1"/>
    <xf numFmtId="0" fontId="10" fillId="6" borderId="17" xfId="0" applyFont="1" applyFill="1" applyBorder="1"/>
    <xf numFmtId="0" fontId="10" fillId="6" borderId="0" xfId="0" applyFont="1" applyFill="1"/>
    <xf numFmtId="49" fontId="10" fillId="6" borderId="0" xfId="0" applyNumberFormat="1" applyFont="1" applyFill="1"/>
    <xf numFmtId="0" fontId="0" fillId="0" borderId="0" xfId="0" applyAlignment="1">
      <alignment horizontal="left"/>
    </xf>
    <xf numFmtId="0" fontId="7" fillId="0" borderId="0" xfId="0" applyFont="1"/>
    <xf numFmtId="0" fontId="0" fillId="0" borderId="18" xfId="0" applyBorder="1"/>
    <xf numFmtId="0" fontId="0" fillId="0" borderId="19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14" fontId="5" fillId="0" borderId="0" xfId="0" applyNumberFormat="1" applyFont="1"/>
    <xf numFmtId="0" fontId="7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3" fillId="0" borderId="0" xfId="1"/>
    <xf numFmtId="0" fontId="13" fillId="0" borderId="0" xfId="1" applyAlignment="1">
      <alignment horizontal="left"/>
    </xf>
    <xf numFmtId="0" fontId="13" fillId="0" borderId="0" xfId="1" applyAlignment="1"/>
    <xf numFmtId="0" fontId="10" fillId="6" borderId="0" xfId="0" applyFont="1" applyFill="1" applyAlignment="1">
      <alignment wrapText="1"/>
    </xf>
    <xf numFmtId="49" fontId="10" fillId="6" borderId="0" xfId="0" applyNumberFormat="1" applyFont="1" applyFill="1" applyAlignment="1">
      <alignment wrapText="1"/>
    </xf>
    <xf numFmtId="14" fontId="5" fillId="0" borderId="7" xfId="0" applyNumberFormat="1" applyFont="1" applyBorder="1"/>
    <xf numFmtId="0" fontId="8" fillId="5" borderId="30" xfId="0" applyFont="1" applyFill="1" applyBorder="1" applyAlignment="1">
      <alignment horizontal="left"/>
    </xf>
    <xf numFmtId="0" fontId="8" fillId="5" borderId="31" xfId="0" applyFont="1" applyFill="1" applyBorder="1" applyAlignment="1">
      <alignment horizontal="left"/>
    </xf>
    <xf numFmtId="0" fontId="8" fillId="5" borderId="32" xfId="0" applyFont="1" applyFill="1" applyBorder="1" applyAlignment="1">
      <alignment horizontal="left"/>
    </xf>
    <xf numFmtId="14" fontId="5" fillId="0" borderId="13" xfId="0" applyNumberFormat="1" applyFont="1" applyBorder="1"/>
    <xf numFmtId="14" fontId="5" fillId="0" borderId="33" xfId="0" applyNumberFormat="1" applyFont="1" applyBorder="1"/>
    <xf numFmtId="14" fontId="7" fillId="2" borderId="14" xfId="0" applyNumberFormat="1" applyFont="1" applyFill="1" applyBorder="1" applyAlignment="1">
      <alignment horizontal="center" textRotation="90" wrapText="1"/>
    </xf>
    <xf numFmtId="14" fontId="7" fillId="2" borderId="15" xfId="0" applyNumberFormat="1" applyFont="1" applyFill="1" applyBorder="1" applyAlignment="1">
      <alignment horizontal="center" textRotation="90" wrapText="1"/>
    </xf>
    <xf numFmtId="14" fontId="7" fillId="3" borderId="14" xfId="0" applyNumberFormat="1" applyFont="1" applyFill="1" applyBorder="1" applyAlignment="1">
      <alignment horizontal="center" textRotation="90" wrapText="1"/>
    </xf>
    <xf numFmtId="14" fontId="7" fillId="3" borderId="15" xfId="0" applyNumberFormat="1" applyFont="1" applyFill="1" applyBorder="1" applyAlignment="1">
      <alignment horizontal="center" textRotation="90" wrapText="1"/>
    </xf>
    <xf numFmtId="14" fontId="7" fillId="4" borderId="14" xfId="0" applyNumberFormat="1" applyFont="1" applyFill="1" applyBorder="1" applyAlignment="1">
      <alignment horizontal="center" textRotation="90" wrapText="1"/>
    </xf>
    <xf numFmtId="14" fontId="7" fillId="4" borderId="15" xfId="0" applyNumberFormat="1" applyFont="1" applyFill="1" applyBorder="1" applyAlignment="1">
      <alignment horizontal="center" textRotation="90" wrapText="1"/>
    </xf>
    <xf numFmtId="0" fontId="0" fillId="0" borderId="22" xfId="0" applyBorder="1"/>
    <xf numFmtId="0" fontId="0" fillId="0" borderId="20" xfId="0" applyBorder="1"/>
    <xf numFmtId="0" fontId="12" fillId="0" borderId="0" xfId="0" applyFont="1"/>
    <xf numFmtId="14" fontId="13" fillId="0" borderId="0" xfId="1" applyNumberFormat="1" applyBorder="1" applyAlignment="1"/>
    <xf numFmtId="0" fontId="0" fillId="0" borderId="21" xfId="0" applyBorder="1"/>
    <xf numFmtId="0" fontId="0" fillId="0" borderId="13" xfId="0" applyBorder="1"/>
    <xf numFmtId="0" fontId="0" fillId="0" borderId="33" xfId="0" applyBorder="1"/>
    <xf numFmtId="0" fontId="7" fillId="0" borderId="30" xfId="0" applyFont="1" applyBorder="1"/>
    <xf numFmtId="0" fontId="7" fillId="0" borderId="31" xfId="0" applyFont="1" applyBorder="1"/>
    <xf numFmtId="0" fontId="7" fillId="0" borderId="32" xfId="0" applyFont="1" applyBorder="1"/>
    <xf numFmtId="0" fontId="11" fillId="3" borderId="5" xfId="0" applyFont="1" applyFill="1" applyBorder="1"/>
    <xf numFmtId="0" fontId="11" fillId="4" borderId="34" xfId="0" applyFont="1" applyFill="1" applyBorder="1"/>
    <xf numFmtId="0" fontId="11" fillId="2" borderId="35" xfId="0" applyFont="1" applyFill="1" applyBorder="1"/>
    <xf numFmtId="0" fontId="7" fillId="0" borderId="26" xfId="0" applyFont="1" applyBorder="1" applyAlignment="1">
      <alignment horizontal="right"/>
    </xf>
    <xf numFmtId="0" fontId="4" fillId="2" borderId="36" xfId="0" applyFont="1" applyFill="1" applyBorder="1"/>
    <xf numFmtId="0" fontId="9" fillId="5" borderId="30" xfId="0" applyFont="1" applyFill="1" applyBorder="1"/>
    <xf numFmtId="0" fontId="9" fillId="5" borderId="31" xfId="0" applyFont="1" applyFill="1" applyBorder="1"/>
    <xf numFmtId="0" fontId="5" fillId="0" borderId="7" xfId="0" applyFont="1" applyBorder="1" applyAlignment="1">
      <alignment horizontal="left"/>
    </xf>
    <xf numFmtId="0" fontId="7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14" fontId="5" fillId="0" borderId="33" xfId="0" applyNumberFormat="1" applyFont="1" applyBorder="1" applyAlignment="1">
      <alignment horizontal="left"/>
    </xf>
    <xf numFmtId="0" fontId="0" fillId="0" borderId="0" xfId="0" quotePrefix="1" applyAlignment="1">
      <alignment horizontal="left"/>
    </xf>
    <xf numFmtId="0" fontId="0" fillId="0" borderId="33" xfId="0" applyBorder="1" applyAlignment="1">
      <alignment horizontal="left"/>
    </xf>
    <xf numFmtId="0" fontId="7" fillId="0" borderId="31" xfId="0" applyFont="1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4" xfId="0" applyBorder="1" applyAlignment="1">
      <alignment horizontal="left"/>
    </xf>
    <xf numFmtId="0" fontId="5" fillId="0" borderId="6" xfId="0" applyFont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5" fillId="0" borderId="0" xfId="0" applyFont="1" applyAlignment="1">
      <alignment horizontal="right"/>
    </xf>
    <xf numFmtId="0" fontId="11" fillId="2" borderId="37" xfId="0" applyFont="1" applyFill="1" applyBorder="1" applyAlignment="1">
      <alignment horizontal="left"/>
    </xf>
    <xf numFmtId="0" fontId="11" fillId="2" borderId="38" xfId="0" applyFont="1" applyFill="1" applyBorder="1" applyAlignment="1">
      <alignment horizontal="left"/>
    </xf>
    <xf numFmtId="0" fontId="5" fillId="2" borderId="39" xfId="0" applyFont="1" applyFill="1" applyBorder="1" applyAlignment="1">
      <alignment horizontal="left"/>
    </xf>
    <xf numFmtId="49" fontId="0" fillId="0" borderId="40" xfId="0" quotePrefix="1" applyNumberFormat="1" applyBorder="1" applyAlignment="1">
      <alignment horizontal="left"/>
    </xf>
    <xf numFmtId="49" fontId="0" fillId="0" borderId="40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4" fillId="8" borderId="1" xfId="0" applyFont="1" applyFill="1" applyBorder="1" applyAlignment="1">
      <alignment horizontal="left" wrapText="1"/>
    </xf>
    <xf numFmtId="0" fontId="15" fillId="7" borderId="1" xfId="0" applyFont="1" applyFill="1" applyBorder="1" applyAlignment="1">
      <alignment horizontal="left"/>
    </xf>
    <xf numFmtId="0" fontId="16" fillId="8" borderId="1" xfId="0" applyFont="1" applyFill="1" applyBorder="1" applyAlignment="1">
      <alignment horizontal="left"/>
    </xf>
    <xf numFmtId="0" fontId="17" fillId="8" borderId="1" xfId="0" applyFont="1" applyFill="1" applyBorder="1" applyAlignment="1">
      <alignment horizontal="left"/>
    </xf>
    <xf numFmtId="0" fontId="18" fillId="8" borderId="1" xfId="0" applyFont="1" applyFill="1" applyBorder="1" applyAlignment="1">
      <alignment horizontal="left"/>
    </xf>
    <xf numFmtId="49" fontId="0" fillId="7" borderId="1" xfId="0" applyNumberFormat="1" applyFill="1" applyBorder="1" applyAlignment="1">
      <alignment horizontal="left"/>
    </xf>
    <xf numFmtId="0" fontId="17" fillId="7" borderId="1" xfId="0" applyFont="1" applyFill="1" applyBorder="1" applyAlignment="1">
      <alignment horizontal="left"/>
    </xf>
    <xf numFmtId="0" fontId="19" fillId="7" borderId="1" xfId="0" applyFont="1" applyFill="1" applyBorder="1" applyAlignment="1">
      <alignment horizontal="left"/>
    </xf>
    <xf numFmtId="0" fontId="15" fillId="8" borderId="1" xfId="0" applyFont="1" applyFill="1" applyBorder="1" applyAlignment="1">
      <alignment horizontal="left"/>
    </xf>
    <xf numFmtId="0" fontId="10" fillId="9" borderId="1" xfId="0" applyFont="1" applyFill="1" applyBorder="1" applyAlignment="1">
      <alignment horizontal="left"/>
    </xf>
    <xf numFmtId="0" fontId="10" fillId="9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/>
    </xf>
    <xf numFmtId="0" fontId="10" fillId="9" borderId="1" xfId="0" applyFont="1" applyFill="1" applyBorder="1" applyAlignment="1">
      <alignment horizontal="left" vertical="center"/>
    </xf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10" fillId="5" borderId="4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left" wrapText="1"/>
    </xf>
    <xf numFmtId="0" fontId="10" fillId="5" borderId="10" xfId="0" applyFont="1" applyFill="1" applyBorder="1" applyAlignment="1">
      <alignment horizontal="left"/>
    </xf>
    <xf numFmtId="0" fontId="10" fillId="5" borderId="41" xfId="0" applyFont="1" applyFill="1" applyBorder="1" applyAlignment="1">
      <alignment horizontal="left"/>
    </xf>
    <xf numFmtId="0" fontId="7" fillId="2" borderId="52" xfId="0" applyFont="1" applyFill="1" applyBorder="1" applyAlignment="1">
      <alignment horizontal="left" textRotation="90"/>
    </xf>
    <xf numFmtId="0" fontId="7" fillId="3" borderId="51" xfId="0" applyFont="1" applyFill="1" applyBorder="1" applyAlignment="1">
      <alignment horizontal="left" textRotation="90"/>
    </xf>
    <xf numFmtId="0" fontId="7" fillId="4" borderId="53" xfId="0" applyFont="1" applyFill="1" applyBorder="1" applyAlignment="1">
      <alignment horizontal="left" textRotation="90"/>
    </xf>
    <xf numFmtId="0" fontId="7" fillId="10" borderId="0" xfId="0" applyFont="1" applyFill="1" applyAlignment="1">
      <alignment horizontal="center"/>
    </xf>
    <xf numFmtId="0" fontId="0" fillId="10" borderId="0" xfId="0" applyFill="1"/>
    <xf numFmtId="0" fontId="7" fillId="11" borderId="0" xfId="0" applyFont="1" applyFill="1" applyAlignment="1">
      <alignment horizontal="center" wrapText="1"/>
    </xf>
    <xf numFmtId="0" fontId="0" fillId="11" borderId="0" xfId="0" applyFill="1"/>
    <xf numFmtId="0" fontId="7" fillId="3" borderId="52" xfId="0" applyFont="1" applyFill="1" applyBorder="1" applyAlignment="1">
      <alignment horizontal="left" textRotation="90"/>
    </xf>
    <xf numFmtId="0" fontId="4" fillId="3" borderId="9" xfId="0" applyFont="1" applyFill="1" applyBorder="1" applyAlignment="1">
      <alignment horizontal="left"/>
    </xf>
    <xf numFmtId="0" fontId="11" fillId="3" borderId="37" xfId="0" applyFont="1" applyFill="1" applyBorder="1" applyAlignment="1">
      <alignment horizontal="left"/>
    </xf>
    <xf numFmtId="0" fontId="11" fillId="3" borderId="38" xfId="0" applyFont="1" applyFill="1" applyBorder="1" applyAlignment="1">
      <alignment horizontal="left"/>
    </xf>
    <xf numFmtId="0" fontId="5" fillId="3" borderId="39" xfId="0" applyFont="1" applyFill="1" applyBorder="1" applyAlignment="1">
      <alignment horizontal="left"/>
    </xf>
    <xf numFmtId="0" fontId="11" fillId="3" borderId="51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/>
    </xf>
    <xf numFmtId="0" fontId="5" fillId="3" borderId="57" xfId="0" applyFont="1" applyFill="1" applyBorder="1" applyAlignment="1">
      <alignment horizontal="left"/>
    </xf>
    <xf numFmtId="0" fontId="7" fillId="2" borderId="51" xfId="0" applyFont="1" applyFill="1" applyBorder="1" applyAlignment="1">
      <alignment horizontal="left" textRotation="90"/>
    </xf>
    <xf numFmtId="0" fontId="11" fillId="2" borderId="51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5" fillId="2" borderId="57" xfId="0" applyFont="1" applyFill="1" applyBorder="1" applyAlignment="1">
      <alignment horizontal="left"/>
    </xf>
    <xf numFmtId="0" fontId="7" fillId="0" borderId="7" xfId="0" applyFont="1" applyBorder="1" applyAlignment="1">
      <alignment horizontal="right" textRotation="90"/>
    </xf>
    <xf numFmtId="0" fontId="4" fillId="4" borderId="9" xfId="0" applyFont="1" applyFill="1" applyBorder="1" applyAlignment="1">
      <alignment horizontal="left"/>
    </xf>
    <xf numFmtId="0" fontId="4" fillId="4" borderId="56" xfId="0" applyFont="1" applyFill="1" applyBorder="1" applyAlignment="1">
      <alignment horizontal="left"/>
    </xf>
    <xf numFmtId="0" fontId="11" fillId="4" borderId="54" xfId="0" applyFont="1" applyFill="1" applyBorder="1" applyAlignment="1">
      <alignment horizontal="left"/>
    </xf>
    <xf numFmtId="0" fontId="11" fillId="4" borderId="18" xfId="0" applyFont="1" applyFill="1" applyBorder="1" applyAlignment="1">
      <alignment horizontal="left"/>
    </xf>
    <xf numFmtId="0" fontId="5" fillId="4" borderId="55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center" wrapText="1"/>
    </xf>
    <xf numFmtId="0" fontId="0" fillId="10" borderId="1" xfId="0" applyFill="1" applyBorder="1" applyAlignment="1">
      <alignment horizontal="left"/>
    </xf>
    <xf numFmtId="0" fontId="22" fillId="10" borderId="0" xfId="0" applyFont="1" applyFill="1"/>
    <xf numFmtId="0" fontId="21" fillId="10" borderId="0" xfId="0" applyFont="1" applyFill="1" applyAlignment="1">
      <alignment horizontal="right"/>
    </xf>
    <xf numFmtId="0" fontId="13" fillId="10" borderId="0" xfId="1" applyFill="1"/>
    <xf numFmtId="0" fontId="7" fillId="13" borderId="53" xfId="0" applyFont="1" applyFill="1" applyBorder="1" applyAlignment="1">
      <alignment horizontal="left" textRotation="90"/>
    </xf>
    <xf numFmtId="0" fontId="7" fillId="13" borderId="8" xfId="0" applyFont="1" applyFill="1" applyBorder="1" applyAlignment="1">
      <alignment horizontal="left" textRotation="90"/>
    </xf>
    <xf numFmtId="0" fontId="4" fillId="13" borderId="2" xfId="0" applyFont="1" applyFill="1" applyBorder="1" applyAlignment="1">
      <alignment horizontal="left"/>
    </xf>
    <xf numFmtId="0" fontId="4" fillId="13" borderId="9" xfId="0" applyFont="1" applyFill="1" applyBorder="1" applyAlignment="1">
      <alignment horizontal="left"/>
    </xf>
    <xf numFmtId="0" fontId="4" fillId="13" borderId="3" xfId="0" applyFont="1" applyFill="1" applyBorder="1" applyAlignment="1">
      <alignment horizontal="left"/>
    </xf>
    <xf numFmtId="0" fontId="4" fillId="13" borderId="56" xfId="0" applyFont="1" applyFill="1" applyBorder="1" applyAlignment="1">
      <alignment horizontal="left"/>
    </xf>
    <xf numFmtId="0" fontId="11" fillId="13" borderId="27" xfId="0" applyFont="1" applyFill="1" applyBorder="1" applyAlignment="1">
      <alignment horizontal="left"/>
    </xf>
    <xf numFmtId="0" fontId="11" fillId="13" borderId="54" xfId="0" applyFont="1" applyFill="1" applyBorder="1" applyAlignment="1">
      <alignment horizontal="left"/>
    </xf>
    <xf numFmtId="0" fontId="11" fillId="13" borderId="28" xfId="0" applyFont="1" applyFill="1" applyBorder="1" applyAlignment="1">
      <alignment horizontal="left"/>
    </xf>
    <xf numFmtId="0" fontId="11" fillId="13" borderId="18" xfId="0" applyFont="1" applyFill="1" applyBorder="1" applyAlignment="1">
      <alignment horizontal="left"/>
    </xf>
    <xf numFmtId="0" fontId="5" fillId="13" borderId="29" xfId="0" applyFont="1" applyFill="1" applyBorder="1" applyAlignment="1">
      <alignment horizontal="left"/>
    </xf>
    <xf numFmtId="0" fontId="5" fillId="13" borderId="55" xfId="0" applyFont="1" applyFill="1" applyBorder="1" applyAlignment="1">
      <alignment horizontal="left"/>
    </xf>
    <xf numFmtId="0" fontId="0" fillId="10" borderId="18" xfId="0" applyFill="1" applyBorder="1" applyAlignment="1">
      <alignment horizontal="left"/>
    </xf>
    <xf numFmtId="0" fontId="0" fillId="10" borderId="19" xfId="0" applyFill="1" applyBorder="1" applyAlignment="1">
      <alignment horizontal="left"/>
    </xf>
    <xf numFmtId="0" fontId="10" fillId="5" borderId="20" xfId="0" applyFont="1" applyFill="1" applyBorder="1" applyAlignment="1">
      <alignment horizontal="center" wrapText="1"/>
    </xf>
    <xf numFmtId="0" fontId="10" fillId="5" borderId="21" xfId="0" applyFont="1" applyFill="1" applyBorder="1" applyAlignment="1">
      <alignment horizontal="center" wrapText="1"/>
    </xf>
    <xf numFmtId="0" fontId="10" fillId="5" borderId="22" xfId="0" applyFont="1" applyFill="1" applyBorder="1" applyAlignment="1">
      <alignment horizontal="center" wrapText="1"/>
    </xf>
    <xf numFmtId="0" fontId="0" fillId="10" borderId="23" xfId="0" applyFill="1" applyBorder="1" applyAlignment="1">
      <alignment horizontal="left"/>
    </xf>
    <xf numFmtId="0" fontId="0" fillId="10" borderId="24" xfId="0" applyFill="1" applyBorder="1" applyAlignment="1">
      <alignment horizontal="left"/>
    </xf>
    <xf numFmtId="0" fontId="0" fillId="10" borderId="25" xfId="0" applyFill="1" applyBorder="1" applyAlignment="1">
      <alignment horizontal="left"/>
    </xf>
    <xf numFmtId="0" fontId="11" fillId="4" borderId="60" xfId="0" applyFont="1" applyFill="1" applyBorder="1" applyAlignment="1">
      <alignment horizontal="left"/>
    </xf>
    <xf numFmtId="0" fontId="11" fillId="4" borderId="58" xfId="0" applyFont="1" applyFill="1" applyBorder="1" applyAlignment="1">
      <alignment horizontal="left"/>
    </xf>
    <xf numFmtId="0" fontId="5" fillId="4" borderId="61" xfId="0" applyFont="1" applyFill="1" applyBorder="1" applyAlignment="1">
      <alignment horizontal="left"/>
    </xf>
    <xf numFmtId="0" fontId="24" fillId="4" borderId="0" xfId="0" applyFont="1" applyFill="1"/>
    <xf numFmtId="0" fontId="3" fillId="4" borderId="56" xfId="0" applyFont="1" applyFill="1" applyBorder="1" applyAlignment="1">
      <alignment horizontal="left"/>
    </xf>
    <xf numFmtId="0" fontId="3" fillId="4" borderId="11" xfId="0" applyFont="1" applyFill="1" applyBorder="1" applyAlignment="1">
      <alignment horizontal="left"/>
    </xf>
    <xf numFmtId="0" fontId="0" fillId="4" borderId="0" xfId="0" applyFill="1"/>
    <xf numFmtId="0" fontId="7" fillId="4" borderId="60" xfId="0" applyFont="1" applyFill="1" applyBorder="1" applyAlignment="1">
      <alignment horizontal="left" textRotation="90"/>
    </xf>
    <xf numFmtId="0" fontId="4" fillId="4" borderId="58" xfId="0" applyFont="1" applyFill="1" applyBorder="1" applyAlignment="1">
      <alignment horizontal="left"/>
    </xf>
    <xf numFmtId="0" fontId="4" fillId="4" borderId="59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left"/>
    </xf>
    <xf numFmtId="0" fontId="4" fillId="14" borderId="1" xfId="0" applyFont="1" applyFill="1" applyBorder="1" applyAlignment="1">
      <alignment horizontal="left"/>
    </xf>
    <xf numFmtId="0" fontId="11" fillId="14" borderId="1" xfId="0" applyFont="1" applyFill="1" applyBorder="1" applyAlignment="1">
      <alignment horizontal="left"/>
    </xf>
    <xf numFmtId="0" fontId="4" fillId="14" borderId="21" xfId="0" applyFont="1" applyFill="1" applyBorder="1" applyAlignment="1">
      <alignment horizontal="left"/>
    </xf>
    <xf numFmtId="0" fontId="7" fillId="14" borderId="37" xfId="0" applyFont="1" applyFill="1" applyBorder="1" applyAlignment="1">
      <alignment horizontal="left" textRotation="90"/>
    </xf>
    <xf numFmtId="0" fontId="7" fillId="14" borderId="63" xfId="0" applyFont="1" applyFill="1" applyBorder="1" applyAlignment="1">
      <alignment horizontal="left" textRotation="90"/>
    </xf>
    <xf numFmtId="0" fontId="24" fillId="14" borderId="39" xfId="0" applyFont="1" applyFill="1" applyBorder="1"/>
    <xf numFmtId="0" fontId="24" fillId="14" borderId="64" xfId="0" applyFont="1" applyFill="1" applyBorder="1"/>
    <xf numFmtId="0" fontId="4" fillId="14" borderId="24" xfId="0" applyFont="1" applyFill="1" applyBorder="1" applyAlignment="1">
      <alignment horizontal="left"/>
    </xf>
    <xf numFmtId="0" fontId="11" fillId="14" borderId="21" xfId="0" applyFont="1" applyFill="1" applyBorder="1" applyAlignment="1">
      <alignment horizontal="left"/>
    </xf>
    <xf numFmtId="0" fontId="4" fillId="14" borderId="37" xfId="0" applyFont="1" applyFill="1" applyBorder="1" applyAlignment="1">
      <alignment horizontal="left"/>
    </xf>
    <xf numFmtId="0" fontId="4" fillId="14" borderId="63" xfId="0" applyFont="1" applyFill="1" applyBorder="1" applyAlignment="1">
      <alignment horizontal="left"/>
    </xf>
    <xf numFmtId="0" fontId="4" fillId="14" borderId="38" xfId="0" applyFont="1" applyFill="1" applyBorder="1" applyAlignment="1">
      <alignment horizontal="left"/>
    </xf>
    <xf numFmtId="0" fontId="4" fillId="14" borderId="39" xfId="0" applyFont="1" applyFill="1" applyBorder="1" applyAlignment="1">
      <alignment horizontal="left"/>
    </xf>
    <xf numFmtId="0" fontId="4" fillId="14" borderId="64" xfId="0" applyFont="1" applyFill="1" applyBorder="1" applyAlignment="1">
      <alignment horizontal="left"/>
    </xf>
    <xf numFmtId="0" fontId="11" fillId="14" borderId="37" xfId="0" applyFont="1" applyFill="1" applyBorder="1" applyAlignment="1">
      <alignment horizontal="left"/>
    </xf>
    <xf numFmtId="0" fontId="11" fillId="14" borderId="63" xfId="0" applyFont="1" applyFill="1" applyBorder="1" applyAlignment="1">
      <alignment horizontal="left"/>
    </xf>
    <xf numFmtId="0" fontId="11" fillId="14" borderId="38" xfId="0" applyFont="1" applyFill="1" applyBorder="1" applyAlignment="1">
      <alignment horizontal="left"/>
    </xf>
    <xf numFmtId="0" fontId="5" fillId="14" borderId="39" xfId="0" applyFont="1" applyFill="1" applyBorder="1" applyAlignment="1">
      <alignment horizontal="left"/>
    </xf>
    <xf numFmtId="0" fontId="5" fillId="14" borderId="64" xfId="0" applyFont="1" applyFill="1" applyBorder="1" applyAlignment="1">
      <alignment horizontal="left"/>
    </xf>
    <xf numFmtId="0" fontId="11" fillId="14" borderId="65" xfId="0" applyFont="1" applyFill="1" applyBorder="1" applyAlignment="1">
      <alignment horizontal="left"/>
    </xf>
    <xf numFmtId="0" fontId="4" fillId="14" borderId="66" xfId="0" applyFont="1" applyFill="1" applyBorder="1" applyAlignment="1">
      <alignment horizontal="left"/>
    </xf>
    <xf numFmtId="0" fontId="2" fillId="14" borderId="38" xfId="0" applyFont="1" applyFill="1" applyBorder="1" applyAlignment="1">
      <alignment horizontal="left"/>
    </xf>
    <xf numFmtId="0" fontId="24" fillId="14" borderId="66" xfId="0" applyFont="1" applyFill="1" applyBorder="1"/>
    <xf numFmtId="0" fontId="24" fillId="14" borderId="24" xfId="0" applyFont="1" applyFill="1" applyBorder="1"/>
    <xf numFmtId="0" fontId="7" fillId="4" borderId="37" xfId="0" applyFont="1" applyFill="1" applyBorder="1" applyAlignment="1">
      <alignment horizontal="left" textRotation="90"/>
    </xf>
    <xf numFmtId="0" fontId="7" fillId="4" borderId="63" xfId="0" applyFont="1" applyFill="1" applyBorder="1" applyAlignment="1">
      <alignment horizontal="left" textRotation="90"/>
    </xf>
    <xf numFmtId="0" fontId="4" fillId="4" borderId="38" xfId="0" applyFont="1" applyFill="1" applyBorder="1" applyAlignment="1">
      <alignment horizontal="left"/>
    </xf>
    <xf numFmtId="0" fontId="11" fillId="4" borderId="38" xfId="0" applyFont="1" applyFill="1" applyBorder="1" applyAlignment="1">
      <alignment horizontal="left"/>
    </xf>
    <xf numFmtId="0" fontId="5" fillId="4" borderId="39" xfId="0" applyFont="1" applyFill="1" applyBorder="1" applyAlignment="1">
      <alignment horizontal="left"/>
    </xf>
    <xf numFmtId="0" fontId="5" fillId="4" borderId="64" xfId="0" applyFont="1" applyFill="1" applyBorder="1" applyAlignment="1">
      <alignment horizontal="left"/>
    </xf>
    <xf numFmtId="0" fontId="11" fillId="4" borderId="37" xfId="0" applyFont="1" applyFill="1" applyBorder="1" applyAlignment="1">
      <alignment horizontal="left"/>
    </xf>
    <xf numFmtId="0" fontId="11" fillId="4" borderId="63" xfId="0" applyFont="1" applyFill="1" applyBorder="1" applyAlignment="1">
      <alignment horizontal="left"/>
    </xf>
    <xf numFmtId="0" fontId="4" fillId="4" borderId="37" xfId="0" applyFont="1" applyFill="1" applyBorder="1" applyAlignment="1">
      <alignment horizontal="left"/>
    </xf>
    <xf numFmtId="0" fontId="4" fillId="4" borderId="63" xfId="0" applyFont="1" applyFill="1" applyBorder="1" applyAlignment="1">
      <alignment horizontal="left"/>
    </xf>
    <xf numFmtId="0" fontId="4" fillId="4" borderId="39" xfId="0" applyFont="1" applyFill="1" applyBorder="1" applyAlignment="1">
      <alignment horizontal="left"/>
    </xf>
    <xf numFmtId="0" fontId="4" fillId="4" borderId="64" xfId="0" applyFont="1" applyFill="1" applyBorder="1" applyAlignment="1">
      <alignment horizontal="left"/>
    </xf>
    <xf numFmtId="0" fontId="23" fillId="4" borderId="39" xfId="0" applyFont="1" applyFill="1" applyBorder="1" applyAlignment="1">
      <alignment horizontal="center"/>
    </xf>
    <xf numFmtId="0" fontId="23" fillId="4" borderId="64" xfId="0" applyFont="1" applyFill="1" applyBorder="1" applyAlignment="1">
      <alignment horizontal="center"/>
    </xf>
    <xf numFmtId="0" fontId="23" fillId="4" borderId="29" xfId="0" applyFont="1" applyFill="1" applyBorder="1" applyAlignment="1">
      <alignment horizontal="center"/>
    </xf>
    <xf numFmtId="0" fontId="7" fillId="14" borderId="68" xfId="0" applyFont="1" applyFill="1" applyBorder="1" applyAlignment="1">
      <alignment horizontal="left" textRotation="90"/>
    </xf>
    <xf numFmtId="0" fontId="24" fillId="14" borderId="25" xfId="0" applyFont="1" applyFill="1" applyBorder="1"/>
    <xf numFmtId="0" fontId="4" fillId="14" borderId="68" xfId="0" applyFont="1" applyFill="1" applyBorder="1" applyAlignment="1">
      <alignment horizontal="left"/>
    </xf>
    <xf numFmtId="0" fontId="4" fillId="14" borderId="19" xfId="0" applyFont="1" applyFill="1" applyBorder="1" applyAlignment="1">
      <alignment horizontal="left"/>
    </xf>
    <xf numFmtId="0" fontId="4" fillId="14" borderId="69" xfId="0" applyFont="1" applyFill="1" applyBorder="1" applyAlignment="1">
      <alignment horizontal="left"/>
    </xf>
    <xf numFmtId="0" fontId="11" fillId="14" borderId="22" xfId="0" applyFont="1" applyFill="1" applyBorder="1" applyAlignment="1">
      <alignment horizontal="left"/>
    </xf>
    <xf numFmtId="0" fontId="11" fillId="14" borderId="19" xfId="0" applyFont="1" applyFill="1" applyBorder="1" applyAlignment="1">
      <alignment horizontal="left"/>
    </xf>
    <xf numFmtId="0" fontId="5" fillId="14" borderId="69" xfId="0" applyFont="1" applyFill="1" applyBorder="1" applyAlignment="1">
      <alignment horizontal="left"/>
    </xf>
    <xf numFmtId="0" fontId="2" fillId="4" borderId="38" xfId="0" applyFont="1" applyFill="1" applyBorder="1" applyAlignment="1">
      <alignment horizontal="left"/>
    </xf>
    <xf numFmtId="0" fontId="23" fillId="4" borderId="66" xfId="0" applyFont="1" applyFill="1" applyBorder="1" applyAlignment="1">
      <alignment horizontal="left" wrapText="1"/>
    </xf>
    <xf numFmtId="0" fontId="23" fillId="4" borderId="24" xfId="0" applyFont="1" applyFill="1" applyBorder="1" applyAlignment="1">
      <alignment horizontal="left" wrapText="1"/>
    </xf>
    <xf numFmtId="0" fontId="7" fillId="4" borderId="68" xfId="0" applyFont="1" applyFill="1" applyBorder="1" applyAlignment="1">
      <alignment horizontal="left" textRotation="90"/>
    </xf>
    <xf numFmtId="0" fontId="23" fillId="4" borderId="25" xfId="0" applyFont="1" applyFill="1" applyBorder="1" applyAlignment="1">
      <alignment horizontal="left" wrapText="1"/>
    </xf>
    <xf numFmtId="0" fontId="4" fillId="4" borderId="68" xfId="0" applyFont="1" applyFill="1" applyBorder="1" applyAlignment="1">
      <alignment horizontal="left"/>
    </xf>
    <xf numFmtId="0" fontId="4" fillId="4" borderId="19" xfId="0" applyFont="1" applyFill="1" applyBorder="1" applyAlignment="1">
      <alignment horizontal="left"/>
    </xf>
    <xf numFmtId="0" fontId="4" fillId="4" borderId="69" xfId="0" applyFont="1" applyFill="1" applyBorder="1" applyAlignment="1">
      <alignment horizontal="left"/>
    </xf>
    <xf numFmtId="0" fontId="2" fillId="14" borderId="65" xfId="0" applyFont="1" applyFill="1" applyBorder="1" applyAlignment="1">
      <alignment horizontal="left"/>
    </xf>
    <xf numFmtId="0" fontId="11" fillId="4" borderId="68" xfId="0" applyFont="1" applyFill="1" applyBorder="1" applyAlignment="1">
      <alignment horizontal="left"/>
    </xf>
    <xf numFmtId="0" fontId="11" fillId="4" borderId="19" xfId="0" applyFont="1" applyFill="1" applyBorder="1" applyAlignment="1">
      <alignment horizontal="left"/>
    </xf>
    <xf numFmtId="0" fontId="5" fillId="4" borderId="69" xfId="0" applyFont="1" applyFill="1" applyBorder="1" applyAlignment="1">
      <alignment horizontal="left"/>
    </xf>
    <xf numFmtId="0" fontId="2" fillId="12" borderId="21" xfId="0" applyFont="1" applyFill="1" applyBorder="1" applyAlignment="1">
      <alignment horizontal="left"/>
    </xf>
    <xf numFmtId="0" fontId="2" fillId="12" borderId="1" xfId="0" applyFont="1" applyFill="1" applyBorder="1" applyAlignment="1">
      <alignment horizontal="left"/>
    </xf>
    <xf numFmtId="0" fontId="2" fillId="12" borderId="24" xfId="0" applyFont="1" applyFill="1" applyBorder="1" applyAlignment="1">
      <alignment horizontal="left"/>
    </xf>
    <xf numFmtId="0" fontId="24" fillId="14" borderId="69" xfId="0" applyFont="1" applyFill="1" applyBorder="1"/>
    <xf numFmtId="0" fontId="4" fillId="14" borderId="22" xfId="0" applyFont="1" applyFill="1" applyBorder="1" applyAlignment="1">
      <alignment horizontal="left"/>
    </xf>
    <xf numFmtId="0" fontId="4" fillId="14" borderId="25" xfId="0" applyFont="1" applyFill="1" applyBorder="1" applyAlignment="1">
      <alignment horizontal="left"/>
    </xf>
    <xf numFmtId="0" fontId="11" fillId="14" borderId="68" xfId="0" applyFont="1" applyFill="1" applyBorder="1" applyAlignment="1">
      <alignment horizontal="left"/>
    </xf>
    <xf numFmtId="0" fontId="4" fillId="12" borderId="1" xfId="0" applyFont="1" applyFill="1" applyBorder="1" applyAlignment="1">
      <alignment horizontal="left"/>
    </xf>
    <xf numFmtId="0" fontId="11" fillId="12" borderId="1" xfId="0" applyFont="1" applyFill="1" applyBorder="1" applyAlignment="1">
      <alignment horizontal="left"/>
    </xf>
    <xf numFmtId="0" fontId="7" fillId="12" borderId="37" xfId="0" applyFont="1" applyFill="1" applyBorder="1" applyAlignment="1">
      <alignment horizontal="left" textRotation="90"/>
    </xf>
    <xf numFmtId="0" fontId="7" fillId="12" borderId="63" xfId="0" applyFont="1" applyFill="1" applyBorder="1" applyAlignment="1">
      <alignment horizontal="left" textRotation="90"/>
    </xf>
    <xf numFmtId="0" fontId="4" fillId="12" borderId="38" xfId="0" applyFont="1" applyFill="1" applyBorder="1" applyAlignment="1">
      <alignment horizontal="left"/>
    </xf>
    <xf numFmtId="0" fontId="2" fillId="12" borderId="38" xfId="0" applyFont="1" applyFill="1" applyBorder="1" applyAlignment="1">
      <alignment horizontal="left"/>
    </xf>
    <xf numFmtId="0" fontId="11" fillId="12" borderId="38" xfId="0" applyFont="1" applyFill="1" applyBorder="1" applyAlignment="1">
      <alignment horizontal="left"/>
    </xf>
    <xf numFmtId="0" fontId="5" fillId="12" borderId="39" xfId="0" applyFont="1" applyFill="1" applyBorder="1" applyAlignment="1">
      <alignment horizontal="left"/>
    </xf>
    <xf numFmtId="0" fontId="5" fillId="12" borderId="64" xfId="0" applyFont="1" applyFill="1" applyBorder="1" applyAlignment="1">
      <alignment horizontal="left"/>
    </xf>
    <xf numFmtId="0" fontId="4" fillId="12" borderId="65" xfId="0" applyFont="1" applyFill="1" applyBorder="1" applyAlignment="1">
      <alignment horizontal="left"/>
    </xf>
    <xf numFmtId="0" fontId="24" fillId="12" borderId="39" xfId="0" applyFont="1" applyFill="1" applyBorder="1"/>
    <xf numFmtId="0" fontId="23" fillId="12" borderId="64" xfId="0" applyFont="1" applyFill="1" applyBorder="1" applyAlignment="1">
      <alignment horizontal="left" wrapText="1"/>
    </xf>
    <xf numFmtId="0" fontId="4" fillId="12" borderId="66" xfId="0" applyFont="1" applyFill="1" applyBorder="1" applyAlignment="1">
      <alignment horizontal="left"/>
    </xf>
    <xf numFmtId="0" fontId="11" fillId="12" borderId="37" xfId="0" applyFont="1" applyFill="1" applyBorder="1" applyAlignment="1">
      <alignment horizontal="left"/>
    </xf>
    <xf numFmtId="0" fontId="11" fillId="12" borderId="63" xfId="0" applyFont="1" applyFill="1" applyBorder="1" applyAlignment="1">
      <alignment horizontal="left"/>
    </xf>
    <xf numFmtId="0" fontId="23" fillId="14" borderId="39" xfId="0" applyFont="1" applyFill="1" applyBorder="1" applyAlignment="1">
      <alignment horizontal="center"/>
    </xf>
    <xf numFmtId="0" fontId="23" fillId="14" borderId="64" xfId="0" applyFont="1" applyFill="1" applyBorder="1" applyAlignment="1">
      <alignment horizontal="center"/>
    </xf>
    <xf numFmtId="0" fontId="23" fillId="14" borderId="29" xfId="0" applyFont="1" applyFill="1" applyBorder="1" applyAlignment="1">
      <alignment horizontal="center"/>
    </xf>
    <xf numFmtId="0" fontId="23" fillId="4" borderId="66" xfId="0" applyFont="1" applyFill="1" applyBorder="1" applyAlignment="1">
      <alignment horizontal="center" wrapText="1"/>
    </xf>
    <xf numFmtId="0" fontId="23" fillId="4" borderId="24" xfId="0" applyFont="1" applyFill="1" applyBorder="1" applyAlignment="1">
      <alignment horizontal="center" wrapText="1"/>
    </xf>
    <xf numFmtId="0" fontId="23" fillId="4" borderId="67" xfId="0" applyFont="1" applyFill="1" applyBorder="1" applyAlignment="1">
      <alignment horizontal="center" wrapText="1"/>
    </xf>
    <xf numFmtId="0" fontId="7" fillId="12" borderId="68" xfId="0" applyFont="1" applyFill="1" applyBorder="1" applyAlignment="1">
      <alignment horizontal="left" textRotation="90"/>
    </xf>
    <xf numFmtId="0" fontId="2" fillId="12" borderId="22" xfId="0" applyFont="1" applyFill="1" applyBorder="1" applyAlignment="1">
      <alignment horizontal="left"/>
    </xf>
    <xf numFmtId="0" fontId="2" fillId="12" borderId="19" xfId="0" applyFont="1" applyFill="1" applyBorder="1" applyAlignment="1">
      <alignment horizontal="left"/>
    </xf>
    <xf numFmtId="0" fontId="4" fillId="12" borderId="19" xfId="0" applyFont="1" applyFill="1" applyBorder="1" applyAlignment="1">
      <alignment horizontal="left"/>
    </xf>
    <xf numFmtId="0" fontId="2" fillId="12" borderId="25" xfId="0" applyFont="1" applyFill="1" applyBorder="1" applyAlignment="1">
      <alignment horizontal="left"/>
    </xf>
    <xf numFmtId="0" fontId="11" fillId="12" borderId="68" xfId="0" applyFont="1" applyFill="1" applyBorder="1" applyAlignment="1">
      <alignment horizontal="left"/>
    </xf>
    <xf numFmtId="0" fontId="11" fillId="12" borderId="19" xfId="0" applyFont="1" applyFill="1" applyBorder="1" applyAlignment="1">
      <alignment horizontal="left"/>
    </xf>
    <xf numFmtId="0" fontId="5" fillId="12" borderId="69" xfId="0" applyFont="1" applyFill="1" applyBorder="1" applyAlignment="1">
      <alignment horizontal="left"/>
    </xf>
    <xf numFmtId="0" fontId="7" fillId="2" borderId="64" xfId="0" applyFont="1" applyFill="1" applyBorder="1" applyAlignment="1">
      <alignment horizontal="center"/>
    </xf>
    <xf numFmtId="0" fontId="7" fillId="2" borderId="39" xfId="0" applyFont="1" applyFill="1" applyBorder="1" applyAlignment="1">
      <alignment horizontal="center" textRotation="90"/>
    </xf>
    <xf numFmtId="0" fontId="7" fillId="2" borderId="64" xfId="0" applyFont="1" applyFill="1" applyBorder="1" applyAlignment="1">
      <alignment horizontal="center" textRotation="90"/>
    </xf>
    <xf numFmtId="0" fontId="7" fillId="2" borderId="69" xfId="0" applyFont="1" applyFill="1" applyBorder="1" applyAlignment="1">
      <alignment horizontal="center"/>
    </xf>
    <xf numFmtId="0" fontId="7" fillId="3" borderId="64" xfId="0" applyFont="1" applyFill="1" applyBorder="1" applyAlignment="1">
      <alignment horizontal="center"/>
    </xf>
    <xf numFmtId="0" fontId="7" fillId="3" borderId="29" xfId="0" applyFont="1" applyFill="1" applyBorder="1" applyAlignment="1">
      <alignment horizontal="center"/>
    </xf>
    <xf numFmtId="0" fontId="7" fillId="3" borderId="39" xfId="0" applyFont="1" applyFill="1" applyBorder="1" applyAlignment="1">
      <alignment horizontal="center" textRotation="90"/>
    </xf>
    <xf numFmtId="0" fontId="7" fillId="3" borderId="64" xfId="0" applyFont="1" applyFill="1" applyBorder="1" applyAlignment="1">
      <alignment horizontal="center" textRotation="90"/>
    </xf>
    <xf numFmtId="0" fontId="23" fillId="16" borderId="64" xfId="0" applyFont="1" applyFill="1" applyBorder="1" applyAlignment="1">
      <alignment horizontal="center" wrapText="1"/>
    </xf>
    <xf numFmtId="41" fontId="4" fillId="4" borderId="37" xfId="0" applyNumberFormat="1" applyFont="1" applyFill="1" applyBorder="1" applyAlignment="1">
      <alignment horizontal="left"/>
    </xf>
    <xf numFmtId="41" fontId="4" fillId="4" borderId="63" xfId="0" applyNumberFormat="1" applyFont="1" applyFill="1" applyBorder="1" applyAlignment="1">
      <alignment horizontal="left"/>
    </xf>
    <xf numFmtId="41" fontId="4" fillId="4" borderId="27" xfId="0" applyNumberFormat="1" applyFont="1" applyFill="1" applyBorder="1" applyAlignment="1">
      <alignment horizontal="left"/>
    </xf>
    <xf numFmtId="41" fontId="4" fillId="14" borderId="37" xfId="0" applyNumberFormat="1" applyFont="1" applyFill="1" applyBorder="1" applyAlignment="1">
      <alignment horizontal="left"/>
    </xf>
    <xf numFmtId="41" fontId="4" fillId="14" borderId="63" xfId="0" applyNumberFormat="1" applyFont="1" applyFill="1" applyBorder="1" applyAlignment="1">
      <alignment horizontal="left"/>
    </xf>
    <xf numFmtId="41" fontId="2" fillId="14" borderId="65" xfId="0" applyNumberFormat="1" applyFont="1" applyFill="1" applyBorder="1" applyAlignment="1">
      <alignment horizontal="left"/>
    </xf>
    <xf numFmtId="41" fontId="4" fillId="14" borderId="21" xfId="0" applyNumberFormat="1" applyFont="1" applyFill="1" applyBorder="1" applyAlignment="1">
      <alignment horizontal="left"/>
    </xf>
    <xf numFmtId="41" fontId="4" fillId="14" borderId="62" xfId="0" applyNumberFormat="1" applyFont="1" applyFill="1" applyBorder="1" applyAlignment="1">
      <alignment horizontal="left"/>
    </xf>
    <xf numFmtId="41" fontId="4" fillId="2" borderId="37" xfId="0" applyNumberFormat="1" applyFont="1" applyFill="1" applyBorder="1" applyAlignment="1">
      <alignment horizontal="left"/>
    </xf>
    <xf numFmtId="41" fontId="4" fillId="2" borderId="63" xfId="0" applyNumberFormat="1" applyFont="1" applyFill="1" applyBorder="1" applyAlignment="1">
      <alignment horizontal="left"/>
    </xf>
    <xf numFmtId="41" fontId="4" fillId="2" borderId="68" xfId="0" applyNumberFormat="1" applyFont="1" applyFill="1" applyBorder="1" applyAlignment="1">
      <alignment horizontal="left"/>
    </xf>
    <xf numFmtId="41" fontId="4" fillId="3" borderId="65" xfId="0" applyNumberFormat="1" applyFont="1" applyFill="1" applyBorder="1" applyAlignment="1">
      <alignment horizontal="left"/>
    </xf>
    <xf numFmtId="41" fontId="4" fillId="3" borderId="21" xfId="0" applyNumberFormat="1" applyFont="1" applyFill="1" applyBorder="1" applyAlignment="1">
      <alignment horizontal="left"/>
    </xf>
    <xf numFmtId="41" fontId="4" fillId="3" borderId="62" xfId="0" applyNumberFormat="1" applyFont="1" applyFill="1" applyBorder="1" applyAlignment="1">
      <alignment horizontal="left"/>
    </xf>
    <xf numFmtId="41" fontId="4" fillId="16" borderId="65" xfId="0" applyNumberFormat="1" applyFont="1" applyFill="1" applyBorder="1" applyAlignment="1">
      <alignment horizontal="left"/>
    </xf>
    <xf numFmtId="41" fontId="2" fillId="16" borderId="21" xfId="0" applyNumberFormat="1" applyFont="1" applyFill="1" applyBorder="1" applyAlignment="1">
      <alignment horizontal="left"/>
    </xf>
    <xf numFmtId="41" fontId="4" fillId="4" borderId="38" xfId="0" applyNumberFormat="1" applyFont="1" applyFill="1" applyBorder="1" applyAlignment="1">
      <alignment horizontal="left"/>
    </xf>
    <xf numFmtId="41" fontId="4" fillId="4" borderId="1" xfId="0" applyNumberFormat="1" applyFont="1" applyFill="1" applyBorder="1" applyAlignment="1">
      <alignment horizontal="left"/>
    </xf>
    <xf numFmtId="41" fontId="4" fillId="4" borderId="28" xfId="0" applyNumberFormat="1" applyFont="1" applyFill="1" applyBorder="1" applyAlignment="1">
      <alignment horizontal="left"/>
    </xf>
    <xf numFmtId="41" fontId="4" fillId="14" borderId="38" xfId="0" applyNumberFormat="1" applyFont="1" applyFill="1" applyBorder="1" applyAlignment="1">
      <alignment horizontal="left"/>
    </xf>
    <xf numFmtId="41" fontId="4" fillId="14" borderId="1" xfId="0" applyNumberFormat="1" applyFont="1" applyFill="1" applyBorder="1" applyAlignment="1">
      <alignment horizontal="left"/>
    </xf>
    <xf numFmtId="41" fontId="4" fillId="14" borderId="28" xfId="0" applyNumberFormat="1" applyFont="1" applyFill="1" applyBorder="1" applyAlignment="1">
      <alignment horizontal="left"/>
    </xf>
    <xf numFmtId="41" fontId="2" fillId="14" borderId="38" xfId="0" applyNumberFormat="1" applyFont="1" applyFill="1" applyBorder="1" applyAlignment="1">
      <alignment horizontal="left"/>
    </xf>
    <xf numFmtId="41" fontId="4" fillId="2" borderId="38" xfId="0" applyNumberFormat="1" applyFont="1" applyFill="1" applyBorder="1" applyAlignment="1">
      <alignment horizontal="left"/>
    </xf>
    <xf numFmtId="41" fontId="4" fillId="2" borderId="1" xfId="0" applyNumberFormat="1" applyFont="1" applyFill="1" applyBorder="1" applyAlignment="1">
      <alignment horizontal="left"/>
    </xf>
    <xf numFmtId="41" fontId="4" fillId="2" borderId="19" xfId="0" applyNumberFormat="1" applyFont="1" applyFill="1" applyBorder="1" applyAlignment="1">
      <alignment horizontal="left"/>
    </xf>
    <xf numFmtId="41" fontId="4" fillId="3" borderId="38" xfId="0" applyNumberFormat="1" applyFont="1" applyFill="1" applyBorder="1" applyAlignment="1">
      <alignment horizontal="left"/>
    </xf>
    <xf numFmtId="41" fontId="4" fillId="3" borderId="1" xfId="0" applyNumberFormat="1" applyFont="1" applyFill="1" applyBorder="1" applyAlignment="1">
      <alignment horizontal="left"/>
    </xf>
    <xf numFmtId="41" fontId="4" fillId="3" borderId="28" xfId="0" applyNumberFormat="1" applyFont="1" applyFill="1" applyBorder="1" applyAlignment="1">
      <alignment horizontal="left"/>
    </xf>
    <xf numFmtId="41" fontId="4" fillId="16" borderId="38" xfId="0" applyNumberFormat="1" applyFont="1" applyFill="1" applyBorder="1" applyAlignment="1">
      <alignment horizontal="left"/>
    </xf>
    <xf numFmtId="41" fontId="2" fillId="16" borderId="1" xfId="0" applyNumberFormat="1" applyFont="1" applyFill="1" applyBorder="1" applyAlignment="1">
      <alignment horizontal="left"/>
    </xf>
    <xf numFmtId="41" fontId="2" fillId="16" borderId="38" xfId="0" applyNumberFormat="1" applyFont="1" applyFill="1" applyBorder="1" applyAlignment="1">
      <alignment horizontal="left"/>
    </xf>
    <xf numFmtId="41" fontId="4" fillId="16" borderId="1" xfId="0" applyNumberFormat="1" applyFont="1" applyFill="1" applyBorder="1" applyAlignment="1">
      <alignment horizontal="left"/>
    </xf>
    <xf numFmtId="41" fontId="2" fillId="4" borderId="38" xfId="0" applyNumberFormat="1" applyFont="1" applyFill="1" applyBorder="1" applyAlignment="1">
      <alignment horizontal="left"/>
    </xf>
    <xf numFmtId="41" fontId="4" fillId="4" borderId="39" xfId="0" applyNumberFormat="1" applyFont="1" applyFill="1" applyBorder="1" applyAlignment="1">
      <alignment horizontal="left"/>
    </xf>
    <xf numFmtId="41" fontId="4" fillId="4" borderId="64" xfId="0" applyNumberFormat="1" applyFont="1" applyFill="1" applyBorder="1" applyAlignment="1">
      <alignment horizontal="left"/>
    </xf>
    <xf numFmtId="41" fontId="4" fillId="4" borderId="29" xfId="0" applyNumberFormat="1" applyFont="1" applyFill="1" applyBorder="1" applyAlignment="1">
      <alignment horizontal="left"/>
    </xf>
    <xf numFmtId="41" fontId="4" fillId="14" borderId="39" xfId="0" applyNumberFormat="1" applyFont="1" applyFill="1" applyBorder="1" applyAlignment="1">
      <alignment horizontal="left"/>
    </xf>
    <xf numFmtId="41" fontId="4" fillId="14" borderId="64" xfId="0" applyNumberFormat="1" applyFont="1" applyFill="1" applyBorder="1" applyAlignment="1">
      <alignment horizontal="left"/>
    </xf>
    <xf numFmtId="41" fontId="4" fillId="14" borderId="66" xfId="0" applyNumberFormat="1" applyFont="1" applyFill="1" applyBorder="1" applyAlignment="1">
      <alignment horizontal="left"/>
    </xf>
    <xf numFmtId="41" fontId="4" fillId="14" borderId="24" xfId="0" applyNumberFormat="1" applyFont="1" applyFill="1" applyBorder="1" applyAlignment="1">
      <alignment horizontal="left"/>
    </xf>
    <xf numFmtId="41" fontId="4" fillId="14" borderId="67" xfId="0" applyNumberFormat="1" applyFont="1" applyFill="1" applyBorder="1" applyAlignment="1">
      <alignment horizontal="left"/>
    </xf>
    <xf numFmtId="41" fontId="4" fillId="2" borderId="39" xfId="0" applyNumberFormat="1" applyFont="1" applyFill="1" applyBorder="1" applyAlignment="1">
      <alignment horizontal="left"/>
    </xf>
    <xf numFmtId="41" fontId="4" fillId="2" borderId="64" xfId="0" applyNumberFormat="1" applyFont="1" applyFill="1" applyBorder="1" applyAlignment="1">
      <alignment horizontal="left"/>
    </xf>
    <xf numFmtId="41" fontId="4" fillId="2" borderId="69" xfId="0" applyNumberFormat="1" applyFont="1" applyFill="1" applyBorder="1" applyAlignment="1">
      <alignment horizontal="left"/>
    </xf>
    <xf numFmtId="41" fontId="4" fillId="3" borderId="66" xfId="0" applyNumberFormat="1" applyFont="1" applyFill="1" applyBorder="1" applyAlignment="1">
      <alignment horizontal="left"/>
    </xf>
    <xf numFmtId="41" fontId="4" fillId="3" borderId="24" xfId="0" applyNumberFormat="1" applyFont="1" applyFill="1" applyBorder="1" applyAlignment="1">
      <alignment horizontal="left"/>
    </xf>
    <xf numFmtId="41" fontId="4" fillId="3" borderId="67" xfId="0" applyNumberFormat="1" applyFont="1" applyFill="1" applyBorder="1" applyAlignment="1">
      <alignment horizontal="left"/>
    </xf>
    <xf numFmtId="41" fontId="4" fillId="16" borderId="66" xfId="0" applyNumberFormat="1" applyFont="1" applyFill="1" applyBorder="1" applyAlignment="1">
      <alignment horizontal="left"/>
    </xf>
    <xf numFmtId="41" fontId="2" fillId="16" borderId="24" xfId="0" applyNumberFormat="1" applyFont="1" applyFill="1" applyBorder="1" applyAlignment="1">
      <alignment horizontal="left"/>
    </xf>
    <xf numFmtId="41" fontId="4" fillId="16" borderId="19" xfId="0" applyNumberFormat="1" applyFont="1" applyFill="1" applyBorder="1" applyAlignment="1">
      <alignment horizontal="left"/>
    </xf>
    <xf numFmtId="0" fontId="4" fillId="15" borderId="1" xfId="0" applyFont="1" applyFill="1" applyBorder="1" applyAlignment="1">
      <alignment horizontal="left"/>
    </xf>
    <xf numFmtId="0" fontId="11" fillId="15" borderId="1" xfId="0" applyFont="1" applyFill="1" applyBorder="1" applyAlignment="1">
      <alignment horizontal="left"/>
    </xf>
    <xf numFmtId="0" fontId="7" fillId="15" borderId="37" xfId="0" applyFont="1" applyFill="1" applyBorder="1" applyAlignment="1">
      <alignment horizontal="left" textRotation="90"/>
    </xf>
    <xf numFmtId="0" fontId="7" fillId="15" borderId="63" xfId="0" applyFont="1" applyFill="1" applyBorder="1" applyAlignment="1">
      <alignment horizontal="left" textRotation="90"/>
    </xf>
    <xf numFmtId="0" fontId="4" fillId="15" borderId="38" xfId="0" applyFont="1" applyFill="1" applyBorder="1" applyAlignment="1">
      <alignment horizontal="left"/>
    </xf>
    <xf numFmtId="0" fontId="4" fillId="15" borderId="28" xfId="0" applyFont="1" applyFill="1" applyBorder="1" applyAlignment="1">
      <alignment horizontal="left"/>
    </xf>
    <xf numFmtId="0" fontId="11" fillId="15" borderId="38" xfId="0" applyFont="1" applyFill="1" applyBorder="1" applyAlignment="1">
      <alignment horizontal="left"/>
    </xf>
    <xf numFmtId="0" fontId="5" fillId="15" borderId="39" xfId="0" applyFont="1" applyFill="1" applyBorder="1" applyAlignment="1">
      <alignment horizontal="left"/>
    </xf>
    <xf numFmtId="0" fontId="5" fillId="15" borderId="64" xfId="0" applyFont="1" applyFill="1" applyBorder="1" applyAlignment="1">
      <alignment horizontal="left"/>
    </xf>
    <xf numFmtId="0" fontId="4" fillId="15" borderId="65" xfId="0" applyFont="1" applyFill="1" applyBorder="1" applyAlignment="1">
      <alignment horizontal="left"/>
    </xf>
    <xf numFmtId="0" fontId="4" fillId="15" borderId="21" xfId="0" applyFont="1" applyFill="1" applyBorder="1" applyAlignment="1">
      <alignment horizontal="left"/>
    </xf>
    <xf numFmtId="0" fontId="7" fillId="15" borderId="39" xfId="0" applyFont="1" applyFill="1" applyBorder="1" applyAlignment="1">
      <alignment horizontal="center"/>
    </xf>
    <xf numFmtId="0" fontId="7" fillId="15" borderId="64" xfId="0" applyFont="1" applyFill="1" applyBorder="1" applyAlignment="1">
      <alignment horizontal="center"/>
    </xf>
    <xf numFmtId="0" fontId="4" fillId="15" borderId="66" xfId="0" applyFont="1" applyFill="1" applyBorder="1" applyAlignment="1">
      <alignment horizontal="left"/>
    </xf>
    <xf numFmtId="0" fontId="4" fillId="15" borderId="24" xfId="0" applyFont="1" applyFill="1" applyBorder="1" applyAlignment="1">
      <alignment horizontal="left"/>
    </xf>
    <xf numFmtId="0" fontId="11" fillId="15" borderId="37" xfId="0" applyFont="1" applyFill="1" applyBorder="1" applyAlignment="1">
      <alignment horizontal="left"/>
    </xf>
    <xf numFmtId="0" fontId="11" fillId="15" borderId="63" xfId="0" applyFont="1" applyFill="1" applyBorder="1" applyAlignment="1">
      <alignment horizontal="left"/>
    </xf>
    <xf numFmtId="0" fontId="23" fillId="12" borderId="69" xfId="0" applyFont="1" applyFill="1" applyBorder="1" applyAlignment="1">
      <alignment horizontal="left" wrapText="1"/>
    </xf>
    <xf numFmtId="0" fontId="7" fillId="15" borderId="68" xfId="0" applyFont="1" applyFill="1" applyBorder="1" applyAlignment="1">
      <alignment horizontal="left" textRotation="90"/>
    </xf>
    <xf numFmtId="0" fontId="11" fillId="15" borderId="68" xfId="0" applyFont="1" applyFill="1" applyBorder="1" applyAlignment="1">
      <alignment horizontal="left"/>
    </xf>
    <xf numFmtId="0" fontId="11" fillId="15" borderId="19" xfId="0" applyFont="1" applyFill="1" applyBorder="1" applyAlignment="1">
      <alignment horizontal="left"/>
    </xf>
    <xf numFmtId="0" fontId="5" fillId="15" borderId="69" xfId="0" applyFont="1" applyFill="1" applyBorder="1" applyAlignment="1">
      <alignment horizontal="left"/>
    </xf>
    <xf numFmtId="0" fontId="2" fillId="15" borderId="1" xfId="0" applyFont="1" applyFill="1" applyBorder="1" applyAlignment="1">
      <alignment horizontal="left"/>
    </xf>
    <xf numFmtId="0" fontId="2" fillId="15" borderId="38" xfId="0" applyFont="1" applyFill="1" applyBorder="1" applyAlignment="1">
      <alignment horizontal="left"/>
    </xf>
    <xf numFmtId="0" fontId="2" fillId="15" borderId="65" xfId="0" applyFont="1" applyFill="1" applyBorder="1" applyAlignment="1">
      <alignment horizontal="left"/>
    </xf>
    <xf numFmtId="0" fontId="2" fillId="15" borderId="21" xfId="0" applyFont="1" applyFill="1" applyBorder="1" applyAlignment="1">
      <alignment horizontal="left"/>
    </xf>
    <xf numFmtId="0" fontId="23" fillId="15" borderId="39" xfId="0" applyFont="1" applyFill="1" applyBorder="1" applyAlignment="1">
      <alignment horizontal="center" wrapText="1"/>
    </xf>
    <xf numFmtId="0" fontId="23" fillId="15" borderId="64" xfId="0" applyFont="1" applyFill="1" applyBorder="1" applyAlignment="1">
      <alignment horizontal="center" wrapText="1"/>
    </xf>
    <xf numFmtId="0" fontId="2" fillId="15" borderId="24" xfId="0" applyFont="1" applyFill="1" applyBorder="1" applyAlignment="1">
      <alignment horizontal="left"/>
    </xf>
    <xf numFmtId="0" fontId="23" fillId="2" borderId="6" xfId="0" applyFont="1" applyFill="1" applyBorder="1" applyAlignment="1">
      <alignment horizontal="left" textRotation="90"/>
    </xf>
    <xf numFmtId="0" fontId="23" fillId="2" borderId="6" xfId="0" applyFont="1" applyFill="1" applyBorder="1" applyAlignment="1">
      <alignment horizontal="left"/>
    </xf>
    <xf numFmtId="0" fontId="23" fillId="2" borderId="15" xfId="0" applyFont="1" applyFill="1" applyBorder="1" applyAlignment="1">
      <alignment horizontal="left"/>
    </xf>
    <xf numFmtId="0" fontId="23" fillId="3" borderId="6" xfId="0" applyFont="1" applyFill="1" applyBorder="1" applyAlignment="1">
      <alignment horizontal="left"/>
    </xf>
    <xf numFmtId="0" fontId="23" fillId="3" borderId="15" xfId="0" applyFont="1" applyFill="1" applyBorder="1" applyAlignment="1">
      <alignment horizontal="left"/>
    </xf>
    <xf numFmtId="0" fontId="23" fillId="15" borderId="69" xfId="0" applyFont="1" applyFill="1" applyBorder="1" applyAlignment="1">
      <alignment horizontal="center" wrapText="1"/>
    </xf>
    <xf numFmtId="0" fontId="2" fillId="15" borderId="22" xfId="0" applyFont="1" applyFill="1" applyBorder="1" applyAlignment="1">
      <alignment horizontal="left"/>
    </xf>
    <xf numFmtId="0" fontId="2" fillId="15" borderId="19" xfId="0" applyFont="1" applyFill="1" applyBorder="1" applyAlignment="1">
      <alignment horizontal="left"/>
    </xf>
    <xf numFmtId="0" fontId="4" fillId="15" borderId="19" xfId="0" applyFont="1" applyFill="1" applyBorder="1" applyAlignment="1">
      <alignment horizontal="left"/>
    </xf>
    <xf numFmtId="0" fontId="2" fillId="15" borderId="25" xfId="0" applyFont="1" applyFill="1" applyBorder="1" applyAlignment="1">
      <alignment horizontal="left"/>
    </xf>
    <xf numFmtId="0" fontId="2" fillId="17" borderId="1" xfId="0" applyFont="1" applyFill="1" applyBorder="1" applyAlignment="1">
      <alignment horizontal="left"/>
    </xf>
    <xf numFmtId="0" fontId="4" fillId="17" borderId="1" xfId="0" applyFont="1" applyFill="1" applyBorder="1" applyAlignment="1">
      <alignment horizontal="left"/>
    </xf>
    <xf numFmtId="0" fontId="11" fillId="17" borderId="1" xfId="0" applyFont="1" applyFill="1" applyBorder="1" applyAlignment="1">
      <alignment horizontal="left"/>
    </xf>
    <xf numFmtId="0" fontId="2" fillId="17" borderId="38" xfId="0" applyFont="1" applyFill="1" applyBorder="1" applyAlignment="1">
      <alignment horizontal="left"/>
    </xf>
    <xf numFmtId="0" fontId="11" fillId="17" borderId="38" xfId="0" applyFont="1" applyFill="1" applyBorder="1" applyAlignment="1">
      <alignment horizontal="left"/>
    </xf>
    <xf numFmtId="0" fontId="5" fillId="17" borderId="39" xfId="0" applyFont="1" applyFill="1" applyBorder="1" applyAlignment="1">
      <alignment horizontal="left"/>
    </xf>
    <xf numFmtId="0" fontId="5" fillId="17" borderId="64" xfId="0" applyFont="1" applyFill="1" applyBorder="1" applyAlignment="1">
      <alignment horizontal="left"/>
    </xf>
    <xf numFmtId="0" fontId="2" fillId="17" borderId="24" xfId="0" applyFont="1" applyFill="1" applyBorder="1" applyAlignment="1">
      <alignment horizontal="left"/>
    </xf>
    <xf numFmtId="0" fontId="11" fillId="17" borderId="37" xfId="0" applyFont="1" applyFill="1" applyBorder="1" applyAlignment="1">
      <alignment horizontal="left"/>
    </xf>
    <xf numFmtId="0" fontId="11" fillId="17" borderId="63" xfId="0" applyFont="1" applyFill="1" applyBorder="1" applyAlignment="1">
      <alignment horizontal="left"/>
    </xf>
    <xf numFmtId="0" fontId="2" fillId="17" borderId="65" xfId="0" applyFont="1" applyFill="1" applyBorder="1" applyAlignment="1">
      <alignment horizontal="left"/>
    </xf>
    <xf numFmtId="0" fontId="2" fillId="17" borderId="21" xfId="0" applyFont="1" applyFill="1" applyBorder="1" applyAlignment="1">
      <alignment horizontal="left"/>
    </xf>
    <xf numFmtId="0" fontId="23" fillId="17" borderId="37" xfId="0" applyFont="1" applyFill="1" applyBorder="1" applyAlignment="1">
      <alignment horizontal="center" wrapText="1"/>
    </xf>
    <xf numFmtId="0" fontId="23" fillId="17" borderId="63" xfId="0" applyFont="1" applyFill="1" applyBorder="1" applyAlignment="1">
      <alignment horizontal="center" wrapText="1"/>
    </xf>
    <xf numFmtId="8" fontId="23" fillId="17" borderId="63" xfId="0" applyNumberFormat="1" applyFont="1" applyFill="1" applyBorder="1" applyAlignment="1">
      <alignment horizontal="center" wrapText="1"/>
    </xf>
    <xf numFmtId="0" fontId="24" fillId="17" borderId="39" xfId="0" applyFont="1" applyFill="1" applyBorder="1" applyAlignment="1">
      <alignment horizontal="center"/>
    </xf>
    <xf numFmtId="0" fontId="24" fillId="17" borderId="64" xfId="0" applyFont="1" applyFill="1" applyBorder="1" applyAlignment="1">
      <alignment horizontal="center"/>
    </xf>
    <xf numFmtId="0" fontId="23" fillId="17" borderId="39" xfId="0" applyFont="1" applyFill="1" applyBorder="1" applyAlignment="1">
      <alignment horizontal="center"/>
    </xf>
    <xf numFmtId="0" fontId="23" fillId="17" borderId="64" xfId="0" applyFont="1" applyFill="1" applyBorder="1" applyAlignment="1">
      <alignment horizontal="center"/>
    </xf>
    <xf numFmtId="0" fontId="2" fillId="17" borderId="22" xfId="0" applyFont="1" applyFill="1" applyBorder="1" applyAlignment="1">
      <alignment horizontal="left"/>
    </xf>
    <xf numFmtId="0" fontId="2" fillId="17" borderId="19" xfId="0" applyFont="1" applyFill="1" applyBorder="1" applyAlignment="1">
      <alignment horizontal="left"/>
    </xf>
    <xf numFmtId="0" fontId="4" fillId="17" borderId="19" xfId="0" applyFont="1" applyFill="1" applyBorder="1" applyAlignment="1">
      <alignment horizontal="left"/>
    </xf>
    <xf numFmtId="0" fontId="2" fillId="17" borderId="25" xfId="0" applyFont="1" applyFill="1" applyBorder="1" applyAlignment="1">
      <alignment horizontal="left"/>
    </xf>
    <xf numFmtId="0" fontId="23" fillId="17" borderId="68" xfId="0" applyFont="1" applyFill="1" applyBorder="1" applyAlignment="1">
      <alignment horizontal="center" wrapText="1"/>
    </xf>
    <xf numFmtId="0" fontId="24" fillId="17" borderId="69" xfId="0" applyFont="1" applyFill="1" applyBorder="1" applyAlignment="1">
      <alignment horizontal="center"/>
    </xf>
    <xf numFmtId="0" fontId="11" fillId="17" borderId="68" xfId="0" applyFont="1" applyFill="1" applyBorder="1" applyAlignment="1">
      <alignment horizontal="left"/>
    </xf>
    <xf numFmtId="0" fontId="11" fillId="17" borderId="19" xfId="0" applyFont="1" applyFill="1" applyBorder="1" applyAlignment="1">
      <alignment horizontal="left"/>
    </xf>
    <xf numFmtId="0" fontId="5" fillId="17" borderId="69" xfId="0" applyFont="1" applyFill="1" applyBorder="1" applyAlignment="1">
      <alignment horizontal="left"/>
    </xf>
    <xf numFmtId="0" fontId="2" fillId="18" borderId="65" xfId="0" applyFont="1" applyFill="1" applyBorder="1" applyAlignment="1">
      <alignment horizontal="left"/>
    </xf>
    <xf numFmtId="0" fontId="2" fillId="18" borderId="21" xfId="0" applyFont="1" applyFill="1" applyBorder="1" applyAlignment="1">
      <alignment horizontal="left"/>
    </xf>
    <xf numFmtId="0" fontId="2" fillId="18" borderId="62" xfId="0" applyFont="1" applyFill="1" applyBorder="1" applyAlignment="1">
      <alignment horizontal="left"/>
    </xf>
    <xf numFmtId="0" fontId="2" fillId="18" borderId="38" xfId="0" applyFont="1" applyFill="1" applyBorder="1" applyAlignment="1">
      <alignment horizontal="left"/>
    </xf>
    <xf numFmtId="0" fontId="2" fillId="18" borderId="1" xfId="0" applyFont="1" applyFill="1" applyBorder="1" applyAlignment="1">
      <alignment horizontal="left"/>
    </xf>
    <xf numFmtId="0" fontId="2" fillId="18" borderId="28" xfId="0" applyFont="1" applyFill="1" applyBorder="1" applyAlignment="1">
      <alignment horizontal="left"/>
    </xf>
    <xf numFmtId="0" fontId="4" fillId="18" borderId="1" xfId="0" applyFont="1" applyFill="1" applyBorder="1" applyAlignment="1">
      <alignment horizontal="left"/>
    </xf>
    <xf numFmtId="0" fontId="2" fillId="18" borderId="24" xfId="0" applyFont="1" applyFill="1" applyBorder="1" applyAlignment="1">
      <alignment horizontal="left"/>
    </xf>
    <xf numFmtId="0" fontId="2" fillId="18" borderId="67" xfId="0" applyFont="1" applyFill="1" applyBorder="1" applyAlignment="1">
      <alignment horizontal="left"/>
    </xf>
    <xf numFmtId="0" fontId="11" fillId="18" borderId="37" xfId="0" applyFont="1" applyFill="1" applyBorder="1" applyAlignment="1">
      <alignment horizontal="left"/>
    </xf>
    <xf numFmtId="0" fontId="11" fillId="18" borderId="63" xfId="0" applyFont="1" applyFill="1" applyBorder="1" applyAlignment="1">
      <alignment horizontal="left"/>
    </xf>
    <xf numFmtId="0" fontId="11" fillId="18" borderId="27" xfId="0" applyFont="1" applyFill="1" applyBorder="1" applyAlignment="1">
      <alignment horizontal="left"/>
    </xf>
    <xf numFmtId="0" fontId="11" fillId="18" borderId="38" xfId="0" applyFont="1" applyFill="1" applyBorder="1" applyAlignment="1">
      <alignment horizontal="left"/>
    </xf>
    <xf numFmtId="0" fontId="11" fillId="18" borderId="1" xfId="0" applyFont="1" applyFill="1" applyBorder="1" applyAlignment="1">
      <alignment horizontal="left"/>
    </xf>
    <xf numFmtId="0" fontId="11" fillId="18" borderId="28" xfId="0" applyFont="1" applyFill="1" applyBorder="1" applyAlignment="1">
      <alignment horizontal="left"/>
    </xf>
    <xf numFmtId="0" fontId="5" fillId="18" borderId="39" xfId="0" applyFont="1" applyFill="1" applyBorder="1" applyAlignment="1">
      <alignment horizontal="left"/>
    </xf>
    <xf numFmtId="0" fontId="5" fillId="18" borderId="64" xfId="0" applyFont="1" applyFill="1" applyBorder="1" applyAlignment="1">
      <alignment horizontal="left"/>
    </xf>
    <xf numFmtId="0" fontId="5" fillId="18" borderId="29" xfId="0" applyFont="1" applyFill="1" applyBorder="1" applyAlignment="1">
      <alignment horizontal="left"/>
    </xf>
    <xf numFmtId="3" fontId="11" fillId="2" borderId="37" xfId="0" applyNumberFormat="1" applyFont="1" applyFill="1" applyBorder="1" applyAlignment="1">
      <alignment horizontal="center"/>
    </xf>
    <xf numFmtId="3" fontId="11" fillId="2" borderId="63" xfId="0" applyNumberFormat="1" applyFont="1" applyFill="1" applyBorder="1" applyAlignment="1">
      <alignment horizontal="center"/>
    </xf>
    <xf numFmtId="3" fontId="11" fillId="2" borderId="68" xfId="0" applyNumberFormat="1" applyFont="1" applyFill="1" applyBorder="1" applyAlignment="1">
      <alignment horizontal="center"/>
    </xf>
    <xf numFmtId="3" fontId="5" fillId="2" borderId="39" xfId="0" applyNumberFormat="1" applyFont="1" applyFill="1" applyBorder="1" applyAlignment="1">
      <alignment horizontal="center"/>
    </xf>
    <xf numFmtId="3" fontId="5" fillId="2" borderId="64" xfId="0" applyNumberFormat="1" applyFont="1" applyFill="1" applyBorder="1" applyAlignment="1">
      <alignment horizontal="center"/>
    </xf>
    <xf numFmtId="3" fontId="5" fillId="2" borderId="69" xfId="0" applyNumberFormat="1" applyFont="1" applyFill="1" applyBorder="1" applyAlignment="1">
      <alignment horizontal="center"/>
    </xf>
    <xf numFmtId="3" fontId="11" fillId="4" borderId="37" xfId="0" applyNumberFormat="1" applyFont="1" applyFill="1" applyBorder="1" applyAlignment="1">
      <alignment horizontal="center"/>
    </xf>
    <xf numFmtId="3" fontId="11" fillId="4" borderId="63" xfId="0" applyNumberFormat="1" applyFont="1" applyFill="1" applyBorder="1" applyAlignment="1">
      <alignment horizontal="center"/>
    </xf>
    <xf numFmtId="3" fontId="11" fillId="4" borderId="27" xfId="0" applyNumberFormat="1" applyFont="1" applyFill="1" applyBorder="1" applyAlignment="1">
      <alignment horizontal="center"/>
    </xf>
    <xf numFmtId="3" fontId="11" fillId="14" borderId="65" xfId="0" applyNumberFormat="1" applyFont="1" applyFill="1" applyBorder="1" applyAlignment="1">
      <alignment horizontal="center"/>
    </xf>
    <xf numFmtId="3" fontId="11" fillId="14" borderId="21" xfId="0" applyNumberFormat="1" applyFont="1" applyFill="1" applyBorder="1" applyAlignment="1">
      <alignment horizontal="center"/>
    </xf>
    <xf numFmtId="3" fontId="11" fillId="14" borderId="37" xfId="0" applyNumberFormat="1" applyFont="1" applyFill="1" applyBorder="1" applyAlignment="1">
      <alignment horizontal="center"/>
    </xf>
    <xf numFmtId="3" fontId="11" fillId="14" borderId="63" xfId="0" applyNumberFormat="1" applyFont="1" applyFill="1" applyBorder="1" applyAlignment="1">
      <alignment horizontal="center"/>
    </xf>
    <xf numFmtId="3" fontId="11" fillId="14" borderId="27" xfId="0" applyNumberFormat="1" applyFont="1" applyFill="1" applyBorder="1" applyAlignment="1">
      <alignment horizontal="center"/>
    </xf>
    <xf numFmtId="3" fontId="11" fillId="3" borderId="37" xfId="0" applyNumberFormat="1" applyFont="1" applyFill="1" applyBorder="1" applyAlignment="1">
      <alignment horizontal="center"/>
    </xf>
    <xf numFmtId="3" fontId="11" fillId="3" borderId="63" xfId="0" applyNumberFormat="1" applyFont="1" applyFill="1" applyBorder="1" applyAlignment="1">
      <alignment horizontal="center"/>
    </xf>
    <xf numFmtId="3" fontId="11" fillId="3" borderId="27" xfId="0" applyNumberFormat="1" applyFont="1" applyFill="1" applyBorder="1" applyAlignment="1">
      <alignment horizontal="center"/>
    </xf>
    <xf numFmtId="3" fontId="11" fillId="16" borderId="37" xfId="0" applyNumberFormat="1" applyFont="1" applyFill="1" applyBorder="1" applyAlignment="1">
      <alignment horizontal="center"/>
    </xf>
    <xf numFmtId="3" fontId="11" fillId="16" borderId="63" xfId="0" applyNumberFormat="1" applyFont="1" applyFill="1" applyBorder="1" applyAlignment="1">
      <alignment horizontal="center"/>
    </xf>
    <xf numFmtId="3" fontId="11" fillId="15" borderId="37" xfId="0" applyNumberFormat="1" applyFont="1" applyFill="1" applyBorder="1" applyAlignment="1">
      <alignment horizontal="center"/>
    </xf>
    <xf numFmtId="3" fontId="11" fillId="15" borderId="63" xfId="0" applyNumberFormat="1" applyFont="1" applyFill="1" applyBorder="1" applyAlignment="1">
      <alignment horizontal="center"/>
    </xf>
    <xf numFmtId="3" fontId="11" fillId="17" borderId="37" xfId="0" applyNumberFormat="1" applyFont="1" applyFill="1" applyBorder="1" applyAlignment="1">
      <alignment horizontal="center"/>
    </xf>
    <xf numFmtId="3" fontId="11" fillId="17" borderId="63" xfId="0" applyNumberFormat="1" applyFont="1" applyFill="1" applyBorder="1" applyAlignment="1">
      <alignment horizontal="center"/>
    </xf>
    <xf numFmtId="3" fontId="11" fillId="18" borderId="37" xfId="0" applyNumberFormat="1" applyFont="1" applyFill="1" applyBorder="1" applyAlignment="1">
      <alignment horizontal="center"/>
    </xf>
    <xf numFmtId="3" fontId="11" fillId="18" borderId="63" xfId="0" applyNumberFormat="1" applyFont="1" applyFill="1" applyBorder="1" applyAlignment="1">
      <alignment horizontal="center"/>
    </xf>
    <xf numFmtId="3" fontId="11" fillId="18" borderId="27" xfId="0" applyNumberFormat="1" applyFont="1" applyFill="1" applyBorder="1" applyAlignment="1">
      <alignment horizontal="center"/>
    </xf>
    <xf numFmtId="3" fontId="5" fillId="4" borderId="39" xfId="0" applyNumberFormat="1" applyFont="1" applyFill="1" applyBorder="1" applyAlignment="1">
      <alignment horizontal="center"/>
    </xf>
    <xf numFmtId="3" fontId="5" fillId="4" borderId="64" xfId="0" applyNumberFormat="1" applyFont="1" applyFill="1" applyBorder="1" applyAlignment="1">
      <alignment horizontal="center"/>
    </xf>
    <xf numFmtId="3" fontId="5" fillId="4" borderId="29" xfId="0" applyNumberFormat="1" applyFont="1" applyFill="1" applyBorder="1" applyAlignment="1">
      <alignment horizontal="center"/>
    </xf>
    <xf numFmtId="3" fontId="5" fillId="14" borderId="39" xfId="0" applyNumberFormat="1" applyFont="1" applyFill="1" applyBorder="1" applyAlignment="1">
      <alignment horizontal="center"/>
    </xf>
    <xf numFmtId="3" fontId="5" fillId="14" borderId="64" xfId="0" applyNumberFormat="1" applyFont="1" applyFill="1" applyBorder="1" applyAlignment="1">
      <alignment horizontal="center"/>
    </xf>
    <xf numFmtId="3" fontId="5" fillId="14" borderId="29" xfId="0" applyNumberFormat="1" applyFont="1" applyFill="1" applyBorder="1" applyAlignment="1">
      <alignment horizontal="center"/>
    </xf>
    <xf numFmtId="3" fontId="5" fillId="3" borderId="39" xfId="0" applyNumberFormat="1" applyFont="1" applyFill="1" applyBorder="1" applyAlignment="1">
      <alignment horizontal="center"/>
    </xf>
    <xf numFmtId="3" fontId="5" fillId="3" borderId="64" xfId="0" applyNumberFormat="1" applyFont="1" applyFill="1" applyBorder="1" applyAlignment="1">
      <alignment horizontal="center"/>
    </xf>
    <xf numFmtId="3" fontId="5" fillId="3" borderId="29" xfId="0" applyNumberFormat="1" applyFont="1" applyFill="1" applyBorder="1" applyAlignment="1">
      <alignment horizontal="center"/>
    </xf>
    <xf numFmtId="3" fontId="5" fillId="16" borderId="39" xfId="0" applyNumberFormat="1" applyFont="1" applyFill="1" applyBorder="1" applyAlignment="1">
      <alignment horizontal="center"/>
    </xf>
    <xf numFmtId="3" fontId="5" fillId="16" borderId="64" xfId="0" applyNumberFormat="1" applyFont="1" applyFill="1" applyBorder="1" applyAlignment="1">
      <alignment horizontal="center"/>
    </xf>
    <xf numFmtId="3" fontId="5" fillId="15" borderId="39" xfId="0" applyNumberFormat="1" applyFont="1" applyFill="1" applyBorder="1" applyAlignment="1">
      <alignment horizontal="center"/>
    </xf>
    <xf numFmtId="3" fontId="5" fillId="15" borderId="64" xfId="0" applyNumberFormat="1" applyFont="1" applyFill="1" applyBorder="1" applyAlignment="1">
      <alignment horizontal="center"/>
    </xf>
    <xf numFmtId="3" fontId="5" fillId="17" borderId="39" xfId="0" applyNumberFormat="1" applyFont="1" applyFill="1" applyBorder="1" applyAlignment="1">
      <alignment horizontal="center"/>
    </xf>
    <xf numFmtId="3" fontId="5" fillId="17" borderId="64" xfId="0" applyNumberFormat="1" applyFont="1" applyFill="1" applyBorder="1" applyAlignment="1">
      <alignment horizontal="center"/>
    </xf>
    <xf numFmtId="3" fontId="5" fillId="18" borderId="39" xfId="0" applyNumberFormat="1" applyFont="1" applyFill="1" applyBorder="1" applyAlignment="1">
      <alignment horizontal="center"/>
    </xf>
    <xf numFmtId="3" fontId="5" fillId="18" borderId="64" xfId="0" applyNumberFormat="1" applyFont="1" applyFill="1" applyBorder="1" applyAlignment="1">
      <alignment horizontal="center"/>
    </xf>
    <xf numFmtId="3" fontId="5" fillId="18" borderId="29" xfId="0" applyNumberFormat="1" applyFont="1" applyFill="1" applyBorder="1" applyAlignment="1">
      <alignment horizontal="center"/>
    </xf>
    <xf numFmtId="3" fontId="7" fillId="0" borderId="0" xfId="0" applyNumberFormat="1" applyFont="1"/>
    <xf numFmtId="3" fontId="7" fillId="0" borderId="0" xfId="0" applyNumberFormat="1" applyFont="1" applyAlignment="1">
      <alignment horizontal="right"/>
    </xf>
    <xf numFmtId="41" fontId="4" fillId="4" borderId="54" xfId="0" applyNumberFormat="1" applyFont="1" applyFill="1" applyBorder="1" applyAlignment="1">
      <alignment horizontal="left"/>
    </xf>
    <xf numFmtId="41" fontId="4" fillId="4" borderId="18" xfId="0" applyNumberFormat="1" applyFont="1" applyFill="1" applyBorder="1" applyAlignment="1">
      <alignment horizontal="left"/>
    </xf>
    <xf numFmtId="41" fontId="3" fillId="4" borderId="18" xfId="0" applyNumberFormat="1" applyFont="1" applyFill="1" applyBorder="1" applyAlignment="1">
      <alignment horizontal="left"/>
    </xf>
    <xf numFmtId="41" fontId="4" fillId="4" borderId="55" xfId="0" applyNumberFormat="1" applyFont="1" applyFill="1" applyBorder="1" applyAlignment="1">
      <alignment horizontal="left"/>
    </xf>
    <xf numFmtId="0" fontId="10" fillId="5" borderId="71" xfId="0" applyFont="1" applyFill="1" applyBorder="1" applyAlignment="1">
      <alignment horizontal="left"/>
    </xf>
    <xf numFmtId="0" fontId="10" fillId="5" borderId="72" xfId="0" applyFont="1" applyFill="1" applyBorder="1" applyAlignment="1">
      <alignment horizontal="left"/>
    </xf>
    <xf numFmtId="0" fontId="10" fillId="5" borderId="72" xfId="0" applyFont="1" applyFill="1" applyBorder="1" applyAlignment="1">
      <alignment horizontal="left" wrapText="1"/>
    </xf>
    <xf numFmtId="0" fontId="10" fillId="5" borderId="73" xfId="0" applyFont="1" applyFill="1" applyBorder="1" applyAlignment="1">
      <alignment horizontal="left"/>
    </xf>
    <xf numFmtId="0" fontId="10" fillId="5" borderId="33" xfId="0" applyFon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17" fillId="17" borderId="37" xfId="0" applyFont="1" applyFill="1" applyBorder="1" applyAlignment="1">
      <alignment horizontal="center" textRotation="90" wrapText="1"/>
    </xf>
    <xf numFmtId="0" fontId="17" fillId="17" borderId="63" xfId="0" applyFont="1" applyFill="1" applyBorder="1" applyAlignment="1">
      <alignment horizontal="center" textRotation="90" wrapText="1"/>
    </xf>
    <xf numFmtId="8" fontId="17" fillId="17" borderId="63" xfId="0" applyNumberFormat="1" applyFont="1" applyFill="1" applyBorder="1" applyAlignment="1">
      <alignment horizontal="center" textRotation="90" wrapText="1"/>
    </xf>
    <xf numFmtId="0" fontId="2" fillId="3" borderId="63" xfId="0" applyFont="1" applyFill="1" applyBorder="1" applyAlignment="1">
      <alignment horizontal="center" textRotation="90" wrapText="1"/>
    </xf>
    <xf numFmtId="0" fontId="25" fillId="0" borderId="7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2" borderId="63" xfId="0" applyFont="1" applyFill="1" applyBorder="1" applyAlignment="1">
      <alignment horizontal="center" textRotation="90" wrapText="1"/>
    </xf>
    <xf numFmtId="0" fontId="2" fillId="3" borderId="27" xfId="0" applyFont="1" applyFill="1" applyBorder="1" applyAlignment="1">
      <alignment horizontal="center" textRotation="90" wrapText="1"/>
    </xf>
    <xf numFmtId="0" fontId="2" fillId="2" borderId="68" xfId="0" applyFont="1" applyFill="1" applyBorder="1" applyAlignment="1">
      <alignment horizontal="center" textRotation="90" wrapText="1"/>
    </xf>
    <xf numFmtId="0" fontId="2" fillId="3" borderId="37" xfId="0" applyFont="1" applyFill="1" applyBorder="1" applyAlignment="1">
      <alignment horizontal="center" textRotation="90" wrapText="1"/>
    </xf>
    <xf numFmtId="0" fontId="2" fillId="2" borderId="37" xfId="0" applyFont="1" applyFill="1" applyBorder="1" applyAlignment="1">
      <alignment horizontal="center" textRotation="90" wrapText="1"/>
    </xf>
    <xf numFmtId="0" fontId="2" fillId="14" borderId="63" xfId="0" applyFont="1" applyFill="1" applyBorder="1" applyAlignment="1">
      <alignment horizontal="center" textRotation="90" wrapText="1"/>
    </xf>
    <xf numFmtId="0" fontId="2" fillId="14" borderId="37" xfId="0" applyFont="1" applyFill="1" applyBorder="1" applyAlignment="1">
      <alignment horizontal="center" textRotation="90" wrapText="1"/>
    </xf>
    <xf numFmtId="0" fontId="2" fillId="4" borderId="63" xfId="0" applyFont="1" applyFill="1" applyBorder="1" applyAlignment="1">
      <alignment horizontal="center" textRotation="90" wrapText="1"/>
    </xf>
    <xf numFmtId="0" fontId="2" fillId="4" borderId="37" xfId="0" applyFont="1" applyFill="1" applyBorder="1" applyAlignment="1">
      <alignment horizontal="center" textRotation="90" wrapText="1"/>
    </xf>
    <xf numFmtId="0" fontId="2" fillId="4" borderId="27" xfId="0" applyFont="1" applyFill="1" applyBorder="1" applyAlignment="1">
      <alignment horizontal="center" textRotation="90" wrapText="1"/>
    </xf>
    <xf numFmtId="0" fontId="2" fillId="16" borderId="63" xfId="0" applyFont="1" applyFill="1" applyBorder="1" applyAlignment="1">
      <alignment horizontal="center" textRotation="90" wrapText="1"/>
    </xf>
    <xf numFmtId="0" fontId="2" fillId="16" borderId="37" xfId="0" applyFont="1" applyFill="1" applyBorder="1" applyAlignment="1">
      <alignment horizontal="center" textRotation="90" wrapText="1"/>
    </xf>
    <xf numFmtId="0" fontId="2" fillId="15" borderId="63" xfId="0" applyFont="1" applyFill="1" applyBorder="1" applyAlignment="1">
      <alignment horizontal="center" textRotation="90" wrapText="1"/>
    </xf>
    <xf numFmtId="0" fontId="2" fillId="15" borderId="37" xfId="0" applyFont="1" applyFill="1" applyBorder="1" applyAlignment="1">
      <alignment horizontal="center" textRotation="90" wrapText="1"/>
    </xf>
    <xf numFmtId="0" fontId="0" fillId="20" borderId="0" xfId="0" applyFill="1"/>
    <xf numFmtId="0" fontId="25" fillId="0" borderId="7" xfId="0" applyFont="1" applyBorder="1" applyAlignment="1">
      <alignment horizontal="right" textRotation="90" wrapText="1"/>
    </xf>
    <xf numFmtId="3" fontId="11" fillId="0" borderId="38" xfId="0" applyNumberFormat="1" applyFon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3" fontId="11" fillId="0" borderId="28" xfId="0" applyNumberFormat="1" applyFont="1" applyBorder="1" applyAlignment="1">
      <alignment horizontal="center"/>
    </xf>
    <xf numFmtId="3" fontId="11" fillId="0" borderId="19" xfId="0" applyNumberFormat="1" applyFont="1" applyBorder="1" applyAlignment="1">
      <alignment horizontal="center"/>
    </xf>
    <xf numFmtId="41" fontId="11" fillId="0" borderId="38" xfId="0" applyNumberFormat="1" applyFont="1" applyBorder="1" applyAlignment="1">
      <alignment horizontal="center"/>
    </xf>
    <xf numFmtId="41" fontId="11" fillId="0" borderId="1" xfId="0" applyNumberFormat="1" applyFont="1" applyBorder="1" applyAlignment="1">
      <alignment horizontal="center"/>
    </xf>
    <xf numFmtId="41" fontId="11" fillId="0" borderId="28" xfId="0" applyNumberFormat="1" applyFont="1" applyBorder="1" applyAlignment="1">
      <alignment horizontal="center"/>
    </xf>
    <xf numFmtId="0" fontId="2" fillId="18" borderId="37" xfId="0" applyFont="1" applyFill="1" applyBorder="1" applyAlignment="1">
      <alignment horizontal="center" textRotation="90" wrapText="1"/>
    </xf>
    <xf numFmtId="0" fontId="2" fillId="18" borderId="63" xfId="0" applyFont="1" applyFill="1" applyBorder="1" applyAlignment="1">
      <alignment horizontal="center" textRotation="90" wrapText="1"/>
    </xf>
    <xf numFmtId="0" fontId="27" fillId="0" borderId="6" xfId="0" applyFont="1" applyBorder="1" applyAlignment="1">
      <alignment horizontal="left" vertical="top" wrapText="1"/>
    </xf>
    <xf numFmtId="0" fontId="29" fillId="0" borderId="7" xfId="0" applyFont="1" applyBorder="1" applyAlignment="1">
      <alignment horizontal="right" vertical="top" wrapText="1"/>
    </xf>
    <xf numFmtId="14" fontId="30" fillId="0" borderId="7" xfId="0" applyNumberFormat="1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3" fontId="7" fillId="0" borderId="0" xfId="0" applyNumberFormat="1" applyFont="1" applyAlignment="1">
      <alignment vertical="top"/>
    </xf>
    <xf numFmtId="0" fontId="1" fillId="20" borderId="63" xfId="0" applyFont="1" applyFill="1" applyBorder="1" applyAlignment="1">
      <alignment horizontal="center" textRotation="90" wrapText="1"/>
    </xf>
    <xf numFmtId="0" fontId="23" fillId="16" borderId="39" xfId="0" applyFont="1" applyFill="1" applyBorder="1" applyAlignment="1">
      <alignment horizontal="center"/>
    </xf>
    <xf numFmtId="0" fontId="23" fillId="18" borderId="39" xfId="0" applyFont="1" applyFill="1" applyBorder="1" applyAlignment="1">
      <alignment horizontal="center"/>
    </xf>
    <xf numFmtId="0" fontId="23" fillId="18" borderId="64" xfId="0" applyFont="1" applyFill="1" applyBorder="1" applyAlignment="1">
      <alignment horizontal="center"/>
    </xf>
    <xf numFmtId="0" fontId="23" fillId="18" borderId="29" xfId="0" applyFont="1" applyFill="1" applyBorder="1" applyAlignment="1">
      <alignment horizontal="center"/>
    </xf>
    <xf numFmtId="0" fontId="23" fillId="18" borderId="8" xfId="0" applyFont="1" applyFill="1" applyBorder="1" applyAlignment="1">
      <alignment horizontal="center"/>
    </xf>
    <xf numFmtId="0" fontId="1" fillId="18" borderId="63" xfId="0" applyFont="1" applyFill="1" applyBorder="1" applyAlignment="1">
      <alignment horizontal="center" textRotation="90" wrapText="1"/>
    </xf>
    <xf numFmtId="0" fontId="1" fillId="18" borderId="27" xfId="0" applyFont="1" applyFill="1" applyBorder="1" applyAlignment="1">
      <alignment horizontal="center" textRotation="90" wrapText="1"/>
    </xf>
    <xf numFmtId="0" fontId="1" fillId="18" borderId="53" xfId="0" applyFont="1" applyFill="1" applyBorder="1" applyAlignment="1">
      <alignment horizontal="center" textRotation="90" wrapText="1"/>
    </xf>
    <xf numFmtId="0" fontId="4" fillId="21" borderId="9" xfId="0" applyFont="1" applyFill="1" applyBorder="1" applyAlignment="1">
      <alignment horizontal="left"/>
    </xf>
    <xf numFmtId="0" fontId="4" fillId="21" borderId="56" xfId="0" applyFont="1" applyFill="1" applyBorder="1" applyAlignment="1">
      <alignment horizontal="left"/>
    </xf>
    <xf numFmtId="0" fontId="11" fillId="21" borderId="53" xfId="0" applyFont="1" applyFill="1" applyBorder="1" applyAlignment="1">
      <alignment horizontal="left"/>
    </xf>
    <xf numFmtId="0" fontId="11" fillId="21" borderId="60" xfId="0" applyFont="1" applyFill="1" applyBorder="1" applyAlignment="1">
      <alignment horizontal="left"/>
    </xf>
    <xf numFmtId="0" fontId="11" fillId="21" borderId="9" xfId="0" applyFont="1" applyFill="1" applyBorder="1" applyAlignment="1">
      <alignment horizontal="left"/>
    </xf>
    <xf numFmtId="0" fontId="11" fillId="21" borderId="58" xfId="0" applyFont="1" applyFill="1" applyBorder="1" applyAlignment="1">
      <alignment horizontal="left"/>
    </xf>
    <xf numFmtId="0" fontId="5" fillId="21" borderId="70" xfId="0" applyFont="1" applyFill="1" applyBorder="1" applyAlignment="1">
      <alignment horizontal="left"/>
    </xf>
    <xf numFmtId="0" fontId="5" fillId="21" borderId="61" xfId="0" applyFont="1" applyFill="1" applyBorder="1" applyAlignment="1">
      <alignment horizontal="left"/>
    </xf>
    <xf numFmtId="0" fontId="2" fillId="19" borderId="36" xfId="0" applyFont="1" applyFill="1" applyBorder="1" applyAlignment="1">
      <alignment horizontal="left"/>
    </xf>
    <xf numFmtId="0" fontId="17" fillId="17" borderId="68" xfId="0" applyFont="1" applyFill="1" applyBorder="1" applyAlignment="1">
      <alignment horizontal="center" textRotation="90" wrapText="1"/>
    </xf>
    <xf numFmtId="0" fontId="23" fillId="17" borderId="69" xfId="0" applyFont="1" applyFill="1" applyBorder="1" applyAlignment="1">
      <alignment horizontal="center"/>
    </xf>
    <xf numFmtId="3" fontId="11" fillId="17" borderId="68" xfId="0" applyNumberFormat="1" applyFont="1" applyFill="1" applyBorder="1" applyAlignment="1">
      <alignment horizontal="center"/>
    </xf>
    <xf numFmtId="3" fontId="5" fillId="17" borderId="69" xfId="0" applyNumberFormat="1" applyFont="1" applyFill="1" applyBorder="1" applyAlignment="1">
      <alignment horizontal="center"/>
    </xf>
    <xf numFmtId="3" fontId="11" fillId="19" borderId="53" xfId="0" applyNumberFormat="1" applyFont="1" applyFill="1" applyBorder="1" applyAlignment="1">
      <alignment horizontal="center"/>
    </xf>
    <xf numFmtId="41" fontId="11" fillId="0" borderId="9" xfId="0" applyNumberFormat="1" applyFont="1" applyBorder="1" applyAlignment="1">
      <alignment horizontal="center"/>
    </xf>
    <xf numFmtId="3" fontId="5" fillId="19" borderId="70" xfId="0" applyNumberFormat="1" applyFont="1" applyFill="1" applyBorder="1" applyAlignment="1">
      <alignment horizontal="center"/>
    </xf>
    <xf numFmtId="0" fontId="2" fillId="18" borderId="66" xfId="0" applyFont="1" applyFill="1" applyBorder="1" applyAlignment="1">
      <alignment horizontal="left"/>
    </xf>
    <xf numFmtId="0" fontId="1" fillId="20" borderId="27" xfId="0" applyFont="1" applyFill="1" applyBorder="1" applyAlignment="1">
      <alignment horizontal="center" textRotation="90" wrapText="1"/>
    </xf>
    <xf numFmtId="0" fontId="25" fillId="19" borderId="74" xfId="0" applyFont="1" applyFill="1" applyBorder="1" applyAlignment="1">
      <alignment horizontal="center" textRotation="90" wrapText="1"/>
    </xf>
    <xf numFmtId="0" fontId="25" fillId="19" borderId="8" xfId="0" applyFont="1" applyFill="1" applyBorder="1" applyAlignment="1">
      <alignment horizontal="center" textRotation="90" wrapText="1"/>
    </xf>
    <xf numFmtId="3" fontId="7" fillId="0" borderId="0" xfId="0" applyNumberFormat="1" applyFont="1" applyAlignment="1">
      <alignment horizontal="right"/>
    </xf>
    <xf numFmtId="0" fontId="0" fillId="0" borderId="0" xfId="0" applyAlignment="1">
      <alignment horizontal="left" vertical="top" wrapText="1"/>
    </xf>
    <xf numFmtId="3" fontId="7" fillId="0" borderId="0" xfId="0" applyNumberFormat="1" applyFont="1" applyAlignment="1">
      <alignment horizontal="right" vertical="top"/>
    </xf>
    <xf numFmtId="14" fontId="7" fillId="2" borderId="14" xfId="0" applyNumberFormat="1" applyFont="1" applyFill="1" applyBorder="1" applyAlignment="1">
      <alignment horizontal="center" textRotation="90" wrapText="1"/>
    </xf>
    <xf numFmtId="14" fontId="7" fillId="2" borderId="15" xfId="0" applyNumberFormat="1" applyFont="1" applyFill="1" applyBorder="1" applyAlignment="1">
      <alignment horizontal="center" textRotation="90" wrapText="1"/>
    </xf>
    <xf numFmtId="14" fontId="7" fillId="3" borderId="14" xfId="0" applyNumberFormat="1" applyFont="1" applyFill="1" applyBorder="1" applyAlignment="1">
      <alignment horizontal="center" textRotation="90" wrapText="1"/>
    </xf>
    <xf numFmtId="14" fontId="7" fillId="3" borderId="15" xfId="0" applyNumberFormat="1" applyFont="1" applyFill="1" applyBorder="1" applyAlignment="1">
      <alignment horizontal="center" textRotation="90" wrapText="1"/>
    </xf>
    <xf numFmtId="14" fontId="7" fillId="4" borderId="14" xfId="0" applyNumberFormat="1" applyFont="1" applyFill="1" applyBorder="1" applyAlignment="1">
      <alignment horizontal="center" textRotation="90" wrapText="1"/>
    </xf>
    <xf numFmtId="14" fontId="7" fillId="4" borderId="15" xfId="0" applyNumberFormat="1" applyFont="1" applyFill="1" applyBorder="1" applyAlignment="1">
      <alignment horizontal="center" textRotation="90" wrapText="1"/>
    </xf>
    <xf numFmtId="14" fontId="7" fillId="2" borderId="8" xfId="0" applyNumberFormat="1" applyFont="1" applyFill="1" applyBorder="1" applyAlignment="1">
      <alignment horizontal="center" textRotation="90" wrapText="1"/>
    </xf>
  </cellXfs>
  <cellStyles count="2">
    <cellStyle name="Hyperlink" xfId="1" builtinId="8"/>
    <cellStyle name="Normal" xfId="0" builtinId="0"/>
  </cellStyles>
  <dxfs count="173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bgColor theme="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>
        <top style="thin">
          <color theme="4" tint="0.39997558519241921"/>
        </top>
      </border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right style="medium">
          <color indexed="64"/>
        </right>
        <top style="thin">
          <color indexed="64"/>
        </top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medium">
          <color rgb="FF000000"/>
        </top>
        <bottom style="medium">
          <color rgb="FF000000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7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BBBFB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BBBFB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FBBBFB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BBBFB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BBBFB"/>
        </patternFill>
      </fill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BBBFB"/>
        </patternFill>
      </fill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BBBFB"/>
        </patternFill>
      </fill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BBBFB"/>
        </patternFill>
      </fill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FBBBFB"/>
        </patternFill>
      </fill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79DC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79DC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79DC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79DC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79DC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79DC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79DC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79DC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79DC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79DC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79DC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79DC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79DC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79DC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79DC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79DC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79DC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79DC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79DC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2DE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2DE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2DE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2DE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2DE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2DE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2DE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2DE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2DE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2DE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2DE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2DE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2DE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2DE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2DE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2DE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2DE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2DE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2DE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right style="medium">
          <color indexed="64"/>
        </right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BBBFB"/>
        </patternFill>
      </fill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BBBFB"/>
      <color rgb="FF79DCFF"/>
      <color rgb="FFB2DE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1576E9E9-8F68-4779-AD44-DD32BB378457}"/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ie Matheson Landry" refreshedDate="46240.602416087961" createdVersion="8" refreshedVersion="8" minRefreshableVersion="3" recordCount="200" xr:uid="{78677B9E-16BC-42A6-BDEA-F49BC75CE60E}">
  <cacheSource type="worksheet">
    <worksheetSource ref="A3:O556" sheet="As Table"/>
  </cacheSource>
  <cacheFields count="15">
    <cacheField name="Field1" caption="Field1" numFmtId="0">
      <sharedItems containsBlank="1"/>
    </cacheField>
    <cacheField name="Field2" caption="Field2" numFmtId="0">
      <sharedItems containsBlank="1" containsMixedTypes="1" containsNumber="1" containsInteger="1" minValue="800" maxValue="832"/>
    </cacheField>
    <cacheField name="Field3" caption="Field3" numFmtId="0">
      <sharedItems containsBlank="1"/>
    </cacheField>
    <cacheField name="Field4" caption="Field4" numFmtId="0">
      <sharedItems containsBlank="1" containsMixedTypes="1" containsNumber="1" containsInteger="1" minValue="15" maxValue="2580"/>
    </cacheField>
    <cacheField name="Field5" caption="Field5" numFmtId="0">
      <sharedItems containsBlank="1"/>
    </cacheField>
    <cacheField name="Field6" caption="Field6" numFmtId="0">
      <sharedItems containsBlank="1" containsMixedTypes="1" containsNumber="1" containsInteger="1" minValue="0" maxValue="0"/>
    </cacheField>
    <cacheField name="Field7" caption="Field7" numFmtId="0">
      <sharedItems containsBlank="1"/>
    </cacheField>
    <cacheField name="Field8" caption="Field8" numFmtId="0">
      <sharedItems containsBlank="1"/>
    </cacheField>
    <cacheField name="Field9" caption="Field9" numFmtId="0">
      <sharedItems containsBlank="1"/>
    </cacheField>
    <cacheField name="Field10" caption="Field10" numFmtId="0">
      <sharedItems containsBlank="1"/>
    </cacheField>
    <cacheField name="Field11" caption="Field11" numFmtId="0">
      <sharedItems containsBlank="1"/>
    </cacheField>
    <cacheField name="Field12" caption="Field12" numFmtId="0">
      <sharedItems containsBlank="1"/>
    </cacheField>
    <cacheField name="Filename" numFmtId="0">
      <sharedItems containsBlank="1"/>
    </cacheField>
    <cacheField name="Field14" caption="Field14" numFmtId="0">
      <sharedItems containsBlank="1" containsMixedTypes="1" containsNumber="1" containsInteger="1" minValue="0" maxValue="0"/>
    </cacheField>
    <cacheField name="Field15" caption="Field15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Region"/>
    <s v="CC"/>
    <s v="Store #"/>
    <s v="Vlookup Store #"/>
    <s v="Location Name"/>
    <s v="General Manager"/>
    <s v="Address"/>
    <s v="City"/>
    <s v="State"/>
    <s v="Zip Code"/>
    <s v="Phone Number"/>
    <s v="Promo"/>
    <s v="Art Code"/>
    <s v="10F-101"/>
    <s v="10F-104"/>
  </r>
  <r>
    <s v="AL-Huntsville"/>
    <n v="813"/>
    <s v="0041"/>
    <n v="41"/>
    <s v="Hartselle"/>
    <s v="MaryGrace Gilley"/>
    <s v="1206 HIGHWAY 31 NW"/>
    <s v="HARTSELLE"/>
    <s v="AL"/>
    <s v="35640-4421"/>
    <s v="(256) 773-7737"/>
    <s v="50% off all plan 1 mo."/>
    <s v="E01"/>
    <m/>
    <m/>
  </r>
  <r>
    <s v="AL-Huntsville"/>
    <n v="813"/>
    <s v="0042"/>
    <n v="42"/>
    <s v="Limestone"/>
    <s v="Jamie Garrie"/>
    <s v="1321 US HIGHWAY 72 E"/>
    <s v="ATHENS"/>
    <s v="AL"/>
    <s v="35611-4405"/>
    <s v="(256) 233-2290"/>
    <s v="50% off all plan 1 mo."/>
    <s v="E01"/>
    <m/>
    <m/>
  </r>
  <r>
    <s v="AL-Huntsville"/>
    <n v="813"/>
    <s v="0043"/>
    <n v="43"/>
    <s v="Madison"/>
    <s v="Klaryssa Melendrez"/>
    <s v="5509 PROMENADE POINT PKWY"/>
    <s v="MADISON"/>
    <s v="AL"/>
    <s v="35758-6701"/>
    <s v="(256) 895-2693"/>
    <s v="50% off all plan 1 mo."/>
    <s v="E01"/>
    <m/>
    <m/>
  </r>
  <r>
    <s v="AL-Huntsville"/>
    <n v="813"/>
    <s v="0044"/>
    <n v="44"/>
    <s v="Setter"/>
    <s v="Stevie Wagner"/>
    <s v="627 BELTLINE RD SW"/>
    <s v="DECATUR"/>
    <s v="AL"/>
    <s v="35601"/>
    <s v="(256) 867-0108"/>
    <s v="50% off all plan 1 mo."/>
    <s v="E01"/>
    <m/>
    <m/>
  </r>
  <r>
    <s v="AL-Huntsville"/>
    <n v="813"/>
    <s v="0045"/>
    <n v="45"/>
    <s v="9th Street"/>
    <s v="Christian Rider"/>
    <s v="2240 BELTLINE RD SW"/>
    <s v="DECATUR"/>
    <s v="AL"/>
    <s v="35601-7001"/>
    <s v="(256) 822-2939"/>
    <s v="50% off all plan 1 mo."/>
    <s v="E01"/>
    <m/>
    <m/>
  </r>
  <r>
    <s v="AL-Huntsville"/>
    <n v="813"/>
    <s v="0046"/>
    <n v="46"/>
    <s v="Bassett Ave"/>
    <s v="Josh Lamey"/>
    <s v="721 14TH ST SE"/>
    <s v="DECATUR"/>
    <s v="AL"/>
    <s v="35601-5911"/>
    <s v="(256) 822-2029"/>
    <s v="50% off all plan 1 mo."/>
    <s v="E01"/>
    <m/>
    <m/>
  </r>
  <r>
    <s v="AL-Huntsville"/>
    <n v="813"/>
    <s v="0047"/>
    <n v="47"/>
    <s v="Grace"/>
    <s v="Justin Williams"/>
    <s v="403 US HIGHWAY 72 W"/>
    <s v="ATHENS"/>
    <s v="AL"/>
    <s v="35611-4207"/>
    <s v="(256) 998-5312"/>
    <s v="50% off all plan 1 mo."/>
    <s v="E01"/>
    <m/>
    <m/>
  </r>
  <r>
    <s v="AL-Huntsville"/>
    <n v="813"/>
    <s v="0051"/>
    <n v="51"/>
    <s v="Azalea"/>
    <s v="Colby Gray"/>
    <s v="271 AZALEA DR"/>
    <s v="FLORENCE"/>
    <s v="AL"/>
    <s v="35630-1733"/>
    <s v="(256) 766-2726"/>
    <s v="50% off all plan 1 mo."/>
    <s v="E01"/>
    <m/>
    <m/>
  </r>
  <r>
    <s v="AL-Huntsville"/>
    <n v="813"/>
    <s v="0052"/>
    <n v="52"/>
    <s v="Muscle Shoals"/>
    <s v="Olivia Thomsen"/>
    <s v="702 AVALON AVE"/>
    <s v="MUSCLE SHOALS"/>
    <s v="AL"/>
    <s v="35661-2304"/>
    <s v="(256) 389-3890"/>
    <s v="50% off all plan 1 mo."/>
    <s v="E01"/>
    <m/>
    <m/>
  </r>
  <r>
    <s v="AL-Huntsville"/>
    <n v="813"/>
    <s v="0053"/>
    <n v="53"/>
    <s v="Cloverdale"/>
    <s v="Katherine Huddleston"/>
    <s v="2914 CLOVERDALE RD"/>
    <s v="FLORENCE"/>
    <s v="AL"/>
    <s v="35633"/>
    <s v="(256) 712-0183"/>
    <s v="50% off all plan 1 mo."/>
    <s v="E01"/>
    <m/>
    <m/>
  </r>
  <r>
    <s v="AZ-Tucson"/>
    <n v="806"/>
    <s v="0326"/>
    <n v="326"/>
    <s v="Swan"/>
    <s v="Sierrah Bainter"/>
    <s v="4600 E BROADWAY BLVD"/>
    <s v="TUCSON"/>
    <s v="AZ"/>
    <s v="85711-3512"/>
    <s v="(520) 428-0256"/>
    <s v="$9.99 all plans 1 mo."/>
    <s v="D01"/>
    <m/>
    <m/>
  </r>
  <r>
    <s v="AZ-Tucson"/>
    <n v="806"/>
    <s v="0327"/>
    <n v="327"/>
    <s v="South Kolb"/>
    <s v="Evelyn Conger"/>
    <s v="2409 S KOLB RD"/>
    <s v="TUCSON"/>
    <s v="AZ"/>
    <s v="85710"/>
    <s v="(520) 721-9290"/>
    <s v="$9.99 all plans 1 mo."/>
    <s v="D01"/>
    <m/>
    <m/>
  </r>
  <r>
    <s v="AZ-Tucson"/>
    <n v="806"/>
    <s v="0328"/>
    <n v="328"/>
    <s v="Euclid"/>
    <s v="Stefanie Osuna"/>
    <s v="730 E BROADWAY BLVD"/>
    <s v="TUCSON"/>
    <s v="AZ"/>
    <s v="85719"/>
    <s v="(520) 623-2923"/>
    <s v="$9.99 all plans 1 mo."/>
    <s v="D01"/>
    <m/>
    <m/>
  </r>
  <r>
    <s v="AZ-Tucson"/>
    <n v="806"/>
    <s v="0335"/>
    <n v="335"/>
    <s v="E Grant"/>
    <n v="0"/>
    <s v="3150 E GRANT RD"/>
    <s v="TUCSON"/>
    <s v="AZ"/>
    <s v="85716"/>
    <s v="(520) 881-1486"/>
    <s v="$9.99 all plans 1 mo. "/>
    <s v="D01"/>
    <m/>
    <m/>
  </r>
  <r>
    <s v="AZ-Tucson"/>
    <n v="806"/>
    <s v="1329"/>
    <n v="1329"/>
    <s v="Craycroft"/>
    <s v="Chandrani Das"/>
    <s v="5515 E GRANT RD"/>
    <s v="TUCSON"/>
    <s v="AZ"/>
    <s v="85712"/>
    <s v="(520) 497-1922"/>
    <s v="$9.99 all plans 1 mo."/>
    <s v="D01"/>
    <m/>
    <m/>
  </r>
  <r>
    <s v="AZ-Tucson"/>
    <n v="806"/>
    <s v="1331"/>
    <n v="1331"/>
    <s v="Twin Peaks"/>
    <s v="Vanna Valdez"/>
    <s v="6520 W MARANA CENTER BL"/>
    <s v="TUCSON"/>
    <s v="AZ"/>
    <s v="85742"/>
    <s v="(520) 335-8707"/>
    <s v="$9.99 all plans 1 mo."/>
    <s v="D01"/>
    <m/>
    <m/>
  </r>
  <r>
    <s v="AZ-Tucson"/>
    <n v="806"/>
    <s v="2552"/>
    <n v="2552"/>
    <s v="Tucson Mall"/>
    <s v="Natalie Vazquez Martinez"/>
    <s v="4646 N ORACLE"/>
    <s v="TUCSON"/>
    <s v="AZ"/>
    <s v="85705"/>
    <s v="(520) 485-2620"/>
    <s v="$9.99 all plans 1 mo."/>
    <s v="D01"/>
    <m/>
    <m/>
  </r>
  <r>
    <s v="AZ-Tucson"/>
    <n v="806"/>
    <s v="2557"/>
    <n v="2557"/>
    <s v="Cardinal"/>
    <s v="Martin Soto"/>
    <s v="2850 W VALENCIA ROAD"/>
    <s v="TUCSON"/>
    <s v="AZ"/>
    <s v="85746"/>
    <s v="(520) 497-1992"/>
    <s v="$9.99 all plans 1 mo."/>
    <s v="D01"/>
    <m/>
    <m/>
  </r>
  <r>
    <s v="CA-Bakersfield"/>
    <n v="830"/>
    <s v="1016"/>
    <n v="1016"/>
    <s v="Rosedale Hwy"/>
    <s v="Adrian Vargas"/>
    <s v="11921 ROSEDALE HIGHWAY"/>
    <s v="BAKERSFIELD"/>
    <s v="CA"/>
    <s v="93312"/>
    <s v="(661) 230-5335"/>
    <s v="$9.99 all plans 1 mo."/>
    <s v="D01"/>
    <m/>
    <m/>
  </r>
  <r>
    <s v="CA-Bakersfield"/>
    <n v="830"/>
    <s v="1034"/>
    <n v="1034"/>
    <s v="Carmen"/>
    <s v="Edgar Barron"/>
    <s v="1925 S BROADWAY"/>
    <s v="SANTA MARIA"/>
    <s v="CA"/>
    <s v="93454"/>
    <s v="(805) 621-6835"/>
    <s v="$9.99 all plans 1 mo."/>
    <s v="D01"/>
    <m/>
    <m/>
  </r>
  <r>
    <s v="CA-Bakersfield"/>
    <n v="830"/>
    <s v="1035"/>
    <n v="1035"/>
    <s v="Hosking"/>
    <s v="Susana Ledina"/>
    <s v="1601 HOSKING AVE"/>
    <s v="BAKERSFIELD"/>
    <s v="CA"/>
    <s v="93307"/>
    <s v="(661) 336-9952"/>
    <s v="$9.99 all plans 1 mo."/>
    <s v="D01"/>
    <m/>
    <m/>
  </r>
  <r>
    <s v="CA-Bakersfield"/>
    <n v="830"/>
    <s v="1038"/>
    <n v="1038"/>
    <s v="Heath"/>
    <s v="Hailey Divina"/>
    <s v="16214 STOCKDALE HWY"/>
    <s v="BAKERSFIELD"/>
    <s v="CA"/>
    <s v="93314"/>
    <s v="(661) 336-9403"/>
    <s v="$9.99 all plans 1 mo."/>
    <s v="D01"/>
    <m/>
    <m/>
  </r>
  <r>
    <s v="CA-Bakersfield"/>
    <n v="830"/>
    <s v="1058"/>
    <n v="1058"/>
    <s v="Stockdale"/>
    <s v="Jorge Escobar"/>
    <s v="11417 STOCKDALE HWY"/>
    <s v="BAKERSFIELD"/>
    <s v="CA"/>
    <s v="93311"/>
    <s v="(661) 636-6520"/>
    <s v="$9.99 all plans 1 mo."/>
    <s v="D01"/>
    <m/>
    <m/>
  </r>
  <r>
    <s v="CA-Los Angeles"/>
    <n v="830"/>
    <s v="1013"/>
    <n v="1013"/>
    <s v="Hwy 138"/>
    <s v="Kayla Lopez"/>
    <s v="1822 E PALMDALE BLVD"/>
    <s v="PALMDALE"/>
    <s v="CA"/>
    <s v="93550"/>
    <s v="(661) 268-6424"/>
    <s v="$9.99 all plans 1 mo."/>
    <s v="D01"/>
    <m/>
    <m/>
  </r>
  <r>
    <s v="CA-Los Angeles"/>
    <n v="830"/>
    <s v="1018"/>
    <n v="1018"/>
    <s v="Rialto"/>
    <s v="Olivia Rodriguez"/>
    <s v="127 WEST VALLEY BLVD"/>
    <s v="RIALTO"/>
    <s v="CA"/>
    <s v="92376"/>
    <s v="(909) 237-8099"/>
    <s v="$9.99 all plans 1 mo."/>
    <s v="D01"/>
    <m/>
    <m/>
  </r>
  <r>
    <s v="CA-Los Angeles"/>
    <n v="830"/>
    <s v="1027"/>
    <n v="1027"/>
    <s v="Stoneridge"/>
    <s v="Zachary Ojeda"/>
    <s v="27240 EUCALYPTUS AVE"/>
    <s v="MORENO VALLEY"/>
    <s v="CA"/>
    <s v="92555"/>
    <s v="(951) 221-3009"/>
    <s v="$9.99 all plans 1 mo."/>
    <s v="D01"/>
    <m/>
    <m/>
  </r>
  <r>
    <s v="CA-Los Angeles"/>
    <n v="830"/>
    <s v="1037"/>
    <n v="1037"/>
    <s v="Varsity"/>
    <s v="Anthony Fickewirth"/>
    <s v="4212 N VARSITY AVE"/>
    <s v="SAN BERNARDINO"/>
    <s v="CA"/>
    <s v="92407"/>
    <s v="(909) 277-6601"/>
    <s v="$9.99 all plans 1 mo."/>
    <s v="D01"/>
    <m/>
    <m/>
  </r>
  <r>
    <s v="CA-Modesto"/>
    <n v="831"/>
    <s v="0915"/>
    <n v="915"/>
    <s v="Merced"/>
    <s v="Manuel Toro Garcia"/>
    <s v="1800 WEST OLIVE AVE"/>
    <s v="MERCED"/>
    <s v="CA"/>
    <s v="95348"/>
    <s v="(209) 388-9274"/>
    <s v="$9.99 all plans 1 mo."/>
    <s v="D01"/>
    <m/>
    <m/>
  </r>
  <r>
    <s v="CA-Modesto"/>
    <n v="830"/>
    <s v="1076"/>
    <n v="1076"/>
    <s v="Tuolumne"/>
    <s v="Elicia Solis"/>
    <s v="2530 COUNTRYSIDE DR"/>
    <s v="TURLOCK"/>
    <s v="CA"/>
    <s v="95380"/>
    <s v="(350) 203-2119"/>
    <s v="$9.99 all plans 1 mo."/>
    <s v="D01"/>
    <m/>
    <m/>
  </r>
  <r>
    <s v="CA-San Joaquin Valley"/>
    <n v="830"/>
    <s v="1039"/>
    <n v="1039"/>
    <s v="Mooney Blvd"/>
    <s v="Maurice Lacy"/>
    <s v="1920 S MOONEY BLVD"/>
    <s v="VISALIA"/>
    <s v="CA"/>
    <s v="93277"/>
    <s v="(559) 372-0454"/>
    <s v="All Plans PoR 1 mo."/>
    <s v="10F-101"/>
    <m/>
    <m/>
  </r>
  <r>
    <s v="CA-San Joaquin Valley"/>
    <n v="830"/>
    <s v="1072"/>
    <n v="1072"/>
    <s v="Reedley"/>
    <s v="Francisco Villatoro"/>
    <s v="1595 W MANNING AVE"/>
    <s v="REEDLEY"/>
    <s v="CA"/>
    <s v="93654"/>
    <s v="(559) 554-1641"/>
    <s v="All Plans PoR 1 mo."/>
    <s v="10F-101"/>
    <m/>
    <m/>
  </r>
  <r>
    <s v="CA-Victor Valley"/>
    <n v="830"/>
    <s v="1019"/>
    <n v="1019"/>
    <s v="Happy Trails Hwy"/>
    <s v="Salvador Ramirez"/>
    <s v="20440 OUTER HWY 18"/>
    <s v="APPLE VALLEY"/>
    <s v="CA"/>
    <s v="92307"/>
    <s v="(760) 503-0311"/>
    <s v="$9.99 all plans 1 mo."/>
    <s v="D01"/>
    <m/>
    <m/>
  </r>
  <r>
    <s v="CA-Victor Valley"/>
    <n v="830"/>
    <s v="1031"/>
    <n v="1031"/>
    <s v="Jellico Ave"/>
    <s v="Kenyon Mcwhorter"/>
    <s v="17112 MAIN STREET"/>
    <s v="HESPERIA"/>
    <s v="CA"/>
    <s v="92345"/>
    <s v="(442) 267-6146"/>
    <s v="$9.99 all plans 1 mo."/>
    <s v="D01"/>
    <m/>
    <m/>
  </r>
  <r>
    <s v="CA-Victor Valley"/>
    <n v="830"/>
    <s v="1064"/>
    <n v="1064"/>
    <s v="Bear Valley"/>
    <s v="Natalie Craven"/>
    <s v="19389 BEAR VALLEY RD"/>
    <s v="APPLE VALLEY"/>
    <s v="CA"/>
    <s v="92308"/>
    <s v="(442) 855-7229"/>
    <s v="$9.99 all plans 1 mo."/>
    <s v="D01"/>
    <m/>
    <m/>
  </r>
  <r>
    <s v="CO-Colorado Springs/Pueblo/Denver"/>
    <n v="810"/>
    <s v="0341"/>
    <n v="341"/>
    <s v="Prospect Ave"/>
    <s v="Davante Jordan"/>
    <s v="24273 E PROSPECT AVE"/>
    <s v="AURORA"/>
    <s v="CO"/>
    <s v="80016"/>
    <s v="(303) 928-7520"/>
    <s v="$15 off all plans 1 mo."/>
    <s v="B06"/>
    <m/>
    <m/>
  </r>
  <r>
    <s v="CO-Colorado Springs/Pueblo/Denver"/>
    <n v="810"/>
    <s v="0343"/>
    <n v="343"/>
    <s v="Woodmen"/>
    <s v="Marvin Willis"/>
    <s v="5366 NEW CAR DR"/>
    <s v="COLORADO SPRINGS"/>
    <s v="CO"/>
    <s v="80923-8854"/>
    <s v="(719) 266-0169"/>
    <s v="$15 off all plans 1 mo."/>
    <s v="B05"/>
    <m/>
    <m/>
  </r>
  <r>
    <s v="CO-Colorado Springs/Pueblo/Denver"/>
    <n v="810"/>
    <s v="0344"/>
    <n v="344"/>
    <s v="Bradley"/>
    <s v="Michael Dye"/>
    <s v="1822 MAIN ST"/>
    <s v="COLORADO SPRINGS"/>
    <s v="CO"/>
    <s v="80911-1152"/>
    <s v="(719) 392-2250"/>
    <s v="$15 off all plans 1 mo."/>
    <s v="B05"/>
    <m/>
    <m/>
  </r>
  <r>
    <s v="CO-Colorado Springs/Pueblo/Denver"/>
    <n v="810"/>
    <s v="0347"/>
    <n v="347"/>
    <s v="Fountain"/>
    <s v="Joshua Benforado"/>
    <s v="7980 FOUNTAIN MESA RD"/>
    <s v="FOUNTAIN"/>
    <s v="CO"/>
    <s v="80817"/>
    <s v="(719) 280-0458"/>
    <s v="$15 off all plans 1 mo."/>
    <s v="B05"/>
    <m/>
    <m/>
  </r>
  <r>
    <s v="CO-Colorado Springs/Pueblo/Denver"/>
    <n v="810"/>
    <s v="0348"/>
    <n v="348"/>
    <s v="Old Ranch Rd"/>
    <s v="Brandon Sirmans"/>
    <s v="3581 BLUE HORIZON VIEW"/>
    <s v="COLORADO SPRINGS"/>
    <s v="CO"/>
    <s v="80924"/>
    <s v="(719) 203-2707"/>
    <s v="$15 off all plans 1 mo."/>
    <s v="B05"/>
    <m/>
    <m/>
  </r>
  <r>
    <s v="CO-Colorado Springs/Pueblo/Denver"/>
    <n v="810"/>
    <s v="1341"/>
    <n v="1341"/>
    <s v="Academy Blvd"/>
    <s v="April Jaramillo"/>
    <s v="4275 N ACADEMY BLVD"/>
    <s v="COLORADO SPRINGS"/>
    <s v="CO"/>
    <s v="80918"/>
    <s v="(719) 208-4919"/>
    <s v="$15 off all plans 1 mo."/>
    <s v="B05"/>
    <m/>
    <m/>
  </r>
  <r>
    <s v="CO-Colorado Springs/Pueblo/Denver"/>
    <n v="810"/>
    <s v="1343"/>
    <n v="1343"/>
    <s v="Monument"/>
    <s v="Conor Symons"/>
    <s v="980 W BAPTIST RD"/>
    <s v="MONUMENT"/>
    <s v="CO"/>
    <s v="80132"/>
    <s v="(719) 203-1873"/>
    <s v="$15 off all plans 1 mo."/>
    <s v="B05"/>
    <m/>
    <m/>
  </r>
  <r>
    <s v="CO-Colorado Springs/Pueblo/Denver"/>
    <n v="810"/>
    <s v="1344"/>
    <n v="1344"/>
    <s v="Runway North"/>
    <s v="Andrew Sweeney"/>
    <s v="8809 E 46TH AVE"/>
    <s v="DENVER"/>
    <s v="CO"/>
    <s v="80238"/>
    <s v="(720) 744-0750"/>
    <s v="$15 off all plans 1 mo."/>
    <s v="B06"/>
    <m/>
    <m/>
  </r>
  <r>
    <s v="CO-Colorado Springs/Pueblo/Denver"/>
    <n v="810"/>
    <s v="1349"/>
    <n v="1349"/>
    <s v="Constitution"/>
    <s v="Kelly Duran"/>
    <s v="6015 CONSTITUTION AVE"/>
    <s v="COLORADO SPRINGS"/>
    <s v="CO"/>
    <s v="80915"/>
    <s v="(719) 301-3064"/>
    <s v="$15 off all plans 1 mo."/>
    <s v="B05"/>
    <m/>
    <m/>
  </r>
  <r>
    <s v="FL-Cape Coral"/>
    <n v="812"/>
    <s v="1801"/>
    <n v="1801"/>
    <s v="Del Prado"/>
    <s v="James Glass"/>
    <s v="1009 DEL PRADO BLVD S"/>
    <s v="CAPE CORAL"/>
    <s v="FL"/>
    <s v="33990"/>
    <s v="(239) 772-2277"/>
    <s v="All Plans PoR 1 mo."/>
    <s v="10F-201"/>
    <m/>
    <m/>
  </r>
  <r>
    <s v="FL-Cape Coral"/>
    <n v="812"/>
    <s v="1805"/>
    <n v="1805"/>
    <s v="Santa Barbara Blvd"/>
    <s v="Santiago Velasquez"/>
    <s v="2002 SANTA BARBARA BLVD"/>
    <s v="CAPE CORAL"/>
    <s v="FL"/>
    <s v="33991"/>
    <s v="(239) 791-1707"/>
    <s v="All Plans PoR 1 mo."/>
    <s v="10F-201"/>
    <m/>
    <m/>
  </r>
  <r>
    <s v="FL-Cape Coral"/>
    <n v="812"/>
    <s v="1807"/>
    <n v="1807"/>
    <s v="Ne 16th Place"/>
    <s v="Deserae Gannelli"/>
    <s v="318 NE 16TH PLACE"/>
    <s v="CAPE CORAL"/>
    <s v="FL"/>
    <s v="33909"/>
    <s v="(239) 402-3119"/>
    <s v="All Plans PoR 1 mo."/>
    <s v="10F-201"/>
    <m/>
    <m/>
  </r>
  <r>
    <s v="FL-Cape Coral"/>
    <n v="832"/>
    <s v="1811"/>
    <n v="1811"/>
    <s v="Cody Lee"/>
    <s v="Ryan Russell"/>
    <s v="8851 CODY LEE RD"/>
    <s v="FORT MYERS"/>
    <s v="FL"/>
    <s v="33912"/>
    <s v="(239) 234-1276"/>
    <s v="All Plans PoR 1 mo."/>
    <s v="10F-201"/>
    <m/>
    <m/>
  </r>
  <r>
    <s v="FL-Cape Coral"/>
    <n v="832"/>
    <s v="1813"/>
    <n v="1813"/>
    <s v="Arborwood"/>
    <s v="Carisa Civiello"/>
    <s v="13601 GOLDENWOOD DR"/>
    <s v="FORT MYERS"/>
    <s v="FL"/>
    <s v="33913"/>
    <s v="(239) 241-8294"/>
    <s v="All Plans PoR 1 mo."/>
    <s v="10F-201"/>
    <m/>
    <m/>
  </r>
  <r>
    <s v="FL-Cape Coral"/>
    <n v="832"/>
    <s v="1814"/>
    <n v="1814"/>
    <s v="Metro Pkwy"/>
    <s v="Ana Castro"/>
    <s v="2811 COLONIAL BLVD"/>
    <s v="FORT MYERS"/>
    <s v="FL"/>
    <s v="33966"/>
    <s v="(239) 241-8300"/>
    <s v="All Plans PoR 1 mo."/>
    <s v="10F-201"/>
    <m/>
    <m/>
  </r>
  <r>
    <s v="FL-Cape Coral"/>
    <n v="832"/>
    <s v="1816"/>
    <n v="1816"/>
    <s v="Estero"/>
    <s v="Rick Marsten"/>
    <s v="8030 TYSON EYE WAY"/>
    <s v="ESTERO"/>
    <s v="FL"/>
    <s v="33967"/>
    <s v="(239) 422-5745"/>
    <s v="All Plans PoR 1 mo."/>
    <s v="10F-201"/>
    <m/>
    <m/>
  </r>
  <r>
    <s v="FL-Lakeland"/>
    <n v="832"/>
    <s v="1906"/>
    <n v="1906"/>
    <s v="Florida Ave S"/>
    <s v="Christina Stivers"/>
    <s v="6051 FLORIDA AVE S"/>
    <s v="LAKELAND"/>
    <s v="FL"/>
    <s v="33813"/>
    <s v="(863) 213-0542"/>
    <s v="All Plans PoR 1 mo."/>
    <s v="10F-201"/>
    <m/>
    <m/>
  </r>
  <r>
    <s v="FL-Orlando"/>
    <n v="812"/>
    <s v="0233"/>
    <n v="233"/>
    <s v="Fern Park"/>
    <s v="Skylar Prescott"/>
    <s v="6501 SOUTH US HWY 17 92"/>
    <s v="CASSELBERRY"/>
    <s v="FL"/>
    <s v="32730"/>
    <s v="(407) 260-0335"/>
    <s v="All Plans PoR 1 mo."/>
    <s v="10F-101"/>
    <m/>
    <m/>
  </r>
  <r>
    <s v="FL-Orlando"/>
    <n v="812"/>
    <s v="0235"/>
    <n v="235"/>
    <s v="Colonial"/>
    <s v="Holly Hutcheson"/>
    <s v="12180 E COLONIAL DR"/>
    <s v="ORLANDO"/>
    <s v="FL"/>
    <s v="32826"/>
    <s v="(407) 207-1294"/>
    <s v="All Plans PoR 1 mo."/>
    <s v="10F-101"/>
    <m/>
    <m/>
  </r>
  <r>
    <s v="FL-Orlando"/>
    <n v="812"/>
    <s v="0236"/>
    <n v="236"/>
    <s v="Chickasaw"/>
    <s v="Celi Cordero"/>
    <s v="7958 E COLONIAL DR"/>
    <s v="ORLANDO"/>
    <s v="FL"/>
    <s v="32807"/>
    <s v="(407) 203-0993"/>
    <s v="All Plans PoR 1 mo."/>
    <s v="10F-101"/>
    <m/>
    <m/>
  </r>
  <r>
    <s v="FL-Orlando"/>
    <n v="812"/>
    <s v="0243"/>
    <n v="243"/>
    <s v="Silver Star"/>
    <s v="Brendan Gilreath"/>
    <s v="4551 SILVER STAR RD"/>
    <s v="ORLANDO"/>
    <s v="FL"/>
    <s v="32808"/>
    <s v="(407) 553-3430"/>
    <s v="All Plans PoR 1 mo."/>
    <s v="10F-101"/>
    <m/>
    <m/>
  </r>
  <r>
    <s v="FL-Orlando"/>
    <n v="812"/>
    <s v="0279"/>
    <n v="279"/>
    <s v="Orange Blossom"/>
    <s v="Cameron Snell"/>
    <s v="5275 S ORANGE BLOSSOM TRAIL"/>
    <s v="ORLANDO"/>
    <s v="FL"/>
    <s v="32839"/>
    <s v="(407) 553-3429"/>
    <s v="All Plans PoR 1 mo."/>
    <s v="10F-101"/>
    <m/>
    <m/>
  </r>
  <r>
    <s v="FL-Orlando"/>
    <n v="812"/>
    <s v="1205"/>
    <n v="1205"/>
    <s v="Commerce Ctr Dr"/>
    <s v="Tathiana Rivera"/>
    <s v="4670 13TH ST"/>
    <s v="SAINT CLOUD"/>
    <s v="FL"/>
    <s v="34769"/>
    <s v="(407) 559-9787"/>
    <s v="All Plans PoR 1 mo."/>
    <s v="10F-101"/>
    <m/>
    <m/>
  </r>
  <r>
    <s v="FL-Orlando"/>
    <n v="812"/>
    <s v="1206"/>
    <n v="1206"/>
    <s v="Kissimmee"/>
    <s v="Luz Rodriguez"/>
    <s v="4573 W IRLO BRONSON MEMORIAL HWY"/>
    <s v="KISSIMMEE"/>
    <s v="FL"/>
    <s v="34746"/>
    <s v="(407) 390-1400"/>
    <s v="All Plans PoR 1 mo."/>
    <s v="10F-101"/>
    <m/>
    <m/>
  </r>
  <r>
    <s v="FL-Orlando"/>
    <n v="812"/>
    <s v="1208"/>
    <n v="1208"/>
    <s v="Oaks Blvd"/>
    <s v="Eric Cuebas"/>
    <s v="3170 S JOHN YOUNG PKWY"/>
    <s v="KISSIMMEE"/>
    <s v="FL"/>
    <s v="34746"/>
    <s v="(407) 329-2196"/>
    <s v="All Plans PoR 1 mo."/>
    <s v="10F-101"/>
    <m/>
    <m/>
  </r>
  <r>
    <s v="FL-Orlando"/>
    <n v="812"/>
    <s v="1215"/>
    <n v="1215"/>
    <s v="Ormond Beach"/>
    <s v="Andre Swanston"/>
    <s v="49 S YONGE ST"/>
    <s v="ORMOND BEACH"/>
    <s v="FL"/>
    <s v="32174"/>
    <s v="(386) 356-5113"/>
    <s v="All Plans PoR 1 mo."/>
    <s v="10F-101"/>
    <m/>
    <m/>
  </r>
  <r>
    <s v="FL-Orlando"/>
    <n v="832"/>
    <s v="1236"/>
    <n v="1236"/>
    <s v="Poinciana"/>
    <s v="Dakota Polk"/>
    <s v="530 CYPRESS PKWY"/>
    <s v="POINCIANA"/>
    <s v="FL"/>
    <s v="34759"/>
    <s v="(321) 300-7499"/>
    <s v="All Plans PoR 1 mo."/>
    <s v="10F-101"/>
    <m/>
    <m/>
  </r>
  <r>
    <s v="FL-Orlando"/>
    <n v="832"/>
    <s v="1242"/>
    <n v="1242"/>
    <s v="Semoran"/>
    <s v="Keegan Wyatt"/>
    <s v="1405 S SEMORAN BLVD"/>
    <s v="ORLANDO"/>
    <s v="FL"/>
    <s v="32807"/>
    <s v="(321) 300-3207"/>
    <s v="All Plans PoR 1 mo."/>
    <s v="10F-101"/>
    <m/>
    <m/>
  </r>
  <r>
    <s v="FL-Orlando"/>
    <n v="832"/>
    <s v="1245"/>
    <n v="1245"/>
    <s v="Clyde Morris Blvd"/>
    <s v="Robert Roundtree"/>
    <s v="3807 CLYDE MORRIS BLVD"/>
    <s v="PORT ORANGE"/>
    <s v="FL"/>
    <s v="32129"/>
    <s v="(386) 309-2621"/>
    <s v="All Plans PoR 1 mo."/>
    <s v="10F-101"/>
    <m/>
    <m/>
  </r>
  <r>
    <s v="FL-Orlando"/>
    <n v="812"/>
    <s v="1249"/>
    <n v="1249"/>
    <s v="Irwin"/>
    <s v="Angel Mora"/>
    <s v="1164 W NEW HAVEN AVE"/>
    <s v="MELBOURNE"/>
    <s v="FL"/>
    <s v="32904"/>
    <s v="(321) 265-4007"/>
    <s v="All Plans PoR 1 mo."/>
    <s v="10F-101"/>
    <m/>
    <m/>
  </r>
  <r>
    <s v="FL-Orlando"/>
    <n v="812"/>
    <s v="1254"/>
    <n v="1254"/>
    <s v="Millenia"/>
    <s v="David Gaus"/>
    <s v="4588 POWER CENTER LN"/>
    <s v="ORLANDO"/>
    <s v="FL"/>
    <s v="32839"/>
    <s v="(407) 848-1320"/>
    <s v="All Plans PoR 1 mo."/>
    <s v="10F-101"/>
    <m/>
    <m/>
  </r>
  <r>
    <s v="FL-Orlando"/>
    <n v="812"/>
    <s v="1856"/>
    <n v="1856"/>
    <s v="Belvedere"/>
    <s v="Kevin Mckinnon"/>
    <s v="2505 PARR DR"/>
    <s v="THE VILLAGES"/>
    <s v="FL"/>
    <s v="32162"/>
    <s v="(352) 775-1805"/>
    <s v="All Plans PoR 1 mo."/>
    <s v="10F-101"/>
    <m/>
    <m/>
  </r>
  <r>
    <s v="FL-Southeast Florida"/>
    <n v="832"/>
    <s v="1854"/>
    <n v="1854"/>
    <s v="Hypoluxo"/>
    <s v="Karlee Feldner"/>
    <s v="1833 HYPOLUXO RD"/>
    <s v="LANTANA"/>
    <s v="FL"/>
    <s v="33462"/>
    <s v="(561) 407-0035"/>
    <s v="All Plans PoR 1 mo."/>
    <s v="10F-201"/>
    <m/>
    <m/>
  </r>
  <r>
    <s v="FL-Southeast Florida"/>
    <n v="812"/>
    <s v="1855"/>
    <n v="1855"/>
    <s v="Goldenrod"/>
    <s v="Dylan Sanchez"/>
    <s v="3775 NW FEDERAL HWY"/>
    <s v="JENSEN BEACH"/>
    <s v="FL"/>
    <s v="34957"/>
    <s v="(772) 208-3966"/>
    <s v="All Plans PoR 1 mo."/>
    <s v="10F-201"/>
    <m/>
    <m/>
  </r>
  <r>
    <s v="FL-Tampa"/>
    <n v="812"/>
    <s v="0226"/>
    <n v="226"/>
    <s v="North Dale Mabry"/>
    <s v="Dennis Crumlich"/>
    <s v="8101 NORTH DALE MABRY"/>
    <s v="TAMPA"/>
    <s v="FL"/>
    <s v="33614"/>
    <s v="(813) 933-6661"/>
    <s v="All Plans PoR 1 mo."/>
    <s v="10F-201"/>
    <m/>
    <m/>
  </r>
  <r>
    <s v="FL-Tampa"/>
    <n v="812"/>
    <s v="0273"/>
    <n v="273"/>
    <s v="Hudson"/>
    <s v="Skiler Woods"/>
    <s v="12611 US HIGHWAY 19"/>
    <s v="HUDSON"/>
    <s v="FL"/>
    <s v="34667-1955"/>
    <s v="(727) 868-7130"/>
    <s v="All Plans PoR 1 mo."/>
    <s v="10F-201"/>
    <m/>
    <m/>
  </r>
  <r>
    <s v="FL-Tampa"/>
    <n v="812"/>
    <s v="0274"/>
    <n v="274"/>
    <s v="Spring Hill"/>
    <s v="Taylin McCormick"/>
    <s v="4330 COMMERCIAL WAY"/>
    <s v="SPRING HILL"/>
    <s v="FL"/>
    <s v="34606"/>
    <s v="(352) 597-5573"/>
    <s v="All Plans PoR 1 mo."/>
    <s v="10F-201"/>
    <m/>
    <m/>
  </r>
  <r>
    <s v="FL-Tampa"/>
    <n v="812"/>
    <s v="1221"/>
    <n v="1221"/>
    <s v="State Route 52"/>
    <s v="Taylor Masters"/>
    <s v="9215 STATE ROUTE 52"/>
    <s v="HUDSON"/>
    <s v="FL"/>
    <s v="34669"/>
    <s v="(727) 214-3847"/>
    <s v="All Plans PoR 1 mo."/>
    <s v="10F-201"/>
    <m/>
    <m/>
  </r>
  <r>
    <s v="FL-Tampa"/>
    <n v="812"/>
    <s v="1251"/>
    <n v="1251"/>
    <s v="Park Ridge"/>
    <s v="James Thomas"/>
    <s v="6801 PARK BLVD"/>
    <s v="PINELLAS PARK"/>
    <s v="FL"/>
    <s v="33781"/>
    <s v="(727) 620-5085"/>
    <s v="All Plans PoR 1 mo."/>
    <s v="10F-201"/>
    <m/>
    <m/>
  </r>
  <r>
    <s v="FL-Tampa"/>
    <n v="832"/>
    <s v="1901"/>
    <n v="1901"/>
    <s v="Hillsborough"/>
    <s v="David Herster"/>
    <s v="12806 W HILLSBOROUGH AVE"/>
    <s v="TAMPA"/>
    <s v="FL"/>
    <s v="33635"/>
    <s v="(656) 444-0758"/>
    <s v="All Plans PoR 1 mo."/>
    <s v="10F-201"/>
    <m/>
    <m/>
  </r>
  <r>
    <s v="FL-Tampa"/>
    <n v="832"/>
    <s v="1902"/>
    <n v="1902"/>
    <s v="Wesley Chapel"/>
    <s v="Evan Hinzman"/>
    <s v="29891 WESLEY CHAPEL BLVD"/>
    <s v="WESLEY CHAPEL"/>
    <s v="FL"/>
    <s v="33543"/>
    <s v="(656) 202-4586"/>
    <s v="All Plans PoR 1 mo."/>
    <s v="10F-201"/>
    <m/>
    <m/>
  </r>
  <r>
    <s v="FL-Tampa"/>
    <n v="812"/>
    <s v="2501"/>
    <n v="2501"/>
    <s v="Zephyrhills"/>
    <s v="William Sprinkle"/>
    <s v="6353 GALL BOULEVARD"/>
    <s v="ZEPHYRHILLS"/>
    <s v="FL"/>
    <s v="33542"/>
    <s v="(813) 670-2213"/>
    <s v="All Plans PoR 1 mo."/>
    <s v="10F-201"/>
    <m/>
    <m/>
  </r>
  <r>
    <s v="GA-Atlanta"/>
    <n v="813"/>
    <s v="0264"/>
    <n v="264"/>
    <s v="Hiram"/>
    <s v="Alexis Strozier"/>
    <s v="5651 WENDY BAGWELL PKWY"/>
    <s v="HIRAM"/>
    <s v="GA"/>
    <s v="30141-7806"/>
    <s v="(770) 943-5967"/>
    <s v="$5, $10, $15"/>
    <s v="C01"/>
    <m/>
    <m/>
  </r>
  <r>
    <s v="GA-Atlanta"/>
    <n v="813"/>
    <s v="0270"/>
    <n v="270"/>
    <s v="Peachtree"/>
    <s v="Robert Feinburg"/>
    <s v="930 PEACHTREE PKWY"/>
    <s v="CUMMING"/>
    <s v="GA"/>
    <s v="30041-6823"/>
    <s v="(678) 771-8783"/>
    <s v="$5, $10, $15"/>
    <s v="C01"/>
    <m/>
    <m/>
  </r>
  <r>
    <s v="IA-Cedar Rapids/Davenport"/>
    <n v="801"/>
    <s v="1484"/>
    <n v="1484"/>
    <s v="Kimberly Rd"/>
    <s v="Elijah Miller"/>
    <s v="707 E KIMBERLY RD"/>
    <s v="DAVENPORT"/>
    <s v="IA"/>
    <s v="52807"/>
    <s v="(563) 265-3110"/>
    <s v="$9.99 all plans 1 mo."/>
    <s v="8D-04"/>
    <m/>
    <m/>
  </r>
  <r>
    <s v="IA-Cedar Rapids/Davenport"/>
    <n v="801"/>
    <s v="1723"/>
    <n v="1723"/>
    <s v="Lakeview"/>
    <s v="Sydney Rosebrough"/>
    <s v="4511 E 53RD STREET"/>
    <s v="DAVENPORT"/>
    <s v="IA"/>
    <s v="52807"/>
    <s v="(563) 306-2633"/>
    <s v="$9.99 all plans 1 mo."/>
    <s v="8D-04"/>
    <m/>
    <m/>
  </r>
  <r>
    <s v="IA-Des Moines"/>
    <n v="801"/>
    <s v="0730"/>
    <n v="730"/>
    <s v="14th Street"/>
    <s v="Thomas Duncan"/>
    <s v="3400 SE 14TH ST"/>
    <s v="DES MOINES"/>
    <s v="IA"/>
    <s v="50320"/>
    <s v="(515) 974-5062"/>
    <s v="$9.99 all plans 1 mo."/>
    <s v="D01"/>
    <m/>
    <m/>
  </r>
  <r>
    <s v="IA-Des Moines"/>
    <n v="801"/>
    <s v="0731"/>
    <n v="731"/>
    <s v="North Merle Hay"/>
    <s v="Marina Song"/>
    <s v="4850 MERLE HAY RD"/>
    <s v="URBANDALE"/>
    <s v="IA"/>
    <s v="50322"/>
    <s v="(515) 254-2593"/>
    <s v="$9.99 all plans 1 mo."/>
    <s v="D01"/>
    <m/>
    <m/>
  </r>
  <r>
    <s v="IA-Des Moines"/>
    <n v="801"/>
    <s v="0733"/>
    <n v="733"/>
    <s v="Grimes"/>
    <s v="Neris Martinez"/>
    <s v="1901 SE 11TH ST"/>
    <s v="GRIMES"/>
    <s v="IA"/>
    <s v="50111"/>
    <s v="(515) 325-1712"/>
    <s v="$9.99 all plans 1 mo."/>
    <s v="D01"/>
    <m/>
    <m/>
  </r>
  <r>
    <s v="IA-Des Moines"/>
    <n v="801"/>
    <s v="0734"/>
    <n v="734"/>
    <s v="Ankeny"/>
    <s v="Bahari Afare"/>
    <s v="109 S ANKENY BLVD"/>
    <s v="ANKENY"/>
    <s v="IA"/>
    <s v="50023"/>
    <s v="(515) 325-0478"/>
    <s v="$9.99 all plans 1 mo."/>
    <s v="D01"/>
    <m/>
    <m/>
  </r>
  <r>
    <s v="IA-Des Moines"/>
    <n v="801"/>
    <s v="1721"/>
    <n v="1721"/>
    <s v="12th Ave"/>
    <s v="Shoalie Niebauer"/>
    <s v="5440 E UNIVERSITY AVE"/>
    <s v="PLEASANT HILL"/>
    <s v="IA"/>
    <s v="50327"/>
    <s v="(515) 957-7218"/>
    <s v="$9.99 all plans 1 mo."/>
    <s v="D01"/>
    <m/>
    <m/>
  </r>
  <r>
    <s v="IA-Des Moines"/>
    <n v="801"/>
    <s v="1722"/>
    <n v="1722"/>
    <s v="Altoona"/>
    <s v="Tajanae Miller"/>
    <s v="3590 PRAIRIE FIRE NW"/>
    <s v="ALTOONA"/>
    <s v="IA"/>
    <s v="50009"/>
    <s v="(515) 978-8988"/>
    <s v="$9.99 all plans 1 mo."/>
    <s v="D01"/>
    <m/>
    <m/>
  </r>
  <r>
    <s v="IA-Des Moines"/>
    <n v="801"/>
    <s v="1724"/>
    <n v="1724"/>
    <s v="Hickman"/>
    <s v="Savhannah White"/>
    <s v="555 E HICKMAN RD"/>
    <s v="WAUKEE"/>
    <s v="IA"/>
    <s v="50263"/>
    <s v="(515) 207-6522"/>
    <s v="$9.99 all plans 1 mo."/>
    <s v="D01"/>
    <m/>
    <m/>
  </r>
  <r>
    <s v="ID-Boise"/>
    <n v="800"/>
    <s v="0501"/>
    <n v="501"/>
    <s v="Fairview"/>
    <s v="Mikel Hart"/>
    <s v="5950 FAIRVIEW AVENUE"/>
    <s v="BOISE"/>
    <s v="ID"/>
    <s v="83704"/>
    <s v="(208) 322-5950"/>
    <s v="$9.99 all plans 1 mo."/>
    <s v="D03"/>
    <m/>
    <m/>
  </r>
  <r>
    <s v="ID-Boise"/>
    <n v="800"/>
    <s v="0506"/>
    <n v="506"/>
    <s v="Meridian"/>
    <s v="Hector Hinojosa"/>
    <s v="3296 E PINE AVE"/>
    <s v="MERIDIAN"/>
    <s v="ID"/>
    <s v="83642"/>
    <s v="(208) 895-8077"/>
    <s v="$9.99 all plans 1 mo."/>
    <s v="D03"/>
    <m/>
    <m/>
  </r>
  <r>
    <s v="ID-Boise"/>
    <n v="800"/>
    <s v="1509"/>
    <n v="1509"/>
    <s v="Milano"/>
    <s v="Ashley Marten"/>
    <s v="4891 N CORTONA WAY"/>
    <s v="MERIDIAN"/>
    <s v="ID"/>
    <s v="83646"/>
    <s v="(208) 202-5469"/>
    <s v="$9.99 all plans 1 mo."/>
    <s v="D03"/>
    <m/>
    <m/>
  </r>
  <r>
    <s v="ID-Boise"/>
    <n v="800"/>
    <s v="1510"/>
    <n v="1510"/>
    <s v="Progress Ave"/>
    <s v="Shane Ford"/>
    <s v="675 S PROGRESS AVE"/>
    <s v="MERIDIAN"/>
    <s v="ID"/>
    <s v="83642"/>
    <s v="(208) 297-3240"/>
    <s v="$9.99 all plans 1 mo."/>
    <s v="D03"/>
    <m/>
    <m/>
  </r>
  <r>
    <s v="MD-Baltimore"/>
    <n v="801"/>
    <s v="0652"/>
    <n v="652"/>
    <s v="Severna"/>
    <s v="Joseph Green"/>
    <s v="8562 VETERANS HIGHWAY"/>
    <s v="MILLERSVILLE"/>
    <s v="MD"/>
    <s v="21108"/>
    <s v="(410) 729-9274"/>
    <s v="50% off all plan 1 mo."/>
    <s v="E07"/>
    <m/>
    <m/>
  </r>
  <r>
    <s v="MI-Detroit"/>
    <n v="801"/>
    <s v="1474"/>
    <n v="1474"/>
    <s v="Ford Rd"/>
    <s v="Kaitlin Cole"/>
    <s v="2104 HAGGERTY ROAD N"/>
    <s v="CANTON"/>
    <s v="MI"/>
    <s v="48187"/>
    <s v="(734) 238-3088"/>
    <s v="All Plans PoR 1 mo."/>
    <s v="10F-104"/>
    <m/>
    <m/>
  </r>
  <r>
    <s v="MI-Detroit"/>
    <n v="810"/>
    <s v="1495"/>
    <n v="1495"/>
    <s v="Latson"/>
    <s v="Travis Adle"/>
    <s v="1015 S LATSON RD"/>
    <s v="HOWELL"/>
    <s v="MI"/>
    <s v="48843"/>
    <s v="(517) 225-6675"/>
    <s v="All Plans PoR 1 mo."/>
    <s v="10F-101"/>
    <m/>
    <m/>
  </r>
  <r>
    <s v="MI-Detroit"/>
    <n v="810"/>
    <s v="2537"/>
    <n v="2537"/>
    <s v="New Baltimore"/>
    <s v="Chris Gallup"/>
    <s v="29300 23 MILE RD"/>
    <s v="NEW BALTIMORE"/>
    <s v="MI"/>
    <s v="48047"/>
    <s v="(586) 210-6765"/>
    <s v="All Plans PoR 1 mo."/>
    <s v="10F-104"/>
    <m/>
    <m/>
  </r>
  <r>
    <s v="MI-Detroit"/>
    <n v="810"/>
    <s v="2538"/>
    <n v="2538"/>
    <s v="Clarkston"/>
    <s v="Sara Kangas"/>
    <s v="6440 DIXIE HWY"/>
    <s v="CLARKSTON"/>
    <s v="MI"/>
    <s v="48346"/>
    <s v="(248) 605-0440"/>
    <s v="All Plans PoR 1 mo."/>
    <s v="10F-104"/>
    <m/>
    <m/>
  </r>
  <r>
    <s v="MI-Detroit"/>
    <n v="810"/>
    <s v="2554"/>
    <n v="2554"/>
    <s v="Waterford"/>
    <s v="Nicholas Roy"/>
    <s v="4187 HIGHLAND RD"/>
    <s v="WATERFORD TWP"/>
    <s v="MI"/>
    <s v="48328"/>
    <s v="(248) 599-1820"/>
    <s v="All Plans PoR 1 mo."/>
    <s v="10F-104"/>
    <m/>
    <m/>
  </r>
  <r>
    <s v="MI-Detroit"/>
    <n v="810"/>
    <s v="2567"/>
    <n v="2567"/>
    <s v="Mount Clemens"/>
    <s v="Cole Stevens"/>
    <s v="54 N GROESBECK HWY"/>
    <s v="MOUNT CLEMENS"/>
    <s v="MI"/>
    <s v="48043"/>
    <s v="(586) 307-5050"/>
    <s v="All Plans PoR 1 mo."/>
    <s v="10F-104"/>
    <m/>
    <m/>
  </r>
  <r>
    <s v="MI-Grand Rapids"/>
    <n v="810"/>
    <s v="1473"/>
    <n v="1473"/>
    <s v="Holland"/>
    <s v="Kaitlyn Rimes"/>
    <s v="594 E 16TH ST"/>
    <s v="HOLLAND"/>
    <s v="MI"/>
    <s v="49423"/>
    <s v="(616) 377-4006"/>
    <s v="$10 all plans 3 mos."/>
    <s v="A01"/>
    <m/>
    <m/>
  </r>
  <r>
    <s v="MI-Grand Rapids"/>
    <n v="810"/>
    <s v="2570"/>
    <n v="2570"/>
    <s v="Argyle"/>
    <s v="Cole Hubbell"/>
    <s v="951 N WEST AVE"/>
    <s v="JACKSON"/>
    <s v="MI"/>
    <s v="49202"/>
    <s v="(517) 265-4365"/>
    <s v="All Plans PoR 1 mo."/>
    <s v="10F-101"/>
    <m/>
    <m/>
  </r>
  <r>
    <s v="MI-Saginaw"/>
    <n v="810"/>
    <s v="1464"/>
    <n v="1464"/>
    <s v="Saginaw"/>
    <s v="Ashley Wallace"/>
    <s v="1214 S SAGINAW RD"/>
    <s v="MIDLAND"/>
    <s v="MI"/>
    <s v="48640"/>
    <s v="(989) 631-2642"/>
    <s v="$5, $10, $15"/>
    <s v="C01"/>
    <m/>
    <m/>
  </r>
  <r>
    <s v="MI-Saginaw"/>
    <n v="810"/>
    <s v="1467"/>
    <n v="1467"/>
    <s v="Bay Road"/>
    <s v="Collin VanDorn"/>
    <s v="3475 BAY ROAD"/>
    <s v="SAGINAW"/>
    <s v="MI"/>
    <s v="48603"/>
    <s v="(989) 497-0000"/>
    <s v="$5, $10, $15"/>
    <s v="C01"/>
    <m/>
    <m/>
  </r>
  <r>
    <s v="MI-Saginaw"/>
    <n v="810"/>
    <s v="1468"/>
    <n v="1468"/>
    <s v="Lawndale"/>
    <s v="Dani Tickner"/>
    <s v="6075 STATE STREET"/>
    <s v="SAGINAW"/>
    <s v="MI"/>
    <s v="48603"/>
    <s v="(989) 249-1589"/>
    <s v="$5, $10, $15"/>
    <s v="C01"/>
    <m/>
    <m/>
  </r>
  <r>
    <s v="MN-Minneapolis/Rochester"/>
    <n v="801"/>
    <s v="0609"/>
    <n v="609"/>
    <s v="Anoka"/>
    <s v="Dalton Bliss"/>
    <s v="700 EAST RIVER ROAD"/>
    <s v="ANOKA"/>
    <s v="MN"/>
    <s v="55303"/>
    <s v="(763) 427-1860"/>
    <s v="$9.99 all plans 1 mo."/>
    <s v="D02"/>
    <m/>
    <m/>
  </r>
  <r>
    <s v="MN-Minneapolis/Rochester"/>
    <n v="801"/>
    <s v="0803"/>
    <n v="803"/>
    <s v="River Road"/>
    <s v="Tasha Carlson"/>
    <s v="3939 WEST RIVER PKWY NW"/>
    <s v="ROCHESTER"/>
    <s v="MN"/>
    <s v="55901"/>
    <s v="(507) 280-9049"/>
    <s v="$9.99 all plans 1 mo."/>
    <s v="D01"/>
    <m/>
    <m/>
  </r>
  <r>
    <s v="MN-Minneapolis/Rochester"/>
    <n v="801"/>
    <s v="1606"/>
    <n v="1606"/>
    <s v="Duluth Heights"/>
    <s v="Jason Hanratty"/>
    <s v="604 W CENTRAL ENTRANCE"/>
    <s v="DULUTH"/>
    <s v="MN"/>
    <s v="55811"/>
    <s v="(218) 461-0919"/>
    <s v="$9.99 all plans 1 mo."/>
    <s v="D02"/>
    <m/>
    <m/>
  </r>
  <r>
    <s v="MN-Minneapolis/Rochester"/>
    <n v="800"/>
    <s v="1607"/>
    <n v="1607"/>
    <s v="Riverside"/>
    <s v="Cleevon Brown"/>
    <s v="1604 CROSSINGS LOOP"/>
    <s v="SAINT CLOUD"/>
    <s v="MN"/>
    <s v="56303"/>
    <s v="(320) 247-6270"/>
    <s v="$9.99 all plans 1 mo."/>
    <s v="D02"/>
    <m/>
    <m/>
  </r>
  <r>
    <s v="MN-Minneapolis/Rochester"/>
    <n v="801"/>
    <s v="1609"/>
    <n v="1609"/>
    <s v="Ulysses"/>
    <s v="Nick Haas"/>
    <s v="12311 ULYSSES ST NE"/>
    <s v="BLAINE"/>
    <s v="MN"/>
    <s v="55434"/>
    <s v="(763) 328-0266"/>
    <s v="$9.99 all plans 1 mo."/>
    <s v="D02"/>
    <m/>
    <m/>
  </r>
  <r>
    <s v="MN-Minneapolis/Rochester"/>
    <n v="801"/>
    <s v="1613"/>
    <n v="1613"/>
    <s v="Jefferson Hwy"/>
    <s v="Scott Baanrud"/>
    <s v="12218 BUSINESS PARK BLVD N"/>
    <s v="CHAMPLIN"/>
    <s v="MN"/>
    <s v="55316"/>
    <s v="(763) 220-8489"/>
    <s v="$9.99 all plans 1 mo."/>
    <s v="D02"/>
    <m/>
    <m/>
  </r>
  <r>
    <s v="MN-Minneapolis/Rochester"/>
    <n v="801"/>
    <s v="1614"/>
    <n v="1614"/>
    <s v="Fridley"/>
    <s v="Jenny Rouse"/>
    <s v="7699 HWY 65 NE"/>
    <s v="FRIDLEY"/>
    <s v="MN"/>
    <s v="55432"/>
    <s v="(763) 220-8791"/>
    <s v="$9.99 all plans 1 mo."/>
    <s v="D02"/>
    <m/>
    <m/>
  </r>
  <r>
    <s v="MN-Minneapolis/Rochester"/>
    <n v="801"/>
    <s v="1615"/>
    <n v="1615"/>
    <s v="Voyageur"/>
    <s v="Kass Teahan"/>
    <s v="222 LINCOLN AVE SE"/>
    <s v="SAINT CLOUD"/>
    <s v="MN"/>
    <s v="56304"/>
    <s v="(320) 200-0389"/>
    <s v="$9.99 all plans 1 mo."/>
    <s v="D02"/>
    <m/>
    <m/>
  </r>
  <r>
    <s v="MN-Minneapolis/Rochester"/>
    <n v="801"/>
    <s v="1619"/>
    <n v="1619"/>
    <s v="Maplewood"/>
    <s v="Leah Goodson"/>
    <s v="3050 WHITE BEAR AVE"/>
    <s v="MAPLEWOOD"/>
    <s v="MN"/>
    <s v="55109"/>
    <s v="(612) 444-6510"/>
    <s v="$9.99 all plans 1 mo."/>
    <s v="D02"/>
    <m/>
    <m/>
  </r>
  <r>
    <s v="MN-Minneapolis/Rochester"/>
    <n v="801"/>
    <s v="1622"/>
    <n v="1622"/>
    <s v="Springbrook"/>
    <s v="Parker Munn"/>
    <s v="8501 SPRINGBROOK DR"/>
    <s v="COON RAPIDS"/>
    <s v="MN"/>
    <s v="55433"/>
    <s v="(612) 238-1455"/>
    <s v="$9.99 all plans 1 mo."/>
    <s v="D02"/>
    <m/>
    <m/>
  </r>
  <r>
    <s v="MN-Minneapolis/Rochester"/>
    <n v="801"/>
    <s v="2561"/>
    <n v="2561"/>
    <s v="Stillwater"/>
    <s v="Carlos Mejia Rivas"/>
    <s v="14100 60TH STREET N"/>
    <s v="STILLWATER"/>
    <s v="MN"/>
    <s v="55082"/>
    <s v="(651) 300-6755"/>
    <s v="$9.99 all plans 1 mo."/>
    <s v="D02"/>
    <m/>
    <m/>
  </r>
  <r>
    <s v="MN-Minneapolis/Rochester"/>
    <n v="801"/>
    <s v="2568"/>
    <n v="2568"/>
    <s v="Arden Hills"/>
    <s v="Vanessa Pumper"/>
    <s v="3751 LEXINGTON AVE N"/>
    <s v="ARDEN HILLS"/>
    <s v="MN"/>
    <s v="55126"/>
    <s v="(612) 405-5612"/>
    <s v="$9.99 all plans 1 mo."/>
    <s v="D02"/>
    <m/>
    <m/>
  </r>
  <r>
    <s v="MN-Minneapolis/Rochester"/>
    <n v="801"/>
    <s v="2580"/>
    <n v="2580"/>
    <s v="Onalaska"/>
    <s v="Walter Stavroplus"/>
    <s v="3850 WI-16"/>
    <s v="LA CROSSE"/>
    <s v="WI"/>
    <s v="54601"/>
    <s v="(608) 433-0884"/>
    <s v="$9.99 all plans 1 mo."/>
    <s v="D02"/>
    <m/>
    <m/>
  </r>
  <r>
    <s v="MO-Springfield"/>
    <n v="801"/>
    <s v="0751"/>
    <n v="751"/>
    <s v="Battlefield"/>
    <s v="Brett Bischoff"/>
    <s v="1240 E BATTLEFIELD ST"/>
    <s v="SPRINGFIELD"/>
    <s v="MO"/>
    <s v="65804"/>
    <s v="(417) 881-0435"/>
    <s v="All Plans PoR 1 mo."/>
    <s v="8F-304"/>
    <m/>
    <m/>
  </r>
  <r>
    <s v="MO-Springfield"/>
    <n v="801"/>
    <s v="0752"/>
    <n v="752"/>
    <s v="Sunshine"/>
    <s v="August Clark"/>
    <s v="2323 E SUNSHINE ST"/>
    <s v="SPRINGFIELD"/>
    <s v="MO"/>
    <s v="65804"/>
    <s v="(417) 883-4999"/>
    <s v="All Plans PoR 1 mo."/>
    <s v="8F-304"/>
    <m/>
    <m/>
  </r>
  <r>
    <s v="MO-Springfield"/>
    <n v="801"/>
    <s v="0753"/>
    <n v="753"/>
    <s v="Campbell"/>
    <s v="Jacob Watkins"/>
    <s v="4115 S CAMPBELL AVE"/>
    <s v="SPRINGFIELD"/>
    <s v="MO"/>
    <s v="65807"/>
    <s v="(417) 886-8570"/>
    <s v="All Plans PoR 1 mo."/>
    <s v="8F-304"/>
    <m/>
    <m/>
  </r>
  <r>
    <s v="MO-Springfield"/>
    <n v="801"/>
    <s v="0754"/>
    <n v="754"/>
    <s v="Glenstone"/>
    <s v="Brett Carter"/>
    <s v="1146 S GLENSTONE AVE"/>
    <s v="SPRINGFIELD"/>
    <s v="MO"/>
    <s v="65804-0314"/>
    <s v="(417) 201-5177"/>
    <s v="All Plans PoR 1 mo."/>
    <s v="8F-304"/>
    <m/>
    <m/>
  </r>
  <r>
    <s v="MO-Springfield"/>
    <n v="801"/>
    <s v="0755"/>
    <n v="755"/>
    <s v="S Cox"/>
    <s v="Curtis Lohkamp"/>
    <s v="1820 W BATTLEFIELD RD"/>
    <s v="SPRINGFIELD"/>
    <s v="MO"/>
    <s v="65807-4112"/>
    <s v="(417) 201-5178"/>
    <s v="All Plans PoR 1 mo."/>
    <s v="8F-304"/>
    <m/>
    <m/>
  </r>
  <r>
    <s v="MO-Springfield"/>
    <n v="801"/>
    <s v="0757"/>
    <n v="757"/>
    <s v="Kansas Expressway"/>
    <s v="Brittany McClelland"/>
    <s v="1737 SOUTH KANSAS EXPRESSWAY"/>
    <s v="SPRINGFIELD"/>
    <s v="MO"/>
    <s v="65807"/>
    <s v="(417) 831-8072"/>
    <s v="All Plans PoR 1 mo."/>
    <s v="8F-304"/>
    <m/>
    <m/>
  </r>
  <r>
    <s v="MO-Springfield"/>
    <n v="801"/>
    <s v="1751"/>
    <n v="1751"/>
    <s v="Mill St"/>
    <s v="Brandon Newton"/>
    <s v="350 N EASTGATE AVE"/>
    <s v="SPRINGFIELD"/>
    <s v="MO"/>
    <s v="65802"/>
    <s v="(417) 708-7205"/>
    <s v="All Plans PoR 1 mo."/>
    <s v="8F-304"/>
    <m/>
    <m/>
  </r>
  <r>
    <s v="MO-Springfield"/>
    <n v="801"/>
    <s v="1752"/>
    <n v="1752"/>
    <s v="Route 66"/>
    <s v="Hannah Thomas"/>
    <s v="1521 WEST TURNER STREET"/>
    <s v="SPRINGFIELD"/>
    <s v="MO"/>
    <s v="65804"/>
    <s v="(417) 812-8488"/>
    <s v="All Plans PoR 1 mo."/>
    <s v="8F-304"/>
    <m/>
    <m/>
  </r>
  <r>
    <s v="MO-Springfield"/>
    <n v="801"/>
    <s v="2518"/>
    <n v="2518"/>
    <s v="Republic"/>
    <s v="Trent Baker"/>
    <s v="1358 US HWY 60"/>
    <s v="REPUBLIC"/>
    <s v="MO"/>
    <s v="65738"/>
    <s v="(417) 233-1217"/>
    <s v="All Plans PoR 1 mo."/>
    <s v="8F-304"/>
    <m/>
    <m/>
  </r>
  <r>
    <s v="MS-Jackson"/>
    <n v="815"/>
    <s v="0861"/>
    <n v="861"/>
    <s v="Ridgeland"/>
    <s v="Brian Magee"/>
    <s v="110 LAKE HARBOUR DR"/>
    <s v="RIDGELAND"/>
    <s v="MS"/>
    <s v="39157"/>
    <s v="(601) 898-8811"/>
    <s v="$9.99 all plans 1 mo."/>
    <s v="8D-05"/>
    <m/>
    <m/>
  </r>
  <r>
    <s v="MS-Jackson"/>
    <n v="815"/>
    <s v="0864"/>
    <n v="864"/>
    <s v="Hwy 39"/>
    <s v="Teia Hopson"/>
    <s v="1716 HWY 39"/>
    <s v="MERIDIAN"/>
    <s v="MS"/>
    <s v="39301"/>
    <s v="(601) 286-3123"/>
    <s v="$9.99 all plans 1 mo."/>
    <s v="8D-05"/>
    <m/>
    <m/>
  </r>
  <r>
    <s v="MS-Jackson"/>
    <n v="815"/>
    <s v="0865"/>
    <n v="865"/>
    <s v="Lakeland"/>
    <s v="Chris Large"/>
    <s v="3510 LAKELAND DR"/>
    <s v="FLOWOOD"/>
    <s v="MS"/>
    <s v="39232"/>
    <s v="(769) 230-4099"/>
    <s v="$9.99 all plans 1 mo."/>
    <s v="8D-05"/>
    <m/>
    <m/>
  </r>
  <r>
    <s v="MS-Jackson"/>
    <n v="815"/>
    <s v="0866"/>
    <n v="866"/>
    <s v="Meadowbrook"/>
    <s v="Brittany Robbins"/>
    <s v="240 MEADOWBROOK RD"/>
    <s v="JACKSON"/>
    <s v="MS"/>
    <s v="39206"/>
    <s v="(601) 321-9001"/>
    <s v="$9.99 all plans 1 mo."/>
    <s v="8D-05"/>
    <m/>
    <m/>
  </r>
  <r>
    <s v="MS-Jackson"/>
    <n v="815"/>
    <s v="0868"/>
    <n v="868"/>
    <s v="Richland"/>
    <s v="Jayla Neal"/>
    <s v="109 E HARPER ST"/>
    <s v="RICHLAND"/>
    <s v="MS"/>
    <s v="39218"/>
    <s v="(601) 215-8030"/>
    <s v="$9.99 all plans 1 mo."/>
    <s v="8D-05"/>
    <m/>
    <m/>
  </r>
  <r>
    <s v="NM-Albuquerque"/>
    <n v="806"/>
    <s v="0398"/>
    <n v="398"/>
    <s v="Valencia"/>
    <s v="Sonia Torres Diaz"/>
    <s v="6016 CENTRAL AVE SE"/>
    <s v="ALBUQUERQUE"/>
    <s v="NM"/>
    <s v="87108"/>
    <s v="(505) 639-4375"/>
    <s v="50% off all plan 1 mo."/>
    <s v="E01"/>
    <m/>
    <m/>
  </r>
  <r>
    <s v="NM-Albuquerque"/>
    <n v="806"/>
    <s v="0399"/>
    <n v="399"/>
    <s v="Homestead"/>
    <s v="Brandon Hernandez"/>
    <s v="4200 SAN MATEO BLVD NE"/>
    <s v="ALBUQUERQUE"/>
    <s v="NM"/>
    <s v="87102"/>
    <s v="(505) 207-6802"/>
    <s v="50% off all plan 1 mo."/>
    <s v="E01"/>
    <m/>
    <m/>
  </r>
  <r>
    <s v="NM-Albuquerque"/>
    <n v="806"/>
    <s v="1394"/>
    <n v="1394"/>
    <s v="Gibson"/>
    <s v="Isaiah Barraza-Martinez"/>
    <s v="2020 GIBSON BLVD SE"/>
    <s v="ALBUQUERQUE"/>
    <s v="NM"/>
    <s v="87106"/>
    <s v="(505) 532-4200"/>
    <s v="50% off all plan 1 mo."/>
    <s v="E01"/>
    <m/>
    <m/>
  </r>
  <r>
    <s v="NM-Albuquerque"/>
    <n v="806"/>
    <s v="1395"/>
    <n v="1395"/>
    <s v="Southern"/>
    <s v="David Loera"/>
    <s v="2410 SOUTHERN BLVD SE"/>
    <s v="RIO RANCHO"/>
    <s v="NM"/>
    <s v="87124"/>
    <s v="(505) 532-4282"/>
    <s v="50% off all plan 1 mo."/>
    <s v="E01"/>
    <m/>
    <m/>
  </r>
  <r>
    <s v="NM-Albuquerque"/>
    <n v="806"/>
    <s v="2502"/>
    <n v="2502"/>
    <s v="Fiesta Park"/>
    <s v="Michelle Ward"/>
    <s v="4709 ALAMEDA BLVD NE"/>
    <s v="ALBUQUERQUE"/>
    <s v="NM"/>
    <s v="87113"/>
    <s v="(505) 273-8336"/>
    <s v="50% off all plan 1 mo."/>
    <s v="E01"/>
    <m/>
    <m/>
  </r>
  <r>
    <s v="NM-Albuquerque"/>
    <n v="806"/>
    <s v="2504"/>
    <n v="2504"/>
    <s v="Montoya"/>
    <s v="Jennae Gomez"/>
    <s v="7941 MONTOYA RD"/>
    <s v="RIO RANCHO"/>
    <s v="NM"/>
    <s v="87144"/>
    <s v="(505) 814-0056"/>
    <s v="50% off all plan 1 mo."/>
    <s v="E01"/>
    <m/>
    <m/>
  </r>
  <r>
    <s v="PA-Lancaster/Reading"/>
    <n v="801"/>
    <s v="1686"/>
    <n v="1686"/>
    <s v="Lincoln Hwy"/>
    <s v="Patrick Billet"/>
    <s v="2175 LINCOLN HWY"/>
    <s v="LANCASTER"/>
    <s v="PA"/>
    <s v="17602"/>
    <s v="(717) 553-0443"/>
    <s v="$9.99 all plans 1 mo."/>
    <s v="D06"/>
    <m/>
    <m/>
  </r>
  <r>
    <s v="PA-Lancaster/Reading"/>
    <n v="801"/>
    <s v="1687"/>
    <n v="1687"/>
    <s v="Jonestown"/>
    <s v="Nathaniel Tress"/>
    <s v="5390 JONESTOWN ROAD"/>
    <s v="HARRISBURG"/>
    <s v="PA"/>
    <s v="17112"/>
    <s v="(717) 836-0884"/>
    <s v="$9.99 all plans 1 mo."/>
    <s v="D06"/>
    <m/>
    <m/>
  </r>
  <r>
    <s v="TN-Nashville/Clarksville"/>
    <n v="816"/>
    <s v="0832"/>
    <n v="832"/>
    <s v="Hermitage"/>
    <s v="Harley Pettis"/>
    <s v="4841 LEBANON PIKE"/>
    <s v="HERMITAGE"/>
    <s v="TN"/>
    <s v="37076"/>
    <s v="(615) 889-4889"/>
    <s v="50% off all plan 1 mo."/>
    <s v="E01"/>
    <m/>
    <m/>
  </r>
  <r>
    <s v="TN-Nashville/Clarksville"/>
    <n v="816"/>
    <s v="0834"/>
    <n v="834"/>
    <s v="Columbia Tn"/>
    <s v="Eric Graham"/>
    <s v="403 SOUTH JAMES CAMPBELL BLVD"/>
    <s v="COLUMBIA"/>
    <s v="TN"/>
    <s v="38401"/>
    <s v="(931) 388-3360"/>
    <s v="50% off all plan 1 mo."/>
    <s v="E01"/>
    <m/>
    <m/>
  </r>
  <r>
    <s v="TN-Nashville/Clarksville"/>
    <n v="816"/>
    <s v="0835"/>
    <n v="835"/>
    <s v="Lavergne"/>
    <s v="Sharline Jusino"/>
    <s v="4201 HURRICANE CREEK BLVD"/>
    <s v="ANTIOCH"/>
    <s v="TN"/>
    <s v="37013"/>
    <s v="(615) 641-6228"/>
    <s v="50% off all plan 1 mo."/>
    <s v="E01"/>
    <m/>
    <m/>
  </r>
  <r>
    <s v="TN-Nashville/Clarksville"/>
    <n v="816"/>
    <s v="0837"/>
    <n v="837"/>
    <s v="Highway 96"/>
    <s v="Brendan Stubblefield"/>
    <s v="3320 FRANKLIN RD"/>
    <s v="MURFREESBORO"/>
    <s v="TN"/>
    <s v="37128"/>
    <s v="(615) 896-7550"/>
    <s v="50% off all plan 1 mo."/>
    <s v="E01"/>
    <m/>
    <m/>
  </r>
  <r>
    <s v="TN-Nashville/Clarksville"/>
    <n v="816"/>
    <s v="0844"/>
    <n v="844"/>
    <s v="Dunbar Cave"/>
    <s v="Kelci Crider"/>
    <s v="1820 WILMA RUDOLPH BLVD"/>
    <s v="CLARKSVILLE"/>
    <s v="TN"/>
    <s v="37040-6089"/>
    <s v="(931) 648-1333"/>
    <s v="50% off all plan 1 mo."/>
    <s v="E01"/>
    <m/>
    <m/>
  </r>
  <r>
    <s v="TN-Nashville/Clarksville"/>
    <n v="816"/>
    <s v="0846"/>
    <n v="846"/>
    <s v="Dover Crossing"/>
    <s v="Nicholas Raines"/>
    <s v="30 DOVER CROSSING RD"/>
    <s v="CLARKSVILLE"/>
    <s v="TN"/>
    <s v="37042-4111"/>
    <s v="(931) 542-2625"/>
    <s v="50% off all plan 1 mo."/>
    <s v="E01"/>
    <m/>
    <m/>
  </r>
  <r>
    <s v="TN-Nashville/Clarksville"/>
    <n v="816"/>
    <s v="0847"/>
    <n v="847"/>
    <s v="Carver Lane"/>
    <s v="Kyle Whitworth"/>
    <s v="1555 WEST MAIN ST"/>
    <s v="LEBANON"/>
    <s v="TN"/>
    <s v="37087"/>
    <s v="(615) 547-3710"/>
    <s v="50% off all plan 1 mo."/>
    <s v="E01"/>
    <m/>
    <m/>
  </r>
  <r>
    <s v="TX-Austin"/>
    <n v="806"/>
    <s v="0306"/>
    <n v="306"/>
    <s v="Round Rock"/>
    <s v="Nick Taylor"/>
    <s v="2720 S INTERSTATE 35"/>
    <s v="ROUND ROCK"/>
    <s v="TX"/>
    <s v="78681"/>
    <s v="(512) 218-4000"/>
    <s v="$15 off all plans 1 mo."/>
    <s v="B01"/>
    <m/>
    <m/>
  </r>
  <r>
    <s v="TX-Austin"/>
    <n v="806"/>
    <s v="0308"/>
    <n v="308"/>
    <s v="Whitestone"/>
    <s v="Tyree Johnson"/>
    <s v="1501 W WHITESTONE BLVD"/>
    <s v="CEDAR PARK"/>
    <s v="TX"/>
    <s v="78613"/>
    <s v="(512) 904-9786"/>
    <s v="$15 off all plans 1 mo."/>
    <s v="B01"/>
    <m/>
    <m/>
  </r>
  <r>
    <s v="TX-Austin"/>
    <n v="806"/>
    <s v="0309"/>
    <n v="309"/>
    <s v="Gattis"/>
    <s v="David Lesley"/>
    <s v="1821 GATTIS SCHOOL RD"/>
    <s v="ROUND ROCK"/>
    <s v="TX"/>
    <s v="78664"/>
    <s v="(512) 218-1236"/>
    <s v="$15 off all plans 1 mo."/>
    <s v="B01"/>
    <m/>
    <m/>
  </r>
  <r>
    <s v="TX-Austin"/>
    <n v="806"/>
    <s v="0318"/>
    <n v="318"/>
    <s v="Oakwood Blvd"/>
    <s v="David Lesley"/>
    <s v="2000 ROUND ROCK AVE"/>
    <s v="ROUND ROCK"/>
    <s v="TX"/>
    <s v="78681"/>
    <s v="(512) 428-5855"/>
    <s v="$15 off all plans 1 mo."/>
    <s v="B01"/>
    <m/>
    <m/>
  </r>
  <r>
    <s v="TX-El Paso"/>
    <n v="806"/>
    <s v="1351"/>
    <n v="1351"/>
    <s v="Pellicano"/>
    <s v="Lanie Martinez"/>
    <s v="12400 PELLICANO DRIVE"/>
    <s v="EL PASO"/>
    <s v="TX"/>
    <s v="79928"/>
    <s v="(915) 895-5040"/>
    <s v="All Plans PoR 1 mo."/>
    <s v="10F-101"/>
    <m/>
    <m/>
  </r>
  <r>
    <s v="TX-El Paso"/>
    <n v="806"/>
    <s v="1361"/>
    <n v="1361"/>
    <s v="Turner"/>
    <s v="Miguel Madrid"/>
    <s v="3689 GEORGE DIETER"/>
    <s v="EL PASO"/>
    <s v="TX"/>
    <s v="79936"/>
    <s v="(915) 344-7176"/>
    <s v="All Plans PoR 1 mo."/>
    <s v="10F-101"/>
    <m/>
    <m/>
  </r>
  <r>
    <s v="TX-El Paso"/>
    <n v="806"/>
    <s v="2546"/>
    <n v="2546"/>
    <s v="Justice"/>
    <s v="Helder Hernandez"/>
    <s v="12253 MONTANA AVE"/>
    <s v="EL PASO"/>
    <s v="TX"/>
    <s v="79938"/>
    <s v="(915) 206-4515"/>
    <s v="All Plans PoR 1 mo."/>
    <s v="10F-101"/>
    <m/>
    <m/>
  </r>
  <r>
    <s v="TX-Houston"/>
    <n v="804"/>
    <s v="0015"/>
    <n v="15"/>
    <s v="Upper Kirby"/>
    <s v="Chris Buckles"/>
    <s v="5102 KIRBY RD"/>
    <s v="HOUSTON"/>
    <s v="TX"/>
    <s v="77098"/>
    <s v="(281) 747-5771"/>
    <s v="All Plans PoR 1 mo."/>
    <s v="10F-101"/>
    <m/>
    <m/>
  </r>
  <r>
    <s v="TX-Houston"/>
    <n v="804"/>
    <s v="0016"/>
    <n v="16"/>
    <s v="Mason Road"/>
    <s v="Andrew Diaz"/>
    <s v="1144 SOUTH MASON RD"/>
    <s v="KATY"/>
    <s v="TX"/>
    <s v="77450"/>
    <s v="(832) 678-3060"/>
    <s v="All Plans PoR 1 mo."/>
    <s v="10F-101"/>
    <m/>
    <m/>
  </r>
  <r>
    <s v="TX-Houston"/>
    <n v="804"/>
    <s v="0017"/>
    <n v="17"/>
    <s v="Highway 6 North"/>
    <s v="David McHatton"/>
    <s v="5909 HIGHWAY 6 NORTH"/>
    <s v="HOUSTON"/>
    <s v="TX"/>
    <s v="77084"/>
    <s v="(832) 678-3101"/>
    <s v="All Plans PoR 1 mo."/>
    <s v="10F-101"/>
    <m/>
    <m/>
  </r>
  <r>
    <s v="TX-Houston"/>
    <n v="804"/>
    <s v="0020"/>
    <n v="20"/>
    <s v="Louetta"/>
    <s v="Brandon Robinson"/>
    <s v="7715 LOUETTA RD"/>
    <s v="SPRING"/>
    <s v="TX"/>
    <s v="77379"/>
    <s v="(832) 678-3104"/>
    <s v="All Plans PoR 1 mo."/>
    <s v="10F-101"/>
    <m/>
    <m/>
  </r>
  <r>
    <s v="TX-Houston"/>
    <n v="804"/>
    <s v="0029"/>
    <n v="29"/>
    <s v="Spring Green"/>
    <s v="Eustachio Gil"/>
    <s v="1726 SPRING GREEN BLVD-TRACT 5"/>
    <s v="KATY"/>
    <s v="TX"/>
    <s v="77494"/>
    <s v="(281) 742-9299"/>
    <s v="All Plans PoR 1 mo."/>
    <s v="10F-101"/>
    <m/>
    <m/>
  </r>
  <r>
    <s v="TX-Houston"/>
    <n v="805"/>
    <s v="0150"/>
    <n v="150"/>
    <s v="Perry Road"/>
    <s v="Matthew Machusko"/>
    <s v="9271 FM 1960 RD WEST"/>
    <s v="HOUSTON"/>
    <s v="TX"/>
    <s v="77070"/>
    <s v="(832) 536-1155"/>
    <s v="All Plans PoR 1 mo."/>
    <s v="10F-101"/>
    <m/>
    <m/>
  </r>
  <r>
    <s v="TX-Houston"/>
    <n v="804"/>
    <s v="1102"/>
    <n v="1102"/>
    <s v="Bliss Meadows"/>
    <s v="Kevin Cooper"/>
    <s v="5800 SPENCER HIGHWAY"/>
    <s v="PASADENA"/>
    <s v="TX"/>
    <s v="77505"/>
    <s v="(281) 982-1588"/>
    <s v="All Plans PoR 1 mo."/>
    <s v="10F-101"/>
    <m/>
    <m/>
  </r>
  <r>
    <s v="TX-Houston"/>
    <n v="804"/>
    <s v="1109"/>
    <n v="1109"/>
    <s v="Barker Cypress"/>
    <s v="Timothy Martinez"/>
    <s v="1210 BARKER CYPRESS RD"/>
    <s v="HOUSTON"/>
    <s v="TX"/>
    <s v="77084"/>
    <s v="(281) 752-6044"/>
    <s v="All Plans PoR 1 mo."/>
    <s v="10F-101"/>
    <m/>
    <m/>
  </r>
  <r>
    <s v="TX-Houston"/>
    <n v="804"/>
    <s v="1111"/>
    <n v="1111"/>
    <s v="Boudreaux Rd"/>
    <s v="Devin English"/>
    <s v="22302 KUYKENDAHL ROAD"/>
    <s v="SPRING"/>
    <s v="TX"/>
    <s v="77389"/>
    <s v="(281) 407-7101"/>
    <s v="All Plans PoR 1 mo."/>
    <s v="10F-101"/>
    <m/>
    <m/>
  </r>
  <r>
    <s v="TX-Houston"/>
    <n v="804"/>
    <s v="1112"/>
    <n v="1112"/>
    <s v="Magnolia"/>
    <s v="Clay Eddleman"/>
    <s v="13321 FM 1488"/>
    <s v="MAGNOLIA"/>
    <s v="TX"/>
    <s v="77354"/>
    <s v="(346) 248-6117"/>
    <s v="All Plans PoR 1 mo."/>
    <s v="10F-101"/>
    <m/>
    <m/>
  </r>
  <r>
    <s v="TX-Houston"/>
    <n v="804"/>
    <s v="1113"/>
    <n v="1113"/>
    <s v="Greenmoor Dr"/>
    <s v="Caleb Jones"/>
    <s v="28985 FM2978"/>
    <s v="MAGNOLIA"/>
    <s v="TX"/>
    <s v="77354"/>
    <s v="(281) 356-0124"/>
    <s v="All Plans PoR 1 mo."/>
    <s v="10F-101"/>
    <m/>
    <m/>
  </r>
  <r>
    <s v="TX-Houston"/>
    <n v="804"/>
    <s v="1114"/>
    <n v="1114"/>
    <s v="Pearland"/>
    <s v="Judith Nunez"/>
    <s v="1828 MAIN ST"/>
    <s v="PEARLAND"/>
    <s v="TX"/>
    <s v="77581"/>
    <s v="(281) 406-3887"/>
    <s v="All Plans PoR 1 mo."/>
    <s v="10F-101"/>
    <m/>
    <m/>
  </r>
  <r>
    <s v="TX-Houston"/>
    <n v="804"/>
    <s v="1117"/>
    <n v="1117"/>
    <s v="Fry"/>
    <s v="Isaac Avila"/>
    <s v="9502 FRY RD"/>
    <s v="CYPRESS"/>
    <s v="TX"/>
    <s v="77433"/>
    <s v="(346) 539-1030"/>
    <s v="All Plans PoR 1 mo."/>
    <s v="10F-101"/>
    <m/>
    <m/>
  </r>
  <r>
    <s v="TX-Killeen/Mesquite"/>
    <n v="814"/>
    <s v="0261"/>
    <n v="261"/>
    <s v="Mesquite Wash"/>
    <s v="Eric Flores"/>
    <s v="3205 N GALLOWAY"/>
    <s v="MESQUITE"/>
    <s v="TX"/>
    <s v="75150"/>
    <s v="(972) 613-1443"/>
    <s v="$9.99 all plans 1 mo."/>
    <s v="D01"/>
    <m/>
    <m/>
  </r>
  <r>
    <s v="TX-Killeen/Mesquite"/>
    <n v="807"/>
    <s v="0317"/>
    <n v="317"/>
    <s v="Stan Schlueter Loop"/>
    <s v="Jazmine Oden"/>
    <s v="3402 W STAN SCHLUETER LOOP"/>
    <s v="KILLEEN"/>
    <s v="TX"/>
    <s v="76549"/>
    <s v="(254) 232-0837"/>
    <s v="$5, $10, $15"/>
    <s v="C04"/>
    <m/>
    <m/>
  </r>
  <r>
    <s v="UT-Salt Lake City"/>
    <n v="800"/>
    <s v="0520"/>
    <n v="520"/>
    <s v="American Fork"/>
    <s v="Jayden Wilson"/>
    <s v="83 NORTH WEST STATE ROAD"/>
    <s v="AMERICAN FORK"/>
    <s v="UT"/>
    <s v="84003"/>
    <s v="(801) 756-9699"/>
    <s v="50% off all plan 1 mo."/>
    <s v="E03"/>
    <m/>
    <m/>
  </r>
  <r>
    <s v="UT-Salt Lake City"/>
    <n v="800"/>
    <s v="0521"/>
    <n v="521"/>
    <s v="Sandy"/>
    <s v="Gregory Menges"/>
    <s v="9534 SOUTH HIGHLAND DRIVE"/>
    <s v="SANDY"/>
    <s v="UT"/>
    <s v="84092"/>
    <s v="(801) 501-7777"/>
    <s v="50% off all plan 1 mo."/>
    <s v="E03"/>
    <m/>
    <m/>
  </r>
  <r>
    <s v="UT-Salt Lake City"/>
    <n v="800"/>
    <s v="0523"/>
    <n v="523"/>
    <s v="Bountiful"/>
    <s v="Karson Flint"/>
    <s v="305 W 500 S"/>
    <s v="BOUNTIFUL"/>
    <s v="UT"/>
    <s v="84010"/>
    <s v="(801) 292-3271"/>
    <s v="50% off all plan 1 mo."/>
    <s v="E03"/>
    <m/>
    <m/>
  </r>
  <r>
    <s v="UT-Salt Lake City"/>
    <n v="800"/>
    <s v="0527"/>
    <n v="527"/>
    <s v="West Jordan"/>
    <s v="Jazmyn Johannessen"/>
    <s v="1377 W 7800 SOUTH"/>
    <s v="WEST JORDAN"/>
    <s v="UT"/>
    <s v="84088"/>
    <s v="(801) 563-7939"/>
    <s v="50% off all plan 1 mo."/>
    <s v="E03"/>
    <m/>
    <m/>
  </r>
  <r>
    <s v="UT-Salt Lake City"/>
    <n v="800"/>
    <s v="0529"/>
    <n v="529"/>
    <s v="Layton"/>
    <s v="Samuel Kroon"/>
    <s v="1182 N MAIN ST"/>
    <s v="LAYTON"/>
    <s v="UT"/>
    <s v="84041"/>
    <s v="(801) 547-5007"/>
    <s v="50% off all plan 1 mo."/>
    <s v="E03"/>
    <m/>
    <m/>
  </r>
  <r>
    <s v="UT-Salt Lake City"/>
    <n v="800"/>
    <s v="0530"/>
    <n v="530"/>
    <s v="Draper"/>
    <s v="David Kyte"/>
    <s v="387 E 12300 S"/>
    <s v="DRAPER"/>
    <s v="UT"/>
    <s v="84020"/>
    <s v="(801) 495-3040"/>
    <s v="50% off all plan 1 mo."/>
    <s v="E03"/>
    <m/>
    <m/>
  </r>
  <r>
    <s v="UT-Salt Lake City"/>
    <n v="800"/>
    <s v="0533"/>
    <n v="533"/>
    <s v="Anthem"/>
    <s v="Kaeden Randak"/>
    <s v="5153 W ANTHEM PARK BLVD"/>
    <s v="HERRIMAN"/>
    <s v="UT"/>
    <s v="84096"/>
    <s v="(801) 938-4945"/>
    <s v="50% off all plan 1 mo."/>
    <s v="E03"/>
    <m/>
    <m/>
  </r>
  <r>
    <s v="UT-Salt Lake City"/>
    <n v="800"/>
    <s v="0536"/>
    <n v="536"/>
    <s v="Riverton"/>
    <s v="Joshua Sunder"/>
    <s v="4627 W 13400 SOUTH"/>
    <s v="RIVERTON"/>
    <s v="UT"/>
    <s v="84096"/>
    <s v="(385) 380-4664"/>
    <s v="50% off all plan 1 mo."/>
    <s v="E03"/>
    <m/>
    <m/>
  </r>
  <r>
    <s v="UT-Salt Lake City"/>
    <n v="800"/>
    <s v="1511"/>
    <n v="1511"/>
    <s v="West Valley"/>
    <s v="Eduardo Pena"/>
    <s v="2055 W 3500 S"/>
    <s v="WEST VALLEY CITY"/>
    <s v="UT"/>
    <s v="84119"/>
    <s v="(801) 528-3554"/>
    <s v="50% off all plan 1 mo."/>
    <s v="E03"/>
    <m/>
    <m/>
  </r>
  <r>
    <s v="UT-Salt Lake City"/>
    <n v="800"/>
    <s v="1512"/>
    <n v="1512"/>
    <s v="Hwy 89"/>
    <s v="Travis Brown"/>
    <s v="4181 S STATE ST"/>
    <s v="SALT LAKE CITY"/>
    <s v="UT"/>
    <s v="84107"/>
    <s v="(385) 313-9766"/>
    <s v="50% off all plan 1 mo."/>
    <s v="E03"/>
    <m/>
    <m/>
  </r>
  <r>
    <s v="UT-Salt Lake City"/>
    <n v="800"/>
    <s v="1513"/>
    <n v="1513"/>
    <s v="Redwood"/>
    <s v="Jose Soberanis Radilla"/>
    <s v="4681 S REDWOOD RD"/>
    <s v="TAYLORSVILLE"/>
    <s v="UT"/>
    <s v="84123"/>
    <s v="(385) 347-0093"/>
    <s v="50% off all plan 1 mo."/>
    <s v="E03"/>
    <m/>
    <m/>
  </r>
  <r>
    <s v="UT-Salt Lake City"/>
    <n v="800"/>
    <s v="1538"/>
    <n v="1538"/>
    <s v="Cherry Hill"/>
    <s v="Anderson Da Silva Leguizamon"/>
    <s v="1408 STATE ST"/>
    <s v="OREM"/>
    <s v="UT"/>
    <s v="84097"/>
    <s v="(385) 286-5733"/>
    <s v="50% off all plan 1 mo."/>
    <s v="E03"/>
    <m/>
    <m/>
  </r>
  <r>
    <s v="UT-Salt Lake City"/>
    <n v="800"/>
    <s v="1539"/>
    <n v="1539"/>
    <s v="Kaysville"/>
    <s v="Chandler Hollberg"/>
    <s v="165 WEST 200 NORTH"/>
    <s v="KAYSVILLE"/>
    <s v="UT"/>
    <s v="84037"/>
    <s v="(385) 262-3203"/>
    <s v="50% off all plan 1 mo."/>
    <s v="E03"/>
    <m/>
    <m/>
  </r>
  <r>
    <s v="UT-Salt Lake City"/>
    <n v="800"/>
    <s v="1541"/>
    <n v="1541"/>
    <s v="Vineyard"/>
    <s v="John Douglass"/>
    <s v="221 N GENEVA RD"/>
    <s v="OREM"/>
    <s v="UT"/>
    <s v="84059"/>
    <s v="(385) 204-3880"/>
    <s v="50% off all plan 1 mo."/>
    <s v="E03"/>
    <m/>
    <m/>
  </r>
  <r>
    <s v="UT-Salt Lake City"/>
    <n v="800"/>
    <s v="2559"/>
    <n v="2559"/>
    <s v="Syracuse"/>
    <s v="Gordon Sunder"/>
    <s v="1632 SOUTH 3000 W"/>
    <s v="SYRACUSE"/>
    <s v="UT"/>
    <s v="84075"/>
    <s v="(385) 367-5899"/>
    <s v="50% off all plan 1 mo."/>
    <s v="E03"/>
    <m/>
    <m/>
  </r>
  <r>
    <s v="WA-Spokane"/>
    <n v="800"/>
    <s v="1581"/>
    <n v="1581"/>
    <s v="Mcclellan"/>
    <s v="Timothy Mcbroom"/>
    <s v="202 W 3RD AVE"/>
    <s v="SPOKANE"/>
    <s v="WA"/>
    <s v="99201"/>
    <s v="(509) 508-3353"/>
    <s v="$9.99 all plans 1 mo."/>
    <s v="D01"/>
    <m/>
    <m/>
  </r>
  <r>
    <s v="WA-Spokane"/>
    <n v="800"/>
    <s v="2545"/>
    <n v="2545"/>
    <s v="Greenstone"/>
    <s v="Ahilin Arias"/>
    <s v="1740 E RENSHAW DRIVE"/>
    <s v="SPOKANE"/>
    <s v="WA"/>
    <s v="99218"/>
    <s v="(509) 798-0699"/>
    <s v="$9.99 all plans 1 mo."/>
    <s v="D01"/>
    <m/>
    <m/>
  </r>
  <r>
    <s v="WI-Madison/IL"/>
    <n v="810"/>
    <s v="0481"/>
    <n v="481"/>
    <s v="University Ave"/>
    <s v="Matthew Kirk"/>
    <s v="2202 UNIVERSITY AVE"/>
    <s v="MADISON"/>
    <s v="WI"/>
    <s v="53726"/>
    <s v="(608) 238-1111"/>
    <s v="$10 all plans 3 mos."/>
    <s v="G"/>
    <m/>
    <m/>
  </r>
  <r>
    <s v="WI-Madison/IL"/>
    <n v="810"/>
    <s v="0482"/>
    <n v="482"/>
    <s v="Washington"/>
    <s v="Elizabeth Berry"/>
    <s v="1039 E WASHINGTON AVE"/>
    <s v="MADISON"/>
    <s v="WI"/>
    <s v="53703"/>
    <s v="(608) 257-2929"/>
    <s v="$10 all plans 3 mos."/>
    <s v="G"/>
    <m/>
    <m/>
  </r>
  <r>
    <s v="WI-Madison/IL"/>
    <n v="810"/>
    <s v="0492"/>
    <n v="492"/>
    <s v="State St"/>
    <s v="Danielle Dolan"/>
    <s v="3708 E STATE ST"/>
    <s v="ROCKFORD"/>
    <s v="IL"/>
    <s v="61108"/>
    <s v="(815) 399-0219"/>
    <s v="$10 all plans 3 mos."/>
    <s v="G"/>
    <m/>
    <m/>
  </r>
  <r>
    <s v="WI-Madison/IL"/>
    <n v="810"/>
    <s v="1453"/>
    <n v="1453"/>
    <s v="Kimber"/>
    <s v="John Komperda"/>
    <s v="9733 N ALPINE RD"/>
    <s v="MACHESNEY PARK"/>
    <s v="IL"/>
    <s v="61115"/>
    <s v="(815) 315-1765"/>
    <s v="$10 all plans 3 mos."/>
    <s v="A01"/>
    <m/>
    <m/>
  </r>
  <r>
    <s v="WI-Madison/IL"/>
    <n v="810"/>
    <s v="1458"/>
    <n v="1458"/>
    <s v="Loves Park"/>
    <s v="Lynn Lloyd"/>
    <s v="7422 E RIVERSIDE BLVD"/>
    <s v="LOVES PARK"/>
    <s v="IL"/>
    <s v="61111"/>
    <s v="(815) 315-1875"/>
    <s v="$10 all plans 3 mos."/>
    <s v="G"/>
    <m/>
    <m/>
  </r>
  <r>
    <s v="WI-Milwaukee"/>
    <n v="810"/>
    <s v="0493"/>
    <n v="493"/>
    <s v="Brookfield"/>
    <s v="Darian Desvignes"/>
    <s v="19050 W BLUEMOUND RD"/>
    <s v="BROOKFIELD"/>
    <s v="WI"/>
    <s v="53045"/>
    <s v="(262) 297-6872"/>
    <s v="$10 all plans 3 mos."/>
    <s v="A01"/>
    <m/>
    <m/>
  </r>
  <r>
    <s v="WI-Milwaukee"/>
    <n v="810"/>
    <s v="0494"/>
    <n v="494"/>
    <s v="Good Hope"/>
    <s v="Bijan Muhammad"/>
    <s v="7338 W GOOD HOPE RD"/>
    <s v="MILWAUKEE"/>
    <s v="WI"/>
    <s v="53223"/>
    <s v="(414) 296-8345"/>
    <s v="$10 all plans 3 mos."/>
    <s v="A01"/>
    <m/>
    <m/>
  </r>
  <r>
    <s v="WI-Milwaukee"/>
    <n v="810"/>
    <s v="0495"/>
    <n v="495"/>
    <s v="Howell"/>
    <s v="Angel Mandujano Rodriguez"/>
    <s v="160 W LAYTON AVE"/>
    <s v="MILWAUKEE"/>
    <s v="WI"/>
    <s v="53207"/>
    <s v="(414) 810-4111"/>
    <s v="$10 all plans 3 mos."/>
    <s v="A01"/>
    <m/>
    <m/>
  </r>
  <r>
    <s v="WI-Milwaukee"/>
    <n v="810"/>
    <s v="1480"/>
    <n v="1480"/>
    <s v="Castle Manor"/>
    <s v="Joseph Prellwitz"/>
    <s v="4763 S 27TH ST"/>
    <s v="GREENFIELD"/>
    <s v="WI"/>
    <s v="53221"/>
    <s v="(414) 249-6653"/>
    <s v="$10 all plans 3 mos."/>
    <s v="A01"/>
    <m/>
    <m/>
  </r>
  <r>
    <s v="WI-Milwaukee"/>
    <n v="810"/>
    <s v="1481"/>
    <n v="1481"/>
    <s v="Market Lane"/>
    <s v="Robby Aran"/>
    <s v="3677 MARKET LANE"/>
    <s v="KENOSHA"/>
    <s v="WI"/>
    <s v="53144"/>
    <s v="(262) 286-2950"/>
    <s v="$10 all plans 3 mos."/>
    <s v="A01"/>
    <m/>
    <m/>
  </r>
  <r>
    <s v="WI-Milwaukee"/>
    <n v="810"/>
    <s v="1494"/>
    <n v="1494"/>
    <s v="Kenosha"/>
    <s v="Baylee Andersen"/>
    <s v="5803 75TH ST"/>
    <s v="KENOSHA"/>
    <s v="WI"/>
    <s v="53142"/>
    <s v="(262) 286-4269"/>
    <s v="$10 all plans 3 mos."/>
    <s v="A01"/>
    <m/>
    <m/>
  </r>
  <r>
    <m/>
    <m/>
    <m/>
    <m/>
    <m/>
    <m/>
    <m/>
    <m/>
    <m/>
    <s v="Shipped"/>
    <s v="Shipped"/>
    <m/>
    <m/>
    <n v="0"/>
    <n v="0"/>
  </r>
  <r>
    <m/>
    <m/>
    <m/>
    <m/>
    <m/>
    <m/>
    <m/>
    <m/>
    <m/>
    <s v="Inventory"/>
    <s v="Inventory"/>
    <m/>
    <m/>
    <n v="0"/>
    <n v="0"/>
  </r>
  <r>
    <m/>
    <m/>
    <m/>
    <m/>
    <m/>
    <m/>
    <m/>
    <m/>
    <m/>
    <s v="Total"/>
    <s v="Total"/>
    <m/>
    <m/>
    <n v="0"/>
    <n v="0"/>
  </r>
  <r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BFCB9-D278-497E-BC85-3592878F9241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CF89E0-B11B-402F-A8DD-D5A8AEEFAE20}" name="Table7" displayName="Table7" ref="A4:DD199" totalsRowShown="0" headerRowDxfId="172" headerRowBorderDxfId="171" tableBorderDxfId="170">
  <autoFilter ref="A4:DD199" xr:uid="{CECF89E0-B11B-402F-A8DD-D5A8AEEFAE20}"/>
  <tableColumns count="108">
    <tableColumn id="1" xr3:uid="{26207242-58ED-4BB3-9593-554AC39DC7DE}" name="Region" dataDxfId="169"/>
    <tableColumn id="2" xr3:uid="{7774BE1D-9DD9-47BF-A29C-EC6E196E9FBF}" name="CC" dataDxfId="168"/>
    <tableColumn id="3" xr3:uid="{7680D10D-D302-43E1-A82E-283FC9B49C36}" name="Store #" dataDxfId="167"/>
    <tableColumn id="4" xr3:uid="{2A79397D-ACFA-40D3-BAD5-2D42C983E24E}" name="Vlookup Store #" dataDxfId="166"/>
    <tableColumn id="5" xr3:uid="{54B196A0-560D-42C8-918C-D7A160CFDA4F}" name="Location Name" dataDxfId="165"/>
    <tableColumn id="6" xr3:uid="{F1C16972-1E4E-4EA6-8B7B-08DFCFBCB6AB}" name="General Manager" dataDxfId="164"/>
    <tableColumn id="7" xr3:uid="{BFE2C7F6-D1B7-40D4-BA68-93E9099298D8}" name="Address" dataDxfId="163"/>
    <tableColumn id="8" xr3:uid="{B27F42B6-895B-42B1-B1C2-365ED956835A}" name="City" dataDxfId="162"/>
    <tableColumn id="9" xr3:uid="{D7F1162B-5C25-42B4-B90E-1108F1A72403}" name="State" dataDxfId="161"/>
    <tableColumn id="10" xr3:uid="{2912A5F9-AD5E-4E66-8561-137B8F7F4268}" name="Zip Code" dataDxfId="160"/>
    <tableColumn id="11" xr3:uid="{FB1F8866-6923-4345-91B7-DC7BBD2BBDDF}" name="Phone Number" dataDxfId="159"/>
    <tableColumn id="12" xr3:uid="{0E8827F6-FE5C-439D-AD1E-ACC4143B14CA}" name="Promo" dataDxfId="158"/>
    <tableColumn id="13" xr3:uid="{7EC0CFE6-3B66-4134-A874-3C3D10A086A5}" name="Art Code" dataDxfId="157"/>
    <tableColumn id="14" xr3:uid="{EE8A4EBA-6DD1-4CCD-BF56-8D66C3BAC2E6}" name="10F-101" dataDxfId="156"/>
    <tableColumn id="15" xr3:uid="{83779CAA-3A3C-4C78-8D1A-738B67E31A48}" name="10F-104" dataDxfId="155"/>
    <tableColumn id="16" xr3:uid="{F1246930-0A32-454D-9A67-D6EE1DFE06BD}" name="10F-201" dataDxfId="154"/>
    <tableColumn id="17" xr3:uid="{E03A8162-3E13-48C9-B114-87CA22B281EB}" name="8D-04" dataDxfId="153"/>
    <tableColumn id="18" xr3:uid="{98786898-E512-401E-9577-EA7DA72DB374}" name="8D-05" dataDxfId="152"/>
    <tableColumn id="19" xr3:uid="{BD844932-64F2-4863-9B26-20FD6492118C}" name="8F-304" dataDxfId="151"/>
    <tableColumn id="20" xr3:uid="{C1BCAF60-E524-4F8A-962A-9755C0BAAF27}" name="A01" dataDxfId="150"/>
    <tableColumn id="21" xr3:uid="{675EFDCE-626C-4DD5-8599-4E68C2C7055D}" name="B01" dataDxfId="149"/>
    <tableColumn id="22" xr3:uid="{BD686CF3-D472-4EF0-A433-6C808FD26637}" name="B05" dataDxfId="148"/>
    <tableColumn id="23" xr3:uid="{75B95E55-B1B2-4952-89B9-45C9DEE8FCC3}" name="B06" dataDxfId="147"/>
    <tableColumn id="24" xr3:uid="{D7278AA9-7838-4527-A8CA-0D0828DF431A}" name="C01" dataDxfId="146"/>
    <tableColumn id="25" xr3:uid="{C166A89A-1CB4-4538-9427-6E11D5B095E0}" name="C04" dataDxfId="145"/>
    <tableColumn id="26" xr3:uid="{B5AF394A-1874-4D22-95AB-5117EEADC589}" name="D01" dataDxfId="144"/>
    <tableColumn id="27" xr3:uid="{773D0570-CF06-44A3-B57D-47645A7146FC}" name="D02" dataDxfId="143"/>
    <tableColumn id="28" xr3:uid="{F3C01E1C-86BF-471A-977C-ED9EA2BB9686}" name="D03" dataDxfId="142"/>
    <tableColumn id="29" xr3:uid="{2C84C265-B188-44BE-85A4-E669CCC0A35A}" name="D06" dataDxfId="141"/>
    <tableColumn id="30" xr3:uid="{0FC9391E-F037-47BD-BD03-51A239166AE7}" name="E01" dataDxfId="140"/>
    <tableColumn id="31" xr3:uid="{C5F47FCD-FF64-47B0-85C5-E7AA07F35CAA}" name="E03" dataDxfId="139"/>
    <tableColumn id="32" xr3:uid="{107BD93A-E873-4E66-90F8-B2D4E75AF3F9}" name="E07" dataDxfId="138"/>
    <tableColumn id="33" xr3:uid="{63650EA9-D1FC-4F6E-9044-C37134C562F3}" name="10F-1012" dataDxfId="137"/>
    <tableColumn id="34" xr3:uid="{456A651C-7278-48C7-95D4-142B186E73F4}" name="10F-1043" dataDxfId="136"/>
    <tableColumn id="35" xr3:uid="{2B8B1A17-AFB7-467E-8B86-C3908D7FFDB8}" name="10F-2014" dataDxfId="135"/>
    <tableColumn id="36" xr3:uid="{482D9E44-842C-4476-A897-6F19BA3211C6}" name="8D-045" dataDxfId="134"/>
    <tableColumn id="37" xr3:uid="{7EA4C9FA-A5DB-463E-8B7F-F6DE598339F8}" name="8D-056" dataDxfId="133"/>
    <tableColumn id="38" xr3:uid="{89030B88-0D48-4CFB-BEA8-DEEA365DD6B1}" name="8F-3047" dataDxfId="132"/>
    <tableColumn id="39" xr3:uid="{510D214F-81B6-4C4F-ACE9-97A6E95B6C0E}" name="A018" dataDxfId="131"/>
    <tableColumn id="40" xr3:uid="{5E753EEC-5BE3-44E2-84BA-E55DB87E1219}" name="B019" dataDxfId="130"/>
    <tableColumn id="41" xr3:uid="{BA0625FE-8B10-4050-8E64-0787D98D3D8C}" name="B0510" dataDxfId="129"/>
    <tableColumn id="42" xr3:uid="{103D3F5A-F485-41D0-86BC-2068A9840409}" name="B0611" dataDxfId="128"/>
    <tableColumn id="43" xr3:uid="{8BCB170C-6BAA-4A09-9D6B-03903C7DF4BB}" name="C0112" dataDxfId="127"/>
    <tableColumn id="44" xr3:uid="{CD0766C2-51CB-469F-88CE-533E5963D13F}" name="C0413" dataDxfId="126"/>
    <tableColumn id="45" xr3:uid="{89955139-1F92-43C3-BF83-C6CA688A2122}" name="D0114" dataDxfId="125"/>
    <tableColumn id="46" xr3:uid="{1E3400EE-F88A-4B15-916F-A471756AF546}" name="D0215" dataDxfId="124"/>
    <tableColumn id="47" xr3:uid="{7865F9B0-3DC2-4F35-BE42-3B212C5027E3}" name="D0316" dataDxfId="123"/>
    <tableColumn id="48" xr3:uid="{22B36722-ED93-42FD-AD9C-649AE7004922}" name="D0617" dataDxfId="122"/>
    <tableColumn id="49" xr3:uid="{C2DE650A-0BF3-4FA6-90D2-E71A447476EF}" name="E0118" dataDxfId="121"/>
    <tableColumn id="50" xr3:uid="{27F60836-0ED5-40D5-85A8-E24EB4CAEF7E}" name="E0319" dataDxfId="120"/>
    <tableColumn id="51" xr3:uid="{2FB0F88E-F9EA-402B-BF85-2CF56EF9581B}" name="E0720" dataDxfId="119"/>
    <tableColumn id="52" xr3:uid="{75B9D5B9-E58F-4394-92BE-B63B54280FC9}" name="10F" dataDxfId="118">
      <calculatedColumnFormula>VLOOKUP(Table7[[#This Row],[Vlookup Store '#]],'Kiosk Stickers'!A$4:$H$538,2,FALSE)</calculatedColumnFormula>
    </tableColumn>
    <tableColumn id="62" xr3:uid="{3BE30647-F862-410B-81EE-595F5C927E3A}" name="8F" dataDxfId="117"/>
    <tableColumn id="61" xr3:uid="{F28365C7-2B92-4B56-B83A-F13DA7B11D47}" name="A" dataDxfId="116"/>
    <tableColumn id="60" xr3:uid="{0381B216-C322-429F-B8FC-E72A25FD2BB1}" name="B" dataDxfId="115"/>
    <tableColumn id="59" xr3:uid="{E2F7174B-B497-49F1-BBDB-53333E5E5F4E}" name="D" dataDxfId="114"/>
    <tableColumn id="58" xr3:uid="{12BF5A12-6876-4030-B0ED-809782635E0F}" name="E" dataDxfId="113"/>
    <tableColumn id="53" xr3:uid="{D80F278B-9E00-44F8-80A4-422DF2803CF3}" name="A2" dataDxfId="112">
      <calculatedColumnFormula>VLOOKUP(Table7[[#This Row],[Vlookup Store '#]],'Kiosk Stickers'!A$4:$H$538,3,FALSE)</calculatedColumnFormula>
    </tableColumn>
    <tableColumn id="64" xr3:uid="{FF1A2788-3B07-48BE-8B33-DEFBAB4A347A}" name="B3" dataDxfId="111"/>
    <tableColumn id="69" xr3:uid="{A1B2818F-089A-472F-BDB2-389A3A45069F}" name="C" dataDxfId="110"/>
    <tableColumn id="66" xr3:uid="{80C18248-5487-4769-AB16-0BF96E180221}" name="D4" dataDxfId="109"/>
    <tableColumn id="68" xr3:uid="{42FB0953-5B3C-46C6-A11E-AA07C70C8692}" name="8D" dataDxfId="108"/>
    <tableColumn id="65" xr3:uid="{AC34B0E1-2072-44AA-AD6F-880E258E8440}" name="E5" dataDxfId="107"/>
    <tableColumn id="67" xr3:uid="{FBCEA709-39A1-4AF1-97BA-155F39FCB50D}" name="8F6" dataDxfId="106"/>
    <tableColumn id="63" xr3:uid="{F3392097-175F-4A17-8F88-DA679A633C25}" name="10F7" dataDxfId="105"/>
    <tableColumn id="57" xr3:uid="{AEE0F3EA-35B7-4F23-96C9-82B4CE414628}" name="G" dataDxfId="104"/>
    <tableColumn id="54" xr3:uid="{F4326019-07C5-475C-9958-D0AFEF1571BD}" name="10F2" dataDxfId="103">
      <calculatedColumnFormula>VLOOKUP(Table7[[#This Row],[Vlookup Store '#]],'Kiosk Stickers'!A$4:$H$538,4,FALSE)</calculatedColumnFormula>
    </tableColumn>
    <tableColumn id="74" xr3:uid="{61DECE99-053E-4BA4-A2F6-D1E35BD6D607}" name="D2" dataDxfId="102"/>
    <tableColumn id="73" xr3:uid="{2A6FCA46-6FF2-428F-8A58-7FE2BF8EC892}" name="B2" dataDxfId="101"/>
    <tableColumn id="55" xr3:uid="{F50B141B-25BC-424A-82C9-04530CFE75EE}" name="B4" dataDxfId="100">
      <calculatedColumnFormula>VLOOKUP(Table7[[#This Row],[Vlookup Store '#]],'Kiosk Stickers'!A$4:$H$538,5,FALSE)</calculatedColumnFormula>
    </tableColumn>
    <tableColumn id="77" xr3:uid="{3F3D1889-2CBA-40AA-B2E4-68D183758041}" name="C5" dataDxfId="99"/>
    <tableColumn id="82" xr3:uid="{8E8F6C8B-29DB-409F-B87F-7EED567E4BF2}" name="D6" dataDxfId="98"/>
    <tableColumn id="79" xr3:uid="{AD34F55F-987D-499A-8544-5EA8F22FFCD1}" name="8D7" dataDxfId="97"/>
    <tableColumn id="81" xr3:uid="{C3B4DB62-AFE3-4707-BBFB-01A0381FA5F5}" name="E8" dataDxfId="96"/>
    <tableColumn id="80" xr3:uid="{FD7E257A-F4CF-4488-83DB-6E4B91F00774}" name="8F9" dataDxfId="95"/>
    <tableColumn id="78" xr3:uid="{D83053D1-9765-4493-81EA-16916370F3EA}" name="10F10" dataDxfId="94"/>
    <tableColumn id="76" xr3:uid="{30C0D2BB-8684-460B-BDC3-705AD5499DF4}" name="E11" dataDxfId="93"/>
    <tableColumn id="75" xr3:uid="{98236868-658D-4BA3-8324-50D3FB8B3A23}" name="G12" dataDxfId="92"/>
    <tableColumn id="56" xr3:uid="{15DE7E54-6057-46A9-8D2F-A2BDE519D8CC}" name="A3" dataDxfId="91"/>
    <tableColumn id="83" xr3:uid="{C0FDA7C5-7DE1-4BC5-8E61-473BF756EE55}" name="B5" dataDxfId="90"/>
    <tableColumn id="84" xr3:uid="{34BCD703-FC07-46ED-AB04-273C530DA342}" name="D3" dataDxfId="89"/>
    <tableColumn id="85" xr3:uid="{35157078-BB78-4440-A1A2-EFDA20AE957C}" name="8D2" dataDxfId="88"/>
    <tableColumn id="86" xr3:uid="{1DD63451-B1DB-4DB5-9C68-08595CBF9EE1}" name="E2" dataDxfId="87"/>
    <tableColumn id="87" xr3:uid="{569BB4BA-0228-44D0-AA47-89211B875726}" name="8F2" dataDxfId="86"/>
    <tableColumn id="88" xr3:uid="{3A923E53-59DA-47FE-9F6A-6302359DA037}" name="10F3" dataDxfId="85"/>
    <tableColumn id="90" xr3:uid="{54F3C92D-E32E-4BFF-B048-62FF3ED22879}" name="G2" dataDxfId="84"/>
    <tableColumn id="95" xr3:uid="{7E93DF8B-90A7-4880-A645-5F46D26FD8A9}" name="A4" dataDxfId="83"/>
    <tableColumn id="98" xr3:uid="{09546274-E7CA-4311-BF47-6DBDD7FB1B03}" name="B6" dataDxfId="82"/>
    <tableColumn id="97" xr3:uid="{A653D28C-C6FB-4EA7-8465-2372CE4FC96F}" name="C7" dataDxfId="81"/>
    <tableColumn id="96" xr3:uid="{F3116EAB-5D17-4C6C-A8E5-EC910F639250}" name="D8" dataDxfId="80"/>
    <tableColumn id="94" xr3:uid="{70452F6B-9E34-43E1-A5B2-E8132A82B6C8}" name="8D9" dataDxfId="79"/>
    <tableColumn id="93" xr3:uid="{88CCCE37-FF9C-4D3A-AEB7-1D53343FDBDE}" name="E10" dataDxfId="78"/>
    <tableColumn id="92" xr3:uid="{7FAFFE2D-D196-4163-AEF6-D0B580CF9EBB}" name="8F11" dataDxfId="77"/>
    <tableColumn id="91" xr3:uid="{5D26E16A-B2D5-4822-9FE5-7D5D2FF7B6F1}" name="10F12" dataDxfId="76"/>
    <tableColumn id="102" xr3:uid="{CB92BAF3-1440-48FE-AC50-0488F01A102B}" name="G13" dataDxfId="75"/>
    <tableColumn id="103" xr3:uid="{95B1B0E5-CE97-4363-838A-369AC6FCCE36}" name="A5" dataDxfId="74"/>
    <tableColumn id="106" xr3:uid="{348FDA15-6F68-4CA7-AD66-17E481C0C58E}" name="B7" dataDxfId="73"/>
    <tableColumn id="107" xr3:uid="{7289938D-FE13-4E8D-A9F8-CE1A3524D940}" name="C8" dataDxfId="72"/>
    <tableColumn id="105" xr3:uid="{1074A676-1572-4130-B422-E1A4BF482430}" name="D9" dataDxfId="71"/>
    <tableColumn id="104" xr3:uid="{1706888F-8A0D-4B84-9C3F-3121C8E4584F}" name="E12" dataDxfId="70"/>
    <tableColumn id="89" xr3:uid="{902C1EB8-A054-42C8-ACE5-DBB872559596}" name="F" dataDxfId="69"/>
    <tableColumn id="109" xr3:uid="{2E42FFC7-3B9D-4F23-8966-8F693993E544}" name="A6" dataDxfId="68"/>
    <tableColumn id="113" xr3:uid="{4DB73318-A1F3-474E-9C87-7B5A002ED2B7}" name="B8" dataDxfId="67"/>
    <tableColumn id="112" xr3:uid="{C43E9391-7290-4581-A2EA-F0104F4DFADE}" name="C9" dataDxfId="66"/>
    <tableColumn id="111" xr3:uid="{8A92F49D-932B-4659-8EBA-0F7AE0D82F51}" name="8D10" dataDxfId="65"/>
    <tableColumn id="110" xr3:uid="{855A5FC0-15F5-4488-A04E-D1E03B4FC1EC}" name="D11" dataDxfId="64"/>
    <tableColumn id="114" xr3:uid="{FC7912B3-CE4F-4056-AC22-04C7C382F390}" name="E13" dataDxfId="63"/>
    <tableColumn id="108" xr3:uid="{B9CFB79C-7BC4-4144-8216-8151CA828997}" name="8F14" dataDxfId="6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68D7D7B-3659-4EFA-BED9-095297C9B30F}" name="Table8" displayName="Table8" ref="J3:Q538" totalsRowShown="0" headerRowDxfId="61" dataDxfId="59" headerRowBorderDxfId="60" tableBorderDxfId="58" totalsRowBorderDxfId="57">
  <autoFilter ref="J3:Q538" xr:uid="{068D7D7B-3659-4EFA-BED9-095297C9B30F}"/>
  <tableColumns count="8">
    <tableColumn id="1" xr3:uid="{89C9A6B9-7733-4511-A78A-798FEE77B337}" name="Store Number" dataDxfId="56"/>
    <tableColumn id="2" xr3:uid="{9B661412-3D97-44D5-8286-4C0AA0A776FD}" name="Mister Kiosk" dataDxfId="55"/>
    <tableColumn id="3" xr3:uid="{2CC24A72-5803-4782-A433-B6AF0F791A47}" name="Gen 2 Pegasus" dataDxfId="54"/>
    <tableColumn id="4" xr3:uid="{5CADE0F3-B3A9-42F4-82A2-E3331E72F0AF}" name="Gen 1 Pegasus" dataDxfId="53"/>
    <tableColumn id="5" xr3:uid="{E1A770C0-82FC-45B2-A729-BA4E7122B501}" name="DRB" dataDxfId="52"/>
    <tableColumn id="6" xr3:uid="{B7D54BA5-EB09-4ACD-B7E5-0FDFD1B9E3A7}" name="Windscreen" dataDxfId="51"/>
    <tableColumn id="7" xr3:uid="{2F969ED4-5A3F-40D4-AEE7-506F700E172A}" name="Need windscreen? (0=yes)" dataDxfId="50"/>
    <tableColumn id="8" xr3:uid="{5A0E4AEA-9B04-416B-AB07-E5C945C1585C}" name="Sum of Kiosks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157EA3-0E13-4421-AD6B-41F56291AF8F}" name="Table3" displayName="Table3" ref="A5:I44" totalsRowShown="0" headerRowDxfId="48" headerRowBorderDxfId="47" tableBorderDxfId="46">
  <autoFilter ref="A5:I44" xr:uid="{9F157EA3-0E13-4421-AD6B-41F56291AF8F}"/>
  <tableColumns count="9">
    <tableColumn id="1" xr3:uid="{84D0F01A-2A30-4C10-91B0-7677A3467496}" name="Region Name" dataDxfId="45"/>
    <tableColumn id="2" xr3:uid="{64D1F654-3287-45A6-ACAA-CD771FE99D07}" name="CompanyCode" dataDxfId="44"/>
    <tableColumn id="3" xr3:uid="{D88C7C0B-25D2-4A44-84A7-7884F768DAA4}" name="Store #" dataDxfId="43"/>
    <tableColumn id="4" xr3:uid="{80173A94-1A7C-4210-B09A-1D098E5C7614}" name="Location Name" dataDxfId="42"/>
    <tableColumn id="5" xr3:uid="{A6EF08E4-4F8E-42D0-B4FA-D6639E7F59FB}" name="Street Address" dataDxfId="41"/>
    <tableColumn id="6" xr3:uid="{1E1985DB-AC2B-4272-AF99-41D26C88DC22}" name="City" dataDxfId="40"/>
    <tableColumn id="7" xr3:uid="{16A8C7E6-59AF-4212-90B1-0BD6F1E2B223}" name="State" dataDxfId="39"/>
    <tableColumn id="8" xr3:uid="{C3F68162-D8D6-4467-9B1F-A6A0B7FD502F}" name="Zip Code" dataDxfId="38"/>
    <tableColumn id="9" xr3:uid="{DA93E453-FFEA-4C44-A9CF-9F8004D5D7BD}" name="Phone" dataDxfId="37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DA6ABB-8AC2-4170-A5CD-675D5558116C}" name="Table1" displayName="Table1" ref="A5:H44" totalsRowShown="0" headerRowDxfId="36" headerRowBorderDxfId="35" tableBorderDxfId="34" totalsRowBorderDxfId="33">
  <autoFilter ref="A5:H44" xr:uid="{EE4D6CC5-8148-4671-BF46-06616EA9C721}"/>
  <sortState xmlns:xlrd2="http://schemas.microsoft.com/office/spreadsheetml/2017/richdata2" ref="A6:H44">
    <sortCondition ref="A5:A44"/>
  </sortState>
  <tableColumns count="8">
    <tableColumn id="1" xr3:uid="{00BD938C-44C2-4C8C-AFC6-0F223B6B0B1A}" name="Region" dataDxfId="32"/>
    <tableColumn id="3" xr3:uid="{3E0488B7-085B-47A0-84D5-24517960BBCF}" name="Store #" dataDxfId="31"/>
    <tableColumn id="4" xr3:uid="{5CC9ED92-CCCA-4AB3-B9E0-999A7465ED66}" name="Location Name" dataDxfId="30"/>
    <tableColumn id="5" xr3:uid="{FF8DF3AA-FCFE-4CFA-A3CC-4EC8F016002B}" name="Address" dataDxfId="29"/>
    <tableColumn id="6" xr3:uid="{5647ADA0-F29C-4A2F-8670-289CB5DDE59E}" name="City" dataDxfId="28"/>
    <tableColumn id="7" xr3:uid="{419CC94E-E489-40B5-9E67-B2242A96F8C2}" name="State" dataDxfId="27"/>
    <tableColumn id="8" xr3:uid="{ADBBBB2B-A34A-4044-B163-30A4318CE8FE}" name="Zip Code" dataDxfId="26"/>
    <tableColumn id="9" xr3:uid="{09649F21-1A9D-4DDC-A2B3-076DD8A78010}" name="Phone Number" dataDxfId="2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D82F77-DA18-405F-9416-F4D8F0AA500A}" name="Table4" displayName="Table4" ref="A5:L6" totalsRowShown="0" headerRowDxfId="24" headerRowBorderDxfId="23" tableBorderDxfId="22">
  <autoFilter ref="A5:L6" xr:uid="{52D82F77-DA18-405F-9416-F4D8F0AA500A}"/>
  <tableColumns count="12">
    <tableColumn id="1" xr3:uid="{91A4AA90-0958-4FA8-8099-69F863474886}" name="Region"/>
    <tableColumn id="2" xr3:uid="{44B48200-0C8F-45F5-8F26-53FA9D78DA87}" name="CC"/>
    <tableColumn id="3" xr3:uid="{C372D20B-9772-42AE-A8E1-7F932537A725}" name="Store #"/>
    <tableColumn id="4" xr3:uid="{A50F3D5C-4D85-42AF-99C4-741EA662C6A4}" name="Type"/>
    <tableColumn id="5" xr3:uid="{D01962C0-27E6-47B2-BDB1-6375995E2627}" name="Status"/>
    <tableColumn id="6" xr3:uid="{740AB3DE-D548-4F10-99DA-17E10EC8A442}" name="Location Name"/>
    <tableColumn id="7" xr3:uid="{AA05EBF2-6CC7-4A03-AA15-6E6E268EC197}" name="General Manager"/>
    <tableColumn id="8" xr3:uid="{4AEBAAA4-8635-4D5E-A281-E630A56176E5}" name="Address"/>
    <tableColumn id="9" xr3:uid="{D9CC5093-034C-4D88-977B-1BCD3D381A28}" name="City"/>
    <tableColumn id="10" xr3:uid="{1E7CBC4D-846A-490E-AAD1-EF0E08718A81}" name="State"/>
    <tableColumn id="11" xr3:uid="{77726E96-1841-4C62-BBB9-7F162F480370}" name="Zip Code"/>
    <tableColumn id="12" xr3:uid="{531E5F3E-8A99-4521-AB9B-FDB2EBCB1F40}" name="Phon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59CC1F-C313-4EF4-BDC0-101082678790}" name="tableA1755540515869" displayName="tableA1755540515869" ref="A3:L556" totalsRowShown="0" headerRowDxfId="21" dataDxfId="20" tableBorderDxfId="19">
  <autoFilter ref="A3:L556" xr:uid="{C859CC1F-C313-4EF4-BDC0-101082678790}"/>
  <sortState xmlns:xlrd2="http://schemas.microsoft.com/office/spreadsheetml/2017/richdata2" ref="A4:L4">
    <sortCondition ref="A3:A4"/>
  </sortState>
  <tableColumns count="12">
    <tableColumn id="1" xr3:uid="{12B0CADE-92CF-40A9-B3CF-94FEEBBADA49}" name="Region" dataDxfId="18"/>
    <tableColumn id="2" xr3:uid="{0745C2CA-F996-443D-A9BF-7031279848BA}" name="CompanyCode" dataDxfId="17"/>
    <tableColumn id="13" xr3:uid="{4947BA21-9D34-498B-B117-4F0EE2FC7DC3}" name="StoreNumber" dataDxfId="16"/>
    <tableColumn id="4" xr3:uid="{FA60346E-B830-4590-A3FC-215A29DE96A4}" name="StoreType" dataDxfId="15"/>
    <tableColumn id="5" xr3:uid="{E3F48166-9268-4BF1-883F-653C9EFC977B}" name="StoreStatus" dataDxfId="14"/>
    <tableColumn id="6" xr3:uid="{D1470774-4493-4B6A-B39A-39EDA4D55960}" name="StoreName" dataDxfId="13"/>
    <tableColumn id="7" xr3:uid="{0639383F-784C-4B39-A2C4-E01025E9AD83}" name="GeneralManager" dataDxfId="12"/>
    <tableColumn id="8" xr3:uid="{3CBEC1DA-751E-411D-94EE-47D9F92E0658}" name="StreetAddress" dataDxfId="11"/>
    <tableColumn id="9" xr3:uid="{7B9E446E-BBD7-466F-B6FB-03593E1585AF}" name="City" dataDxfId="10"/>
    <tableColumn id="10" xr3:uid="{337D38B9-275E-4EDA-A0D3-CAE1AA7D71CB}" name="State" dataDxfId="9"/>
    <tableColumn id="11" xr3:uid="{C5168058-38D6-47D2-8B72-8A4AEA3F689E}" name="PostalCode" dataDxfId="8"/>
    <tableColumn id="12" xr3:uid="{8C6E242E-AAF7-4A13-A700-C89E43B93BA2}" name="BusinessPhone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15E65C-A5A6-44DB-B2D8-FF7A0BF68173}">
  <we:reference id="0d0edc0c-ef8f-4448-a517-373a12a45cf7" version="2.0.25.0" store="excatalog" storeType="excatalog"/>
  <we:alternateReferences>
    <we:reference id="WA200005264" version="2.0.25.0" store="en-US" storeType="omex"/>
  </we:alternateReferences>
  <we:properties>
    <we:property name="liveDataMode" value="{&quot;jkrebs@mistercarwash.com-mistercarwash&quot;:false}"/>
    <we:property name="refreshOnOpen" value="{&quot;jkrebs@mistercarwash.com-mistercarwash&quot;:false}"/>
    <we:property name="listInsertedItems" value="[&quot;4d5b571b-902c-4642-9528-3fa4cb049eb4&quot;,&quot;651822e0-26a7-4d1b-ae1c-e3029b5c0848&quot;]"/>
    <we:property name="651822e0-26a7-4d1b-ae1c-e3029b5c0848" value="{&quot;id&quot;:&quot;651822e0-26a7-4d1b-ae1c-e3029b5c0848&quot;,&quot;fileName&quot;:&quot;https://mistercarwash.sharepoint.com/sites/MarketingTeam/Shared Documents/General/January 2025 Shipping Key1.xlsx&quot;,&quot;title&quot;:&quot;PROD_ShippingKey_Marketing&quot;,&quot;itemType&quot;:&quot;Dataset&quot;,&quot;itemId&quot;:&quot;8d0e6c52-1497-4090-90c1-a460174fc47a&quot;,&quot;tagId&quot;:&quot;tableA1748454711462&quot;,&quot;range&quot;:&quot;A2:L2&quot;,&quot;settings&quot;:{&quot;type&quot;:&quot;Table&quot;,&quot;lastRefresh&quot;:false,&quot;lastRun&quot;:true,&quot;useDocRefreshSettings&quot;:true,&quot;refreshOnOpen&quot;:false,&quot;liveDataMode&quot;:false,&quot;includeLink&quot;:false,&quot;includeTitle&quot;:true,&quot;includeSummaryNumber&quot;:false,&quot;displayFilter&quot;:false,&quot;displayControl&quot;:false,&quot;displayViewedBy&quot;:false,&quot;includeDescription&quot;:false,&quot;useTransparentBg&quot;:false,&quot;fontColor&quot;:&quot;&quot;,&quot;gridColor&quot;:&quot;&quot;,&quot;advImgOpt&quot;:{&quot;height&quot;:700,&quot;width&quot;:1400,&quot;scale&quot;:2}},&quot;filters&quot;:[{&quot;column&quot;:&quot;StoreStatus&quot;,&quot;operand&quot;:&quot;IN&quot;,&quot;values&quot;:[&quot;Operating&quot;,&quot;Under Construction&quot;],&quot;dataType&quot;:&quot;STRING&quot;,&quot;label&quot;:&quot;StoreStatus&quot;,&quot;dataSourceId&quot;:&quot;Dataset&quot;,&quot;filterTypeObj&quot;:{&quot;id&quot;:&quot;selection&quot;,&quot;label&quot;:&quot;Selection&quot;,&quot;value&quot;:&quot;SelectionFilterView&quot;},&quot;originOP&quot;:&quot;IN&quot;,&quot;rollingPeriodCount&quot;:&quot;&quot;,&quot;selectedRollingPeriodInterval&quot;:&quot;&quot;,&quot;isCompleted&quot;:true},{&quot;column&quot;:&quot;StoreType&quot;,&quot;operand&quot;:&quot;IN&quot;,&quot;values&quot;:[&quot;Express&quot;,&quot;Interior Clean&quot;,&quot;Interior Clean - Flex&quot;],&quot;dataType&quot;:&quot;STRING&quot;,&quot;label&quot;:&quot;StoreType&quot;,&quot;dataSourceId&quot;:&quot;Dataset&quot;,&quot;filterTypeObj&quot;:{&quot;id&quot;:&quot;selection&quot;,&quot;label&quot;:&quot;Selection&quot;,&quot;value&quot;:&quot;SelectionFilterView&quot;},&quot;originOP&quot;:&quot;IN&quot;,&quot;rollingPeriodCount&quot;:&quot;&quot;,&quot;selectedRollingPeriodInterval&quot;:&quot;&quot;,&quot;isCompleted&quot;:true}],&quot;selectedColumns&quot;:[],&quot;lastRefreshTime&quot;:1750432385584,&quot;sheetId&quot;:&quot;{DD4B3569-A1B1-414A-87C0-1C7493C56801}&quot;,&quot;sheetName&quot;:&quot;Sheet1&quot;,&quot;refreshedBy&quot;:&quot;Julie Krebs&quot;,&quot;insertedInfoPositions&quot;:[{&quot;range&quot;:&quot;A1&quot;,&quot;text&quot;:&quot;PROD_ShippingKey_Marketing&quot;,&quot;show&quot;:true,&quot;type&quot;:&quot;Title&quot;,&quot;settingKey&quot;:&quot;includeTitle&quot;,&quot;startIndex&quot;:1}],&quot;listGroupColumns&quot;:[{&quot;name&quot;:&quot;Region&quot;,&quot;id&quot;:&quot;Region&quot;,&quot;type&quot;:&quot;STRING&quot;,&quot;visible&quot;:true,&quot;order&quot;:&quot;ASC&quot;,&quot;nameInDatabase&quot;:&quot;Region&quot;},{&quot;name&quot;:&quot;CompanyCode&quot;,&quot;id&quot;:&quot;CompanyCode&quot;,&quot;type&quot;:&quot;LONG&quot;,&quot;visible&quot;:true,&quot;order&quot;:&quot;ASC&quot;,&quot;nameInDatabase&quot;:&quot;CompanyCode&quot;},{&quot;name&quot;:&quot;StoreNumber&quot;,&quot;id&quot;:&quot;StoreNumber&quot;,&quot;type&quot;:&quot;STRING&quot;,&quot;visible&quot;:true,&quot;order&quot;:&quot;ASC&quot;,&quot;nameInDatabase&quot;:&quot;StoreNumber&quot;},{&quot;name&quot;:&quot;StoreType&quot;,&quot;id&quot;:&quot;StoreType&quot;,&quot;type&quot;:&quot;STRING&quot;,&quot;visible&quot;:true,&quot;order&quot;:&quot;ASC&quot;,&quot;nameInDatabase&quot;:&quot;StoreType&quot;},{&quot;name&quot;:&quot;StoreStatus&quot;,&quot;id&quot;:&quot;StoreStatus&quot;,&quot;type&quot;:&quot;STRING&quot;,&quot;visible&quot;:true,&quot;order&quot;:&quot;ASC&quot;,&quot;nameInDatabase&quot;:&quot;StoreStatus&quot;},{&quot;name&quot;:&quot;StoreName&quot;,&quot;id&quot;:&quot;StoreName&quot;,&quot;type&quot;:&quot;STRING&quot;,&quot;visible&quot;:true,&quot;order&quot;:&quot;ASC&quot;,&quot;nameInDatabase&quot;:&quot;StoreName&quot;},{&quot;name&quot;:&quot;GeneralManager&quot;,&quot;id&quot;:&quot;GeneralManager&quot;,&quot;type&quot;:&quot;STRING&quot;,&quot;visible&quot;:true,&quot;order&quot;:&quot;ASC&quot;,&quot;nameInDatabase&quot;:&quot;GeneralManager&quot;},{&quot;name&quot;:&quot;StreetAddress&quot;,&quot;id&quot;:&quot;StreetAddress&quot;,&quot;type&quot;:&quot;STRING&quot;,&quot;visible&quot;:true,&quot;order&quot;:&quot;ASC&quot;,&quot;nameInDatabase&quot;:&quot;StreetAddress&quot;},{&quot;name&quot;:&quot;City&quot;,&quot;id&quot;:&quot;City&quot;,&quot;type&quot;:&quot;STRING&quot;,&quot;visible&quot;:true,&quot;order&quot;:&quot;ASC&quot;,&quot;nameInDatabase&quot;:&quot;City&quot;},{&quot;name&quot;:&quot;State&quot;,&quot;id&quot;:&quot;State&quot;,&quot;type&quot;:&quot;STRING&quot;,&quot;visible&quot;:true,&quot;order&quot;:&quot;ASC&quot;,&quot;nameInDatabase&quot;:&quot;State&quot;},{&quot;name&quot;:&quot;PostalCode&quot;,&quot;id&quot;:&quot;PostalCode&quot;,&quot;type&quot;:&quot;STRING&quot;,&quot;visible&quot;:true,&quot;order&quot;:&quot;ASC&quot;,&quot;nameInDatabase&quot;:&quot;PostalCode&quot;},{&quot;name&quot;:&quot;BusinessPhone&quot;,&quot;id&quot;:&quot;BusinessPhone&quot;,&quot;type&quot;:&quot;STRING&quot;,&quot;visible&quot;:true,&quot;order&quot;:&quot;ASC&quot;,&quot;nameInDatabase&quot;:&quot;BusinessPhone&quot;}],&quot;listAggregateColumns&quot;:[],&quot;listOrderColumns&quot;:[],&quot;limitData&quot;:{},&quot;filtersForShow&quot;:[{&quot;column&quot;:&quot;StoreStatus&quot;,&quot;operand&quot;:&quot;IN&quot;,&quot;values&quot;:[&quot;Operating&quot;,&quot;Under Construction&quot;],&quot;dataType&quot;:&quot;STRING&quot;,&quot;label&quot;:&quot;StoreStatus&quot;,&quot;dataSourceId&quot;:&quot;Dataset&quot;,&quot;filterTypeObj&quot;:{&quot;id&quot;:&quot;selection&quot;,&quot;label&quot;:&quot;Selection&quot;,&quot;value&quot;:&quot;SelectionFilterView&quot;},&quot;originOP&quot;:&quot;IN&quot;,&quot;rollingPeriodCount&quot;:&quot;&quot;,&quot;selectedRollingPeriodInterval&quot;:&quot;&quot;,&quot;isCompleted&quot;:true},{&quot;column&quot;:&quot;StoreType&quot;,&quot;operand&quot;:&quot;IN&quot;,&quot;values&quot;:[&quot;Express&quot;,&quot;Interior Clean&quot;,&quot;Interior Clean - Flex&quot;],&quot;dataType&quot;:&quot;STRING&quot;,&quot;label&quot;:&quot;StoreType&quot;,&quot;dataSourceId&quot;:&quot;Dataset&quot;,&quot;filterTypeObj&quot;:{&quot;id&quot;:&quot;selection&quot;,&quot;label&quot;:&quot;Selection&quot;,&quot;value&quot;:&quot;SelectionFilterView&quot;},&quot;originOP&quot;:&quot;IN&quot;,&quot;rollingPeriodCount&quot;:&quot;&quot;,&quot;selectedRollingPeriodInterval&quot;:&quot;&quot;,&quot;isCompleted&quot;:true}],&quot;name&quot;:&quot;PROD_ShippingKey_Marketing&quot;,&quot;type&quot;:&quot;DataFlow&quot;,&quot;user&quot;:{&quot;userId&quot;:&quot;970351608&quot;,&quot;userEmail&quot;:&quot;jkrebs@mistercarwash.com&quot;,&quot;userName&quot;:&quot;Julie Krebs&quot;,&quot;instance&quot;:&quot;mistercarwash&quot;},&quot;version&quot;:&quot;2.0.27&quot;,&quot;cantRefresh&quot;:true,&quot;pageFilterPayload&quot;:{&quot;dateRangeFilter&quot;:null},&quot;failedRefreshTime&quot;:0,&quot;mustRefreshPreview&quot;:false}"/>
    <we:property name="isDocSecured" value="false"/>
    <we:property name="4d5b571b-902c-4642-9528-3fa4cb049eb4" value="{&quot;id&quot;:&quot;4d5b571b-902c-4642-9528-3fa4cb049eb4&quot;,&quot;fileName&quot;:&quot;https://mistercarwash.sharepoint.com/sites/MarketingTeam/Shared Documents/General/June 2025 Shipping Key.xlsx&quot;,&quot;title&quot;:&quot;Master Shipping Key_Marketing&quot;,&quot;itemType&quot;:&quot;Card&quot;,&quot;itemId&quot;:2008007529,&quot;tagId&quot;:&quot;tableA1755540515869&quot;,&quot;range&quot;:&quot;A2:L2&quot;,&quot;settings&quot;:{&quot;type&quot;:&quot;Table&quot;,&quot;lastRefresh&quot;:false,&quot;lastRun&quot;:false,&quot;useDocRefreshSettings&quot;:true,&quot;refreshOnOpen&quot;:false,&quot;liveDataMode&quot;:false,&quot;includeLink&quot;:false,&quot;includeTitle&quot;:true,&quot;includeSummaryNumber&quot;:false,&quot;displayFilter&quot;:false,&quot;displayControl&quot;:false,&quot;displayViewedBy&quot;:false,&quot;includeDescription&quot;:false,&quot;useTransparentBg&quot;:false,&quot;fontColor&quot;:&quot;&quot;,&quot;gridColor&quot;:&quot;&quot;,&quot;advImgOpt&quot;:{&quot;height&quot;:700,&quot;width&quot;:1400,&quot;scale&quot;:2}},&quot;filters&quot;:null,&quot;lastRefreshTime&quot;:1755540519685,&quot;sheetId&quot;:&quot;{DD4B3569-A1B1-414A-87C0-1C7493C56801}&quot;,&quot;sheetName&quot;:&quot;Data&quot;,&quot;refreshedBy&quot;:&quot;Julie Krebs&quot;,&quot;pageFilterPayload&quot;:{&quot;dateTimeElement&quot;:null,&quot;dateRangeFilter&quot;:null,&quot;overrideDateRange&quot;:true,&quot;overrideSlicers&quot;:true},&quot;timeFilterData&quot;:{&quot;dateRange&quot;:{&quot;label&quot;:&quot;All time&quot;,&quot;value&quot;:&quot;ALL-TIME&quot;,&quot;active&quot;:false,&quot;rangeType&quot;:true},&quot;dateTimeElement&quot;:null,&quot;compareElement&quot;:&quot;NONE&quot;,&quot;rollingPeriodValue&quot;:1,&quot;rollingPeriodElement&quot;:&quot;DAY&quot;,&quot;btwRangeStart&quot;:&quot;1997-03-01T00:00:00.000Z&quot;,&quot;btwRangeEnd&quot;:&quot;2025-07-24T00:00:00.000Z&quot;,&quot;btwCompareStart&quot;:null,&quot;btwCompareEnd&quot;:null,&quot;periods&quot;:null,&quot;enableGraph&quot;:false,&quot;minDate&quot;:&quot;1997-03-01T00:00:00.000Z&quot;,&quot;maxDate&quot;:&quot;2025-07-24T00:00:00.000Z&quot;,&quot;periodCombineCount&quot;:null,&quot;isDashBoardView&quot;:false,&quot;dashboardRange&quot;:&quot;&quot;,&quot;dashboardGraph&quot;:&quot;&quot;,&quot;dashboardFilterSelectedGraph&quot;:&quot;&quot;,&quot;hasManualChangeTimeFilter&quot;:false},&quot;insertedInfoPositions&quot;:[{&quot;range&quot;:&quot;A1&quot;,&quot;text&quot;:&quot;Master Shipping Key_Marketing&quot;,&quot;show&quot;:true,&quot;type&quot;:&quot;Title&quot;,&quot;startIndex&quot;:1}],&quot;filtersForShow&quot;:[],&quot;name&quot;:&quot;Master Shipping Key_Marketing&quot;,&quot;type&quot;:&quot;kpi&quot;,&quot;datasetId&quot;:&quot;362aa223-ca1c-409e-ab8b-865907bed021&quot;,&quot;user&quot;:{&quot;userId&quot;:&quot;970351608&quot;,&quot;userEmail&quot;:&quot;jkrebs@mistercarwash.com&quot;,&quot;userName&quot;:&quot;Julie Krebs&quot;,&quot;instance&quot;:&quot;mistercarwash&quot;},&quot;version&quot;:&quot;2.0.29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mistercarwash.sharepoint.com/:x:/s/MarketingTeam/IQApru7GeCI7SKDcGMekS1X-ASW7mUge9n39iNzQOZP8lK8?e=69xcQp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mistercarwash.sharepoint.com/:x:/s/EnterpriseOperations/IQCKnNVCa4tYRpAT6FB9rhnSAYgPANnERIAHT8CO-RofpAM?e=uTeKt2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mistercarwash.domo.com/page/-100000/kpis/details/1253323230" TargetMode="External"/><Relationship Id="rId1" Type="http://schemas.openxmlformats.org/officeDocument/2006/relationships/hyperlink" Target="https://mistercarwash.domo.com/datasources/a851aa5c-f09e-4808-b087-dccd23f0ce65/details/overview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https://mistercarwash.domo.com/datasources/a851aa5c-f09e-4808-b087-dccd23f0ce65/details/overview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hyperlink" Target="https://mistercarwash.domo.com/page/-100000/kpis/details/1210781652" TargetMode="External"/><Relationship Id="rId1" Type="http://schemas.openxmlformats.org/officeDocument/2006/relationships/hyperlink" Target="https://mistercarwash.domo.com/datasources/a851aa5c-f09e-4808-b087-dccd23f0ce65/details/overview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hyperlink" Target="https://mistercarwash.domo.com/datasources/a851aa5c-f09e-4808-b087-dccd23f0ce65/details/overview" TargetMode="External"/><Relationship Id="rId1" Type="http://schemas.openxmlformats.org/officeDocument/2006/relationships/hyperlink" Target="https://mistercarwash.domo.com/page/-100000/kpis/details/12475871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A1DB3-E42F-4B0D-8E1E-9B0F722A444D}">
  <dimension ref="A2:DB207"/>
  <sheetViews>
    <sheetView zoomScale="80" zoomScaleNormal="80" workbookViewId="0">
      <pane ySplit="4" topLeftCell="A5" activePane="bottomLeft" state="frozen"/>
      <selection pane="bottomLeft" activeCell="C3" sqref="C3"/>
    </sheetView>
  </sheetViews>
  <sheetFormatPr defaultRowHeight="15.75" x14ac:dyDescent="0.25"/>
  <cols>
    <col min="1" max="1" width="31.125" bestFit="1" customWidth="1"/>
    <col min="2" max="2" width="5.625" customWidth="1"/>
    <col min="3" max="3" width="6.625" bestFit="1" customWidth="1"/>
    <col min="4" max="4" width="7.75" bestFit="1" customWidth="1"/>
    <col min="5" max="5" width="17.125" bestFit="1" customWidth="1"/>
    <col min="6" max="6" width="25.75" bestFit="1" customWidth="1"/>
    <col min="7" max="7" width="34.625" bestFit="1" customWidth="1"/>
    <col min="8" max="8" width="17.75" bestFit="1" customWidth="1"/>
    <col min="9" max="9" width="5.125" bestFit="1" customWidth="1"/>
    <col min="10" max="10" width="15.125" customWidth="1"/>
    <col min="11" max="11" width="20.375" customWidth="1"/>
    <col min="12" max="12" width="23.625" customWidth="1"/>
    <col min="13" max="13" width="12.875" customWidth="1"/>
    <col min="14" max="19" width="4.875" customWidth="1"/>
    <col min="20" max="30" width="7.125" customWidth="1"/>
    <col min="31" max="39" width="6.5" customWidth="1"/>
    <col min="40" max="58" width="6.875" customWidth="1"/>
    <col min="59" max="77" width="7.375" customWidth="1"/>
    <col min="78" max="84" width="6.625" customWidth="1"/>
    <col min="85" max="91" width="5.375" customWidth="1"/>
    <col min="92" max="97" width="6.875" customWidth="1"/>
    <col min="98" max="105" width="7" customWidth="1"/>
    <col min="106" max="106" width="7.125" customWidth="1"/>
  </cols>
  <sheetData>
    <row r="2" spans="1:106" ht="16.5" thickBot="1" x14ac:dyDescent="0.3">
      <c r="N2" s="167" t="s">
        <v>4100</v>
      </c>
      <c r="O2" s="167"/>
      <c r="P2" s="167"/>
      <c r="Q2" s="167"/>
      <c r="R2" s="167"/>
      <c r="S2" s="167"/>
      <c r="T2" t="s">
        <v>4099</v>
      </c>
      <c r="AB2" s="167" t="s">
        <v>4098</v>
      </c>
      <c r="AC2" s="167"/>
      <c r="AD2" s="167"/>
      <c r="AE2" t="s">
        <v>4097</v>
      </c>
      <c r="AN2" t="s">
        <v>4031</v>
      </c>
      <c r="BG2" t="s">
        <v>4029</v>
      </c>
      <c r="BZ2" t="s">
        <v>4096</v>
      </c>
      <c r="CG2" t="s">
        <v>4101</v>
      </c>
      <c r="CN2" t="s">
        <v>4116</v>
      </c>
      <c r="CP2" t="s">
        <v>4226</v>
      </c>
      <c r="CQ2" t="s">
        <v>4226</v>
      </c>
      <c r="CT2" s="489" t="s">
        <v>4127</v>
      </c>
      <c r="CU2" s="489"/>
      <c r="CV2" s="489"/>
      <c r="CW2" s="489"/>
      <c r="CX2" s="489"/>
      <c r="CY2" s="489"/>
      <c r="CZ2" s="489"/>
      <c r="DA2" s="489"/>
      <c r="DB2" t="s">
        <v>4132</v>
      </c>
    </row>
    <row r="3" spans="1:106" s="474" customFormat="1" ht="144.4" customHeight="1" thickBot="1" x14ac:dyDescent="0.3">
      <c r="A3" s="500" t="s">
        <v>4222</v>
      </c>
      <c r="B3" s="473"/>
      <c r="C3" s="473"/>
      <c r="D3" s="473"/>
      <c r="E3" s="501" t="s">
        <v>4223</v>
      </c>
      <c r="F3" s="502">
        <v>46244</v>
      </c>
      <c r="G3" s="473"/>
      <c r="H3" s="473"/>
      <c r="I3" s="473"/>
      <c r="J3" s="473"/>
      <c r="K3" s="473"/>
      <c r="L3" s="473"/>
      <c r="M3" s="490" t="s">
        <v>4009</v>
      </c>
      <c r="N3" s="483" t="s">
        <v>4218</v>
      </c>
      <c r="O3" s="482" t="s">
        <v>4217</v>
      </c>
      <c r="P3" s="482" t="s">
        <v>4219</v>
      </c>
      <c r="Q3" s="505" t="s">
        <v>4228</v>
      </c>
      <c r="R3" s="482" t="s">
        <v>4220</v>
      </c>
      <c r="S3" s="484" t="s">
        <v>4221</v>
      </c>
      <c r="T3" s="481" t="s">
        <v>4198</v>
      </c>
      <c r="U3" s="480" t="s">
        <v>4199</v>
      </c>
      <c r="V3" s="480" t="s">
        <v>4200</v>
      </c>
      <c r="W3" s="480" t="s">
        <v>4201</v>
      </c>
      <c r="X3" s="480" t="s">
        <v>4195</v>
      </c>
      <c r="Y3" s="480" t="s">
        <v>4202</v>
      </c>
      <c r="Z3" s="480" t="s">
        <v>4196</v>
      </c>
      <c r="AA3" s="480" t="s">
        <v>4197</v>
      </c>
      <c r="AB3" s="483" t="s">
        <v>4193</v>
      </c>
      <c r="AC3" s="482" t="s">
        <v>4192</v>
      </c>
      <c r="AD3" s="484" t="s">
        <v>4194</v>
      </c>
      <c r="AE3" s="531" t="s">
        <v>4245</v>
      </c>
      <c r="AF3" s="481" t="s">
        <v>4188</v>
      </c>
      <c r="AG3" s="480" t="s">
        <v>4189</v>
      </c>
      <c r="AH3" s="480" t="s">
        <v>4190</v>
      </c>
      <c r="AI3" s="480" t="s">
        <v>4185</v>
      </c>
      <c r="AJ3" s="480" t="s">
        <v>4191</v>
      </c>
      <c r="AK3" s="480" t="s">
        <v>4186</v>
      </c>
      <c r="AL3" s="480" t="s">
        <v>4187</v>
      </c>
      <c r="AM3" s="480" t="s">
        <v>4191</v>
      </c>
      <c r="AN3" s="479" t="s">
        <v>4182</v>
      </c>
      <c r="AO3" s="475" t="s">
        <v>4183</v>
      </c>
      <c r="AP3" s="475" t="s">
        <v>4184</v>
      </c>
      <c r="AQ3" s="475" t="s">
        <v>4171</v>
      </c>
      <c r="AR3" s="475" t="s">
        <v>4172</v>
      </c>
      <c r="AS3" s="475" t="s">
        <v>4181</v>
      </c>
      <c r="AT3" s="475" t="s">
        <v>4152</v>
      </c>
      <c r="AU3" s="475" t="s">
        <v>4156</v>
      </c>
      <c r="AV3" s="475" t="s">
        <v>4157</v>
      </c>
      <c r="AW3" s="475" t="s">
        <v>4158</v>
      </c>
      <c r="AX3" s="475" t="s">
        <v>4149</v>
      </c>
      <c r="AY3" s="475" t="s">
        <v>4150</v>
      </c>
      <c r="AZ3" s="475" t="s">
        <v>4173</v>
      </c>
      <c r="BA3" s="475" t="s">
        <v>4174</v>
      </c>
      <c r="BB3" s="475" t="s">
        <v>4175</v>
      </c>
      <c r="BC3" s="475" t="s">
        <v>4176</v>
      </c>
      <c r="BD3" s="475" t="s">
        <v>4162</v>
      </c>
      <c r="BE3" s="475" t="s">
        <v>4163</v>
      </c>
      <c r="BF3" s="477" t="s">
        <v>4164</v>
      </c>
      <c r="BG3" s="478" t="s">
        <v>4178</v>
      </c>
      <c r="BH3" s="472" t="s">
        <v>4179</v>
      </c>
      <c r="BI3" s="472" t="s">
        <v>4180</v>
      </c>
      <c r="BJ3" s="472" t="s">
        <v>4165</v>
      </c>
      <c r="BK3" s="472" t="s">
        <v>4166</v>
      </c>
      <c r="BL3" s="472" t="s">
        <v>4177</v>
      </c>
      <c r="BM3" s="472" t="s">
        <v>4151</v>
      </c>
      <c r="BN3" s="472" t="s">
        <v>4153</v>
      </c>
      <c r="BO3" s="472" t="s">
        <v>4154</v>
      </c>
      <c r="BP3" s="472" t="s">
        <v>4155</v>
      </c>
      <c r="BQ3" s="472" t="s">
        <v>4147</v>
      </c>
      <c r="BR3" s="472" t="s">
        <v>4148</v>
      </c>
      <c r="BS3" s="472" t="s">
        <v>4167</v>
      </c>
      <c r="BT3" s="472" t="s">
        <v>4168</v>
      </c>
      <c r="BU3" s="472" t="s">
        <v>4169</v>
      </c>
      <c r="BV3" s="472" t="s">
        <v>4170</v>
      </c>
      <c r="BW3" s="472" t="s">
        <v>4159</v>
      </c>
      <c r="BX3" s="472" t="s">
        <v>4160</v>
      </c>
      <c r="BY3" s="476" t="s">
        <v>4161</v>
      </c>
      <c r="BZ3" s="486" t="s">
        <v>4206</v>
      </c>
      <c r="CA3" s="485" t="s">
        <v>4207</v>
      </c>
      <c r="CB3" s="485" t="s">
        <v>4208</v>
      </c>
      <c r="CC3" s="485" t="s">
        <v>4203</v>
      </c>
      <c r="CD3" s="485" t="s">
        <v>4209</v>
      </c>
      <c r="CE3" s="485" t="s">
        <v>4204</v>
      </c>
      <c r="CF3" s="485" t="s">
        <v>4205</v>
      </c>
      <c r="CG3" s="488" t="s">
        <v>4212</v>
      </c>
      <c r="CH3" s="487" t="s">
        <v>4213</v>
      </c>
      <c r="CI3" s="487" t="s">
        <v>4214</v>
      </c>
      <c r="CJ3" s="487" t="s">
        <v>4215</v>
      </c>
      <c r="CK3" s="487" t="s">
        <v>4216</v>
      </c>
      <c r="CL3" s="487" t="s">
        <v>4210</v>
      </c>
      <c r="CM3" s="487" t="s">
        <v>4211</v>
      </c>
      <c r="CN3" s="469" t="s">
        <v>4142</v>
      </c>
      <c r="CO3" s="470" t="s">
        <v>4144</v>
      </c>
      <c r="CP3" s="470" t="s">
        <v>4143</v>
      </c>
      <c r="CQ3" s="471" t="s">
        <v>4146</v>
      </c>
      <c r="CR3" s="470" t="s">
        <v>4145</v>
      </c>
      <c r="CS3" s="523" t="s">
        <v>4141</v>
      </c>
      <c r="CT3" s="498" t="s">
        <v>4243</v>
      </c>
      <c r="CU3" s="499" t="s">
        <v>4244</v>
      </c>
      <c r="CV3" s="499" t="s">
        <v>4238</v>
      </c>
      <c r="CW3" s="511" t="s">
        <v>4241</v>
      </c>
      <c r="CX3" s="511" t="s">
        <v>4239</v>
      </c>
      <c r="CY3" s="499" t="s">
        <v>4240</v>
      </c>
      <c r="CZ3" s="511" t="s">
        <v>4242</v>
      </c>
      <c r="DA3" s="512" t="s">
        <v>4237</v>
      </c>
      <c r="DB3" s="532" t="s">
        <v>4132</v>
      </c>
    </row>
    <row r="4" spans="1:106" ht="46.7" customHeight="1" thickBot="1" x14ac:dyDescent="0.3">
      <c r="A4" s="463" t="s">
        <v>4</v>
      </c>
      <c r="B4" s="464" t="s">
        <v>5</v>
      </c>
      <c r="C4" s="464" t="s">
        <v>6</v>
      </c>
      <c r="D4" s="465" t="s">
        <v>3725</v>
      </c>
      <c r="E4" s="464" t="s">
        <v>8</v>
      </c>
      <c r="F4" s="464" t="s">
        <v>9</v>
      </c>
      <c r="G4" s="464" t="s">
        <v>10</v>
      </c>
      <c r="H4" s="464" t="s">
        <v>11</v>
      </c>
      <c r="I4" s="464" t="s">
        <v>12</v>
      </c>
      <c r="J4" s="464" t="s">
        <v>13</v>
      </c>
      <c r="K4" s="466" t="s">
        <v>14</v>
      </c>
      <c r="L4" s="467" t="s">
        <v>4008</v>
      </c>
      <c r="M4" s="467" t="s">
        <v>3732</v>
      </c>
      <c r="N4" s="209" t="s">
        <v>4066</v>
      </c>
      <c r="O4" s="210" t="s">
        <v>4065</v>
      </c>
      <c r="P4" s="210" t="s">
        <v>4067</v>
      </c>
      <c r="Q4" s="210" t="s">
        <v>4068</v>
      </c>
      <c r="R4" s="210" t="s">
        <v>4064</v>
      </c>
      <c r="S4" s="211" t="s">
        <v>4069</v>
      </c>
      <c r="T4" s="254" t="s">
        <v>4067</v>
      </c>
      <c r="U4" s="255" t="s">
        <v>4068</v>
      </c>
      <c r="V4" s="255" t="s">
        <v>4072</v>
      </c>
      <c r="W4" s="255" t="s">
        <v>4064</v>
      </c>
      <c r="X4" s="255" t="s">
        <v>4071</v>
      </c>
      <c r="Y4" s="255" t="s">
        <v>4069</v>
      </c>
      <c r="Z4" s="255" t="s">
        <v>4065</v>
      </c>
      <c r="AA4" s="255" t="s">
        <v>4066</v>
      </c>
      <c r="AB4" s="257" t="s">
        <v>4066</v>
      </c>
      <c r="AC4" s="258" t="s">
        <v>4064</v>
      </c>
      <c r="AD4" s="259" t="s">
        <v>4068</v>
      </c>
      <c r="AE4" s="256" t="s">
        <v>4067</v>
      </c>
      <c r="AF4" s="254" t="s">
        <v>4068</v>
      </c>
      <c r="AG4" s="255" t="s">
        <v>4072</v>
      </c>
      <c r="AH4" s="255" t="s">
        <v>4064</v>
      </c>
      <c r="AI4" s="255" t="s">
        <v>4071</v>
      </c>
      <c r="AJ4" s="255" t="s">
        <v>4069</v>
      </c>
      <c r="AK4" s="255" t="s">
        <v>4065</v>
      </c>
      <c r="AL4" s="255" t="s">
        <v>4066</v>
      </c>
      <c r="AM4" s="255" t="s">
        <v>4069</v>
      </c>
      <c r="AN4" s="269" t="s">
        <v>4011</v>
      </c>
      <c r="AO4" s="270" t="s">
        <v>4018</v>
      </c>
      <c r="AP4" s="270" t="s">
        <v>4020</v>
      </c>
      <c r="AQ4" s="270" t="s">
        <v>4013</v>
      </c>
      <c r="AR4" s="270" t="s">
        <v>4022</v>
      </c>
      <c r="AS4" s="270" t="s">
        <v>4016</v>
      </c>
      <c r="AT4" s="268" t="s">
        <v>3839</v>
      </c>
      <c r="AU4" s="268" t="s">
        <v>3929</v>
      </c>
      <c r="AV4" s="268" t="s">
        <v>3951</v>
      </c>
      <c r="AW4" s="268" t="s">
        <v>3955</v>
      </c>
      <c r="AX4" s="268" t="s">
        <v>3845</v>
      </c>
      <c r="AY4" s="268" t="s">
        <v>3945</v>
      </c>
      <c r="AZ4" s="268" t="s">
        <v>3739</v>
      </c>
      <c r="BA4" s="268" t="s">
        <v>3802</v>
      </c>
      <c r="BB4" s="268" t="s">
        <v>3963</v>
      </c>
      <c r="BC4" s="268" t="s">
        <v>3851</v>
      </c>
      <c r="BD4" s="268" t="s">
        <v>3776</v>
      </c>
      <c r="BE4" s="268" t="s">
        <v>3969</v>
      </c>
      <c r="BF4" s="271" t="s">
        <v>3828</v>
      </c>
      <c r="BG4" s="274" t="s">
        <v>4011</v>
      </c>
      <c r="BH4" s="275" t="s">
        <v>4018</v>
      </c>
      <c r="BI4" s="275" t="s">
        <v>4020</v>
      </c>
      <c r="BJ4" s="275" t="s">
        <v>4013</v>
      </c>
      <c r="BK4" s="275" t="s">
        <v>4022</v>
      </c>
      <c r="BL4" s="275" t="s">
        <v>4016</v>
      </c>
      <c r="BM4" s="272" t="s">
        <v>3839</v>
      </c>
      <c r="BN4" s="272" t="s">
        <v>3929</v>
      </c>
      <c r="BO4" s="272" t="s">
        <v>3951</v>
      </c>
      <c r="BP4" s="272" t="s">
        <v>3955</v>
      </c>
      <c r="BQ4" s="272" t="s">
        <v>3845</v>
      </c>
      <c r="BR4" s="272" t="s">
        <v>3945</v>
      </c>
      <c r="BS4" s="272" t="s">
        <v>3739</v>
      </c>
      <c r="BT4" s="272" t="s">
        <v>3802</v>
      </c>
      <c r="BU4" s="272" t="s">
        <v>3963</v>
      </c>
      <c r="BV4" s="272" t="s">
        <v>3851</v>
      </c>
      <c r="BW4" s="272" t="s">
        <v>3776</v>
      </c>
      <c r="BX4" s="272" t="s">
        <v>3969</v>
      </c>
      <c r="BY4" s="273" t="s">
        <v>3828</v>
      </c>
      <c r="BZ4" s="506" t="s">
        <v>4067</v>
      </c>
      <c r="CA4" s="276" t="s">
        <v>4068</v>
      </c>
      <c r="CB4" s="276" t="s">
        <v>4064</v>
      </c>
      <c r="CC4" s="276" t="s">
        <v>4071</v>
      </c>
      <c r="CD4" s="276" t="s">
        <v>4069</v>
      </c>
      <c r="CE4" s="276" t="s">
        <v>4065</v>
      </c>
      <c r="CF4" s="276" t="s">
        <v>4066</v>
      </c>
      <c r="CG4" s="339" t="s">
        <v>4067</v>
      </c>
      <c r="CH4" s="340" t="s">
        <v>4068</v>
      </c>
      <c r="CI4" s="340" t="s">
        <v>4072</v>
      </c>
      <c r="CJ4" s="340" t="s">
        <v>4064</v>
      </c>
      <c r="CK4" s="340" t="s">
        <v>4069</v>
      </c>
      <c r="CL4" s="340" t="s">
        <v>4065</v>
      </c>
      <c r="CM4" s="340" t="s">
        <v>4066</v>
      </c>
      <c r="CN4" s="384" t="s">
        <v>4121</v>
      </c>
      <c r="CO4" s="385" t="s">
        <v>4122</v>
      </c>
      <c r="CP4" s="385" t="s">
        <v>4123</v>
      </c>
      <c r="CQ4" s="385" t="s">
        <v>4124</v>
      </c>
      <c r="CR4" s="385" t="s">
        <v>4125</v>
      </c>
      <c r="CS4" s="524" t="s">
        <v>4120</v>
      </c>
      <c r="CT4" s="507" t="s">
        <v>4067</v>
      </c>
      <c r="CU4" s="508" t="s">
        <v>4068</v>
      </c>
      <c r="CV4" s="508" t="s">
        <v>4072</v>
      </c>
      <c r="CW4" s="508" t="s">
        <v>4071</v>
      </c>
      <c r="CX4" s="508" t="s">
        <v>4064</v>
      </c>
      <c r="CY4" s="508" t="s">
        <v>4069</v>
      </c>
      <c r="CZ4" s="508" t="s">
        <v>4065</v>
      </c>
      <c r="DA4" s="509" t="s">
        <v>4066</v>
      </c>
      <c r="DB4" s="533"/>
    </row>
    <row r="5" spans="1:106" x14ac:dyDescent="0.25">
      <c r="A5" s="468" t="s">
        <v>41</v>
      </c>
      <c r="B5" s="468">
        <v>813</v>
      </c>
      <c r="C5" s="468" t="s">
        <v>434</v>
      </c>
      <c r="D5" s="468">
        <v>41</v>
      </c>
      <c r="E5" s="468" t="s">
        <v>435</v>
      </c>
      <c r="F5" s="468" t="s">
        <v>2990</v>
      </c>
      <c r="G5" s="468" t="s">
        <v>437</v>
      </c>
      <c r="H5" s="468" t="s">
        <v>438</v>
      </c>
      <c r="I5" s="468" t="s">
        <v>46</v>
      </c>
      <c r="J5" s="468" t="s">
        <v>439</v>
      </c>
      <c r="K5" s="468" t="s">
        <v>440</v>
      </c>
      <c r="L5" s="468" t="s">
        <v>3775</v>
      </c>
      <c r="M5" s="468" t="s">
        <v>3776</v>
      </c>
      <c r="N5" s="459"/>
      <c r="O5" s="278"/>
      <c r="P5" s="278"/>
      <c r="Q5" s="278"/>
      <c r="R5" s="278"/>
      <c r="S5" s="279"/>
      <c r="T5" s="280"/>
      <c r="U5" s="281"/>
      <c r="V5" s="281"/>
      <c r="W5" s="281"/>
      <c r="X5" s="281"/>
      <c r="Y5" s="281"/>
      <c r="Z5" s="281"/>
      <c r="AA5" s="281"/>
      <c r="AB5" s="277"/>
      <c r="AC5" s="278"/>
      <c r="AD5" s="279"/>
      <c r="AE5" s="284"/>
      <c r="AF5" s="282"/>
      <c r="AG5" s="283"/>
      <c r="AH5" s="283"/>
      <c r="AI5" s="283"/>
      <c r="AJ5" s="283">
        <v>1</v>
      </c>
      <c r="AK5" s="283"/>
      <c r="AL5" s="283"/>
      <c r="AM5" s="283"/>
      <c r="AN5" s="285"/>
      <c r="AO5" s="286"/>
      <c r="AP5" s="286"/>
      <c r="AQ5" s="286"/>
      <c r="AR5" s="286"/>
      <c r="AS5" s="286"/>
      <c r="AT5" s="286"/>
      <c r="AU5" s="286"/>
      <c r="AV5" s="286"/>
      <c r="AW5" s="286"/>
      <c r="AX5" s="286"/>
      <c r="AY5" s="286"/>
      <c r="AZ5" s="286"/>
      <c r="BA5" s="286"/>
      <c r="BB5" s="286"/>
      <c r="BC5" s="286"/>
      <c r="BD5" s="286">
        <v>1500</v>
      </c>
      <c r="BE5" s="286"/>
      <c r="BF5" s="287"/>
      <c r="BG5" s="288"/>
      <c r="BH5" s="289"/>
      <c r="BI5" s="289"/>
      <c r="BJ5" s="289"/>
      <c r="BK5" s="289"/>
      <c r="BL5" s="289"/>
      <c r="BM5" s="289"/>
      <c r="BN5" s="289"/>
      <c r="BO5" s="289"/>
      <c r="BP5" s="289"/>
      <c r="BQ5" s="289"/>
      <c r="BR5" s="289"/>
      <c r="BS5" s="289"/>
      <c r="BT5" s="289"/>
      <c r="BU5" s="289"/>
      <c r="BV5" s="289"/>
      <c r="BW5" s="289">
        <v>10</v>
      </c>
      <c r="BX5" s="289"/>
      <c r="BY5" s="290"/>
      <c r="BZ5" s="291"/>
      <c r="CA5" s="292"/>
      <c r="CB5" s="292"/>
      <c r="CC5" s="292"/>
      <c r="CD5" s="292"/>
      <c r="CE5" s="292"/>
      <c r="CF5" s="292"/>
      <c r="CG5" s="337"/>
      <c r="CH5" s="338"/>
      <c r="CI5" s="338"/>
      <c r="CJ5" s="338"/>
      <c r="CK5" s="338">
        <v>2</v>
      </c>
      <c r="CL5" s="338"/>
      <c r="CM5" s="338"/>
      <c r="CN5" s="377"/>
      <c r="CO5" s="378"/>
      <c r="CP5" s="378"/>
      <c r="CQ5" s="378"/>
      <c r="CR5" s="378">
        <v>10</v>
      </c>
      <c r="CS5" s="386"/>
      <c r="CT5" s="395"/>
      <c r="CU5" s="396"/>
      <c r="CV5" s="396"/>
      <c r="CW5" s="396"/>
      <c r="CX5" s="396">
        <v>1</v>
      </c>
      <c r="CY5" s="396"/>
      <c r="CZ5" s="396"/>
      <c r="DA5" s="397"/>
      <c r="DB5" s="522">
        <v>1</v>
      </c>
    </row>
    <row r="6" spans="1:106" x14ac:dyDescent="0.25">
      <c r="A6" s="468" t="s">
        <v>41</v>
      </c>
      <c r="B6" s="468">
        <v>813</v>
      </c>
      <c r="C6" s="468" t="s">
        <v>42</v>
      </c>
      <c r="D6" s="468">
        <v>42</v>
      </c>
      <c r="E6" s="468" t="s">
        <v>43</v>
      </c>
      <c r="F6" s="468" t="s">
        <v>441</v>
      </c>
      <c r="G6" s="468" t="s">
        <v>44</v>
      </c>
      <c r="H6" s="468" t="s">
        <v>45</v>
      </c>
      <c r="I6" s="468" t="s">
        <v>46</v>
      </c>
      <c r="J6" s="468" t="s">
        <v>47</v>
      </c>
      <c r="K6" s="468" t="s">
        <v>48</v>
      </c>
      <c r="L6" s="468" t="s">
        <v>3775</v>
      </c>
      <c r="M6" s="468" t="s">
        <v>3776</v>
      </c>
      <c r="N6" s="460"/>
      <c r="O6" s="294"/>
      <c r="P6" s="294"/>
      <c r="Q6" s="294"/>
      <c r="R6" s="294"/>
      <c r="S6" s="295"/>
      <c r="T6" s="296"/>
      <c r="U6" s="297"/>
      <c r="V6" s="297"/>
      <c r="W6" s="297"/>
      <c r="X6" s="297"/>
      <c r="Y6" s="297"/>
      <c r="Z6" s="297"/>
      <c r="AA6" s="297"/>
      <c r="AB6" s="293"/>
      <c r="AC6" s="294"/>
      <c r="AD6" s="295"/>
      <c r="AE6" s="298"/>
      <c r="AF6" s="299"/>
      <c r="AG6" s="297"/>
      <c r="AH6" s="297"/>
      <c r="AI6" s="297"/>
      <c r="AJ6" s="297">
        <v>1</v>
      </c>
      <c r="AK6" s="297"/>
      <c r="AL6" s="297"/>
      <c r="AM6" s="297"/>
      <c r="AN6" s="300"/>
      <c r="AO6" s="301"/>
      <c r="AP6" s="301"/>
      <c r="AQ6" s="301"/>
      <c r="AR6" s="301"/>
      <c r="AS6" s="301"/>
      <c r="AT6" s="301"/>
      <c r="AU6" s="301"/>
      <c r="AV6" s="301"/>
      <c r="AW6" s="301"/>
      <c r="AX6" s="301"/>
      <c r="AY6" s="301"/>
      <c r="AZ6" s="301"/>
      <c r="BA6" s="301"/>
      <c r="BB6" s="301"/>
      <c r="BC6" s="301"/>
      <c r="BD6" s="301">
        <v>1500</v>
      </c>
      <c r="BE6" s="301"/>
      <c r="BF6" s="302"/>
      <c r="BG6" s="303"/>
      <c r="BH6" s="304"/>
      <c r="BI6" s="304"/>
      <c r="BJ6" s="304"/>
      <c r="BK6" s="304"/>
      <c r="BL6" s="304"/>
      <c r="BM6" s="304"/>
      <c r="BN6" s="304"/>
      <c r="BO6" s="304"/>
      <c r="BP6" s="304"/>
      <c r="BQ6" s="304"/>
      <c r="BR6" s="304"/>
      <c r="BS6" s="304"/>
      <c r="BT6" s="304"/>
      <c r="BU6" s="304"/>
      <c r="BV6" s="304"/>
      <c r="BW6" s="304">
        <v>10</v>
      </c>
      <c r="BX6" s="304"/>
      <c r="BY6" s="305"/>
      <c r="BZ6" s="306"/>
      <c r="CA6" s="307"/>
      <c r="CB6" s="307"/>
      <c r="CC6" s="307"/>
      <c r="CD6" s="307"/>
      <c r="CE6" s="307"/>
      <c r="CF6" s="307"/>
      <c r="CG6" s="332"/>
      <c r="CH6" s="328"/>
      <c r="CI6" s="328"/>
      <c r="CJ6" s="328"/>
      <c r="CK6" s="328">
        <v>2</v>
      </c>
      <c r="CL6" s="328"/>
      <c r="CM6" s="328"/>
      <c r="CN6" s="370"/>
      <c r="CO6" s="367"/>
      <c r="CP6" s="367"/>
      <c r="CQ6" s="367"/>
      <c r="CR6" s="378">
        <v>10</v>
      </c>
      <c r="CS6" s="387"/>
      <c r="CT6" s="398"/>
      <c r="CU6" s="399"/>
      <c r="CV6" s="399"/>
      <c r="CW6" s="399"/>
      <c r="CX6" s="399">
        <v>1</v>
      </c>
      <c r="CY6" s="399"/>
      <c r="CZ6" s="399"/>
      <c r="DA6" s="400"/>
      <c r="DB6" s="522">
        <v>1</v>
      </c>
    </row>
    <row r="7" spans="1:106" x14ac:dyDescent="0.25">
      <c r="A7" s="468" t="s">
        <v>41</v>
      </c>
      <c r="B7" s="468">
        <v>813</v>
      </c>
      <c r="C7" s="468" t="s">
        <v>442</v>
      </c>
      <c r="D7" s="468">
        <v>43</v>
      </c>
      <c r="E7" s="468" t="s">
        <v>443</v>
      </c>
      <c r="F7" s="468" t="s">
        <v>2954</v>
      </c>
      <c r="G7" s="468" t="s">
        <v>444</v>
      </c>
      <c r="H7" s="468" t="s">
        <v>144</v>
      </c>
      <c r="I7" s="468" t="s">
        <v>46</v>
      </c>
      <c r="J7" s="468" t="s">
        <v>445</v>
      </c>
      <c r="K7" s="468" t="s">
        <v>446</v>
      </c>
      <c r="L7" s="468" t="s">
        <v>3775</v>
      </c>
      <c r="M7" s="468" t="s">
        <v>3776</v>
      </c>
      <c r="N7" s="460"/>
      <c r="O7" s="294"/>
      <c r="P7" s="294"/>
      <c r="Q7" s="294"/>
      <c r="R7" s="294"/>
      <c r="S7" s="295"/>
      <c r="T7" s="296"/>
      <c r="U7" s="297"/>
      <c r="V7" s="297"/>
      <c r="W7" s="297"/>
      <c r="X7" s="297"/>
      <c r="Y7" s="297"/>
      <c r="Z7" s="297"/>
      <c r="AA7" s="297"/>
      <c r="AB7" s="293"/>
      <c r="AC7" s="294"/>
      <c r="AD7" s="295"/>
      <c r="AE7" s="298"/>
      <c r="AF7" s="299"/>
      <c r="AG7" s="297"/>
      <c r="AH7" s="297"/>
      <c r="AI7" s="297"/>
      <c r="AJ7" s="297">
        <v>1</v>
      </c>
      <c r="AK7" s="297"/>
      <c r="AL7" s="297"/>
      <c r="AM7" s="297"/>
      <c r="AN7" s="300"/>
      <c r="AO7" s="301"/>
      <c r="AP7" s="301"/>
      <c r="AQ7" s="301"/>
      <c r="AR7" s="301"/>
      <c r="AS7" s="301"/>
      <c r="AT7" s="301"/>
      <c r="AU7" s="301"/>
      <c r="AV7" s="301"/>
      <c r="AW7" s="301"/>
      <c r="AX7" s="301"/>
      <c r="AY7" s="301"/>
      <c r="AZ7" s="301"/>
      <c r="BA7" s="301"/>
      <c r="BB7" s="301"/>
      <c r="BC7" s="301"/>
      <c r="BD7" s="301">
        <v>1500</v>
      </c>
      <c r="BE7" s="301"/>
      <c r="BF7" s="302"/>
      <c r="BG7" s="303"/>
      <c r="BH7" s="304"/>
      <c r="BI7" s="304"/>
      <c r="BJ7" s="304"/>
      <c r="BK7" s="304"/>
      <c r="BL7" s="304"/>
      <c r="BM7" s="304"/>
      <c r="BN7" s="304"/>
      <c r="BO7" s="304"/>
      <c r="BP7" s="304"/>
      <c r="BQ7" s="304"/>
      <c r="BR7" s="304"/>
      <c r="BS7" s="304"/>
      <c r="BT7" s="304"/>
      <c r="BU7" s="304"/>
      <c r="BV7" s="304"/>
      <c r="BW7" s="304">
        <v>10</v>
      </c>
      <c r="BX7" s="304"/>
      <c r="BY7" s="305"/>
      <c r="BZ7" s="306"/>
      <c r="CA7" s="307"/>
      <c r="CB7" s="307"/>
      <c r="CC7" s="307"/>
      <c r="CD7" s="307"/>
      <c r="CE7" s="307"/>
      <c r="CF7" s="307"/>
      <c r="CG7" s="332"/>
      <c r="CH7" s="328"/>
      <c r="CI7" s="328"/>
      <c r="CJ7" s="328"/>
      <c r="CK7" s="328">
        <v>2</v>
      </c>
      <c r="CL7" s="328"/>
      <c r="CM7" s="328"/>
      <c r="CN7" s="370"/>
      <c r="CO7" s="367"/>
      <c r="CP7" s="367"/>
      <c r="CQ7" s="367"/>
      <c r="CR7" s="378">
        <v>10</v>
      </c>
      <c r="CS7" s="387"/>
      <c r="CT7" s="398"/>
      <c r="CU7" s="399"/>
      <c r="CV7" s="399"/>
      <c r="CW7" s="399"/>
      <c r="CX7" s="399">
        <v>1</v>
      </c>
      <c r="CY7" s="399"/>
      <c r="CZ7" s="399"/>
      <c r="DA7" s="400"/>
      <c r="DB7" s="522">
        <v>1</v>
      </c>
    </row>
    <row r="8" spans="1:106" x14ac:dyDescent="0.25">
      <c r="A8" s="468" t="s">
        <v>41</v>
      </c>
      <c r="B8" s="468">
        <v>813</v>
      </c>
      <c r="C8" s="468" t="s">
        <v>447</v>
      </c>
      <c r="D8" s="468">
        <v>44</v>
      </c>
      <c r="E8" s="468" t="s">
        <v>448</v>
      </c>
      <c r="F8" s="468" t="s">
        <v>436</v>
      </c>
      <c r="G8" s="468" t="s">
        <v>450</v>
      </c>
      <c r="H8" s="468" t="s">
        <v>451</v>
      </c>
      <c r="I8" s="468" t="s">
        <v>46</v>
      </c>
      <c r="J8" s="468" t="s">
        <v>3082</v>
      </c>
      <c r="K8" s="468" t="s">
        <v>452</v>
      </c>
      <c r="L8" s="468" t="s">
        <v>3775</v>
      </c>
      <c r="M8" s="468" t="s">
        <v>3776</v>
      </c>
      <c r="N8" s="460"/>
      <c r="O8" s="294"/>
      <c r="P8" s="294"/>
      <c r="Q8" s="294"/>
      <c r="R8" s="294"/>
      <c r="S8" s="295"/>
      <c r="T8" s="296"/>
      <c r="U8" s="297"/>
      <c r="V8" s="297"/>
      <c r="W8" s="297"/>
      <c r="X8" s="297"/>
      <c r="Y8" s="297"/>
      <c r="Z8" s="297"/>
      <c r="AA8" s="297"/>
      <c r="AB8" s="293"/>
      <c r="AC8" s="294"/>
      <c r="AD8" s="295"/>
      <c r="AE8" s="298"/>
      <c r="AF8" s="299"/>
      <c r="AG8" s="297"/>
      <c r="AH8" s="297"/>
      <c r="AI8" s="297"/>
      <c r="AJ8" s="297">
        <v>1</v>
      </c>
      <c r="AK8" s="297"/>
      <c r="AL8" s="297"/>
      <c r="AM8" s="297"/>
      <c r="AN8" s="300"/>
      <c r="AO8" s="301"/>
      <c r="AP8" s="301"/>
      <c r="AQ8" s="301"/>
      <c r="AR8" s="301"/>
      <c r="AS8" s="301"/>
      <c r="AT8" s="301"/>
      <c r="AU8" s="301"/>
      <c r="AV8" s="301"/>
      <c r="AW8" s="301"/>
      <c r="AX8" s="301"/>
      <c r="AY8" s="301"/>
      <c r="AZ8" s="301"/>
      <c r="BA8" s="301"/>
      <c r="BB8" s="301"/>
      <c r="BC8" s="301"/>
      <c r="BD8" s="301">
        <v>1500</v>
      </c>
      <c r="BE8" s="301"/>
      <c r="BF8" s="302"/>
      <c r="BG8" s="303"/>
      <c r="BH8" s="304"/>
      <c r="BI8" s="304"/>
      <c r="BJ8" s="304"/>
      <c r="BK8" s="304"/>
      <c r="BL8" s="304"/>
      <c r="BM8" s="304"/>
      <c r="BN8" s="304"/>
      <c r="BO8" s="304"/>
      <c r="BP8" s="304"/>
      <c r="BQ8" s="304"/>
      <c r="BR8" s="304"/>
      <c r="BS8" s="304"/>
      <c r="BT8" s="304"/>
      <c r="BU8" s="304"/>
      <c r="BV8" s="304"/>
      <c r="BW8" s="304">
        <v>10</v>
      </c>
      <c r="BX8" s="304"/>
      <c r="BY8" s="305"/>
      <c r="BZ8" s="306"/>
      <c r="CA8" s="307"/>
      <c r="CB8" s="307"/>
      <c r="CC8" s="307"/>
      <c r="CD8" s="307"/>
      <c r="CE8" s="307"/>
      <c r="CF8" s="307"/>
      <c r="CG8" s="332"/>
      <c r="CH8" s="328"/>
      <c r="CI8" s="328"/>
      <c r="CJ8" s="328"/>
      <c r="CK8" s="328">
        <v>2</v>
      </c>
      <c r="CL8" s="328"/>
      <c r="CM8" s="328"/>
      <c r="CN8" s="370"/>
      <c r="CO8" s="367"/>
      <c r="CP8" s="367"/>
      <c r="CQ8" s="367"/>
      <c r="CR8" s="378">
        <v>10</v>
      </c>
      <c r="CS8" s="387"/>
      <c r="CT8" s="398"/>
      <c r="CU8" s="399"/>
      <c r="CV8" s="399"/>
      <c r="CW8" s="399"/>
      <c r="CX8" s="399">
        <v>1</v>
      </c>
      <c r="CY8" s="399"/>
      <c r="CZ8" s="399"/>
      <c r="DA8" s="400"/>
      <c r="DB8" s="522">
        <v>1</v>
      </c>
    </row>
    <row r="9" spans="1:106" x14ac:dyDescent="0.25">
      <c r="A9" s="468" t="s">
        <v>41</v>
      </c>
      <c r="B9" s="468">
        <v>813</v>
      </c>
      <c r="C9" s="468" t="s">
        <v>453</v>
      </c>
      <c r="D9" s="468">
        <v>45</v>
      </c>
      <c r="E9" s="468" t="s">
        <v>454</v>
      </c>
      <c r="F9" s="468" t="s">
        <v>449</v>
      </c>
      <c r="G9" s="468" t="s">
        <v>455</v>
      </c>
      <c r="H9" s="468" t="s">
        <v>451</v>
      </c>
      <c r="I9" s="468" t="s">
        <v>46</v>
      </c>
      <c r="J9" s="468" t="s">
        <v>456</v>
      </c>
      <c r="K9" s="468" t="s">
        <v>457</v>
      </c>
      <c r="L9" s="468" t="s">
        <v>3775</v>
      </c>
      <c r="M9" s="468" t="s">
        <v>3776</v>
      </c>
      <c r="N9" s="460"/>
      <c r="O9" s="294"/>
      <c r="P9" s="294"/>
      <c r="Q9" s="294"/>
      <c r="R9" s="294"/>
      <c r="S9" s="295"/>
      <c r="T9" s="296"/>
      <c r="U9" s="297"/>
      <c r="V9" s="297"/>
      <c r="W9" s="297"/>
      <c r="X9" s="297"/>
      <c r="Y9" s="297"/>
      <c r="Z9" s="297"/>
      <c r="AA9" s="297"/>
      <c r="AB9" s="293"/>
      <c r="AC9" s="294"/>
      <c r="AD9" s="295"/>
      <c r="AE9" s="298"/>
      <c r="AF9" s="299"/>
      <c r="AG9" s="297"/>
      <c r="AH9" s="297"/>
      <c r="AI9" s="297"/>
      <c r="AJ9" s="297">
        <v>1</v>
      </c>
      <c r="AK9" s="297"/>
      <c r="AL9" s="297"/>
      <c r="AM9" s="297"/>
      <c r="AN9" s="300"/>
      <c r="AO9" s="301"/>
      <c r="AP9" s="301"/>
      <c r="AQ9" s="301"/>
      <c r="AR9" s="301"/>
      <c r="AS9" s="301"/>
      <c r="AT9" s="301"/>
      <c r="AU9" s="301"/>
      <c r="AV9" s="301"/>
      <c r="AW9" s="301"/>
      <c r="AX9" s="301"/>
      <c r="AY9" s="301"/>
      <c r="AZ9" s="301"/>
      <c r="BA9" s="301"/>
      <c r="BB9" s="301"/>
      <c r="BC9" s="301"/>
      <c r="BD9" s="301">
        <v>1500</v>
      </c>
      <c r="BE9" s="301"/>
      <c r="BF9" s="302"/>
      <c r="BG9" s="303"/>
      <c r="BH9" s="304"/>
      <c r="BI9" s="304"/>
      <c r="BJ9" s="304"/>
      <c r="BK9" s="304"/>
      <c r="BL9" s="304"/>
      <c r="BM9" s="304"/>
      <c r="BN9" s="304"/>
      <c r="BO9" s="304"/>
      <c r="BP9" s="304"/>
      <c r="BQ9" s="304"/>
      <c r="BR9" s="304"/>
      <c r="BS9" s="304"/>
      <c r="BT9" s="304"/>
      <c r="BU9" s="304"/>
      <c r="BV9" s="304"/>
      <c r="BW9" s="304">
        <v>10</v>
      </c>
      <c r="BX9" s="304"/>
      <c r="BY9" s="305"/>
      <c r="BZ9" s="306"/>
      <c r="CA9" s="307"/>
      <c r="CB9" s="307"/>
      <c r="CC9" s="307"/>
      <c r="CD9" s="307"/>
      <c r="CE9" s="307"/>
      <c r="CF9" s="307"/>
      <c r="CG9" s="332"/>
      <c r="CH9" s="328"/>
      <c r="CI9" s="328"/>
      <c r="CJ9" s="328"/>
      <c r="CK9" s="328">
        <v>2</v>
      </c>
      <c r="CL9" s="328"/>
      <c r="CM9" s="328"/>
      <c r="CN9" s="370"/>
      <c r="CO9" s="367"/>
      <c r="CP9" s="367"/>
      <c r="CQ9" s="367"/>
      <c r="CR9" s="378">
        <v>10</v>
      </c>
      <c r="CS9" s="387"/>
      <c r="CT9" s="398"/>
      <c r="CU9" s="399"/>
      <c r="CV9" s="399"/>
      <c r="CW9" s="399"/>
      <c r="CX9" s="399">
        <v>1</v>
      </c>
      <c r="CY9" s="399"/>
      <c r="CZ9" s="399"/>
      <c r="DA9" s="400"/>
      <c r="DB9" s="522">
        <v>1</v>
      </c>
    </row>
    <row r="10" spans="1:106" x14ac:dyDescent="0.25">
      <c r="A10" s="468" t="s">
        <v>41</v>
      </c>
      <c r="B10" s="468">
        <v>813</v>
      </c>
      <c r="C10" s="468" t="s">
        <v>458</v>
      </c>
      <c r="D10" s="468">
        <v>46</v>
      </c>
      <c r="E10" s="468" t="s">
        <v>459</v>
      </c>
      <c r="F10" s="468" t="s">
        <v>460</v>
      </c>
      <c r="G10" s="468" t="s">
        <v>461</v>
      </c>
      <c r="H10" s="468" t="s">
        <v>451</v>
      </c>
      <c r="I10" s="468" t="s">
        <v>46</v>
      </c>
      <c r="J10" s="468" t="s">
        <v>462</v>
      </c>
      <c r="K10" s="468" t="s">
        <v>463</v>
      </c>
      <c r="L10" s="468" t="s">
        <v>3775</v>
      </c>
      <c r="M10" s="468" t="s">
        <v>3776</v>
      </c>
      <c r="N10" s="460"/>
      <c r="O10" s="294"/>
      <c r="P10" s="294"/>
      <c r="Q10" s="294"/>
      <c r="R10" s="294"/>
      <c r="S10" s="295"/>
      <c r="T10" s="296"/>
      <c r="U10" s="297"/>
      <c r="V10" s="297"/>
      <c r="W10" s="297"/>
      <c r="X10" s="297"/>
      <c r="Y10" s="297"/>
      <c r="Z10" s="297"/>
      <c r="AA10" s="297"/>
      <c r="AB10" s="293"/>
      <c r="AC10" s="294"/>
      <c r="AD10" s="295"/>
      <c r="AE10" s="298"/>
      <c r="AF10" s="299"/>
      <c r="AG10" s="297"/>
      <c r="AH10" s="297"/>
      <c r="AI10" s="297"/>
      <c r="AJ10" s="297">
        <v>1</v>
      </c>
      <c r="AK10" s="297"/>
      <c r="AL10" s="297"/>
      <c r="AM10" s="297"/>
      <c r="AN10" s="300"/>
      <c r="AO10" s="301"/>
      <c r="AP10" s="301"/>
      <c r="AQ10" s="301"/>
      <c r="AR10" s="301"/>
      <c r="AS10" s="301"/>
      <c r="AT10" s="301"/>
      <c r="AU10" s="301"/>
      <c r="AV10" s="301"/>
      <c r="AW10" s="301"/>
      <c r="AX10" s="301"/>
      <c r="AY10" s="301"/>
      <c r="AZ10" s="301"/>
      <c r="BA10" s="301"/>
      <c r="BB10" s="301"/>
      <c r="BC10" s="301"/>
      <c r="BD10" s="301">
        <v>1500</v>
      </c>
      <c r="BE10" s="301"/>
      <c r="BF10" s="302"/>
      <c r="BG10" s="303"/>
      <c r="BH10" s="304"/>
      <c r="BI10" s="304"/>
      <c r="BJ10" s="304"/>
      <c r="BK10" s="304"/>
      <c r="BL10" s="304"/>
      <c r="BM10" s="304"/>
      <c r="BN10" s="304"/>
      <c r="BO10" s="304"/>
      <c r="BP10" s="304"/>
      <c r="BQ10" s="304"/>
      <c r="BR10" s="304"/>
      <c r="BS10" s="304"/>
      <c r="BT10" s="304"/>
      <c r="BU10" s="304"/>
      <c r="BV10" s="304"/>
      <c r="BW10" s="304">
        <v>10</v>
      </c>
      <c r="BX10" s="304"/>
      <c r="BY10" s="305"/>
      <c r="BZ10" s="306"/>
      <c r="CA10" s="307"/>
      <c r="CB10" s="307"/>
      <c r="CC10" s="307"/>
      <c r="CD10" s="307"/>
      <c r="CE10" s="307"/>
      <c r="CF10" s="307"/>
      <c r="CG10" s="332"/>
      <c r="CH10" s="328"/>
      <c r="CI10" s="328"/>
      <c r="CJ10" s="328"/>
      <c r="CK10" s="328">
        <v>2</v>
      </c>
      <c r="CL10" s="328"/>
      <c r="CM10" s="328"/>
      <c r="CN10" s="370"/>
      <c r="CO10" s="367"/>
      <c r="CP10" s="367"/>
      <c r="CQ10" s="367"/>
      <c r="CR10" s="378">
        <v>10</v>
      </c>
      <c r="CS10" s="387"/>
      <c r="CT10" s="398"/>
      <c r="CU10" s="399"/>
      <c r="CV10" s="399"/>
      <c r="CW10" s="399"/>
      <c r="CX10" s="399">
        <v>1</v>
      </c>
      <c r="CY10" s="399"/>
      <c r="CZ10" s="399"/>
      <c r="DA10" s="400"/>
      <c r="DB10" s="522">
        <v>1</v>
      </c>
    </row>
    <row r="11" spans="1:106" x14ac:dyDescent="0.25">
      <c r="A11" s="468" t="s">
        <v>41</v>
      </c>
      <c r="B11" s="468">
        <v>813</v>
      </c>
      <c r="C11" s="468" t="s">
        <v>464</v>
      </c>
      <c r="D11" s="468">
        <v>47</v>
      </c>
      <c r="E11" s="468" t="s">
        <v>465</v>
      </c>
      <c r="F11" s="468" t="s">
        <v>466</v>
      </c>
      <c r="G11" s="468" t="s">
        <v>467</v>
      </c>
      <c r="H11" s="468" t="s">
        <v>45</v>
      </c>
      <c r="I11" s="468" t="s">
        <v>46</v>
      </c>
      <c r="J11" s="468" t="s">
        <v>468</v>
      </c>
      <c r="K11" s="468" t="s">
        <v>469</v>
      </c>
      <c r="L11" s="468" t="s">
        <v>3775</v>
      </c>
      <c r="M11" s="468" t="s">
        <v>3776</v>
      </c>
      <c r="N11" s="460"/>
      <c r="O11" s="294"/>
      <c r="P11" s="294"/>
      <c r="Q11" s="294"/>
      <c r="R11" s="294"/>
      <c r="S11" s="295"/>
      <c r="T11" s="296"/>
      <c r="U11" s="297"/>
      <c r="V11" s="297"/>
      <c r="W11" s="297"/>
      <c r="X11" s="297"/>
      <c r="Y11" s="297"/>
      <c r="Z11" s="297"/>
      <c r="AA11" s="297"/>
      <c r="AB11" s="293"/>
      <c r="AC11" s="294"/>
      <c r="AD11" s="295"/>
      <c r="AE11" s="298"/>
      <c r="AF11" s="299"/>
      <c r="AG11" s="297"/>
      <c r="AH11" s="297"/>
      <c r="AI11" s="297"/>
      <c r="AJ11" s="297">
        <v>1</v>
      </c>
      <c r="AK11" s="297"/>
      <c r="AL11" s="297"/>
      <c r="AM11" s="297"/>
      <c r="AN11" s="300"/>
      <c r="AO11" s="301"/>
      <c r="AP11" s="301"/>
      <c r="AQ11" s="301"/>
      <c r="AR11" s="301"/>
      <c r="AS11" s="301"/>
      <c r="AT11" s="301"/>
      <c r="AU11" s="301"/>
      <c r="AV11" s="301"/>
      <c r="AW11" s="301"/>
      <c r="AX11" s="301"/>
      <c r="AY11" s="301"/>
      <c r="AZ11" s="301"/>
      <c r="BA11" s="301"/>
      <c r="BB11" s="301"/>
      <c r="BC11" s="301"/>
      <c r="BD11" s="301">
        <v>1500</v>
      </c>
      <c r="BE11" s="301"/>
      <c r="BF11" s="302"/>
      <c r="BG11" s="303"/>
      <c r="BH11" s="304"/>
      <c r="BI11" s="304"/>
      <c r="BJ11" s="304"/>
      <c r="BK11" s="304"/>
      <c r="BL11" s="304"/>
      <c r="BM11" s="304"/>
      <c r="BN11" s="304"/>
      <c r="BO11" s="304"/>
      <c r="BP11" s="304"/>
      <c r="BQ11" s="304"/>
      <c r="BR11" s="304"/>
      <c r="BS11" s="304"/>
      <c r="BT11" s="304"/>
      <c r="BU11" s="304"/>
      <c r="BV11" s="304"/>
      <c r="BW11" s="304">
        <v>10</v>
      </c>
      <c r="BX11" s="304"/>
      <c r="BY11" s="305"/>
      <c r="BZ11" s="306"/>
      <c r="CA11" s="307"/>
      <c r="CB11" s="307"/>
      <c r="CC11" s="307"/>
      <c r="CD11" s="307"/>
      <c r="CE11" s="307"/>
      <c r="CF11" s="307"/>
      <c r="CG11" s="332"/>
      <c r="CH11" s="328"/>
      <c r="CI11" s="328"/>
      <c r="CJ11" s="328"/>
      <c r="CK11" s="328">
        <v>2</v>
      </c>
      <c r="CL11" s="328"/>
      <c r="CM11" s="328"/>
      <c r="CN11" s="370"/>
      <c r="CO11" s="367"/>
      <c r="CP11" s="367"/>
      <c r="CQ11" s="367"/>
      <c r="CR11" s="378">
        <v>10</v>
      </c>
      <c r="CS11" s="387"/>
      <c r="CT11" s="398"/>
      <c r="CU11" s="399"/>
      <c r="CV11" s="399"/>
      <c r="CW11" s="399"/>
      <c r="CX11" s="399">
        <v>1</v>
      </c>
      <c r="CY11" s="399"/>
      <c r="CZ11" s="399"/>
      <c r="DA11" s="400"/>
      <c r="DB11" s="522">
        <v>1</v>
      </c>
    </row>
    <row r="12" spans="1:106" x14ac:dyDescent="0.25">
      <c r="A12" s="468" t="s">
        <v>41</v>
      </c>
      <c r="B12" s="468">
        <v>813</v>
      </c>
      <c r="C12" s="468" t="s">
        <v>470</v>
      </c>
      <c r="D12" s="468">
        <v>51</v>
      </c>
      <c r="E12" s="468" t="s">
        <v>471</v>
      </c>
      <c r="F12" s="468" t="s">
        <v>472</v>
      </c>
      <c r="G12" s="468" t="s">
        <v>473</v>
      </c>
      <c r="H12" s="468" t="s">
        <v>474</v>
      </c>
      <c r="I12" s="468" t="s">
        <v>46</v>
      </c>
      <c r="J12" s="468" t="s">
        <v>475</v>
      </c>
      <c r="K12" s="468" t="s">
        <v>476</v>
      </c>
      <c r="L12" s="468" t="s">
        <v>3775</v>
      </c>
      <c r="M12" s="468" t="s">
        <v>3776</v>
      </c>
      <c r="N12" s="460"/>
      <c r="O12" s="294"/>
      <c r="P12" s="294"/>
      <c r="Q12" s="294"/>
      <c r="R12" s="294"/>
      <c r="S12" s="295"/>
      <c r="T12" s="296"/>
      <c r="U12" s="297"/>
      <c r="V12" s="297"/>
      <c r="W12" s="297"/>
      <c r="X12" s="297"/>
      <c r="Y12" s="297"/>
      <c r="Z12" s="297"/>
      <c r="AA12" s="297"/>
      <c r="AB12" s="293"/>
      <c r="AC12" s="294"/>
      <c r="AD12" s="295"/>
      <c r="AE12" s="298"/>
      <c r="AF12" s="299"/>
      <c r="AG12" s="297"/>
      <c r="AH12" s="297"/>
      <c r="AI12" s="297"/>
      <c r="AJ12" s="297">
        <v>1</v>
      </c>
      <c r="AK12" s="297"/>
      <c r="AL12" s="297"/>
      <c r="AM12" s="297"/>
      <c r="AN12" s="300"/>
      <c r="AO12" s="301"/>
      <c r="AP12" s="301"/>
      <c r="AQ12" s="301"/>
      <c r="AR12" s="301"/>
      <c r="AS12" s="301"/>
      <c r="AT12" s="301"/>
      <c r="AU12" s="301"/>
      <c r="AV12" s="301"/>
      <c r="AW12" s="301"/>
      <c r="AX12" s="301"/>
      <c r="AY12" s="301"/>
      <c r="AZ12" s="301"/>
      <c r="BA12" s="301"/>
      <c r="BB12" s="301"/>
      <c r="BC12" s="301"/>
      <c r="BD12" s="301">
        <v>1500</v>
      </c>
      <c r="BE12" s="301"/>
      <c r="BF12" s="302"/>
      <c r="BG12" s="303"/>
      <c r="BH12" s="304"/>
      <c r="BI12" s="304"/>
      <c r="BJ12" s="304"/>
      <c r="BK12" s="304"/>
      <c r="BL12" s="304"/>
      <c r="BM12" s="304"/>
      <c r="BN12" s="304"/>
      <c r="BO12" s="304"/>
      <c r="BP12" s="304"/>
      <c r="BQ12" s="304"/>
      <c r="BR12" s="304"/>
      <c r="BS12" s="304"/>
      <c r="BT12" s="304"/>
      <c r="BU12" s="304"/>
      <c r="BV12" s="304"/>
      <c r="BW12" s="304">
        <v>10</v>
      </c>
      <c r="BX12" s="304"/>
      <c r="BY12" s="305"/>
      <c r="BZ12" s="306"/>
      <c r="CA12" s="307"/>
      <c r="CB12" s="307"/>
      <c r="CC12" s="307"/>
      <c r="CD12" s="307"/>
      <c r="CE12" s="307"/>
      <c r="CF12" s="307"/>
      <c r="CG12" s="332"/>
      <c r="CH12" s="328"/>
      <c r="CI12" s="328"/>
      <c r="CJ12" s="328"/>
      <c r="CK12" s="328">
        <v>2</v>
      </c>
      <c r="CL12" s="328"/>
      <c r="CM12" s="328"/>
      <c r="CN12" s="370"/>
      <c r="CO12" s="367"/>
      <c r="CP12" s="367"/>
      <c r="CQ12" s="367"/>
      <c r="CR12" s="378">
        <v>10</v>
      </c>
      <c r="CS12" s="387"/>
      <c r="CT12" s="398"/>
      <c r="CU12" s="399"/>
      <c r="CV12" s="399"/>
      <c r="CW12" s="399"/>
      <c r="CX12" s="399">
        <v>1</v>
      </c>
      <c r="CY12" s="399"/>
      <c r="CZ12" s="399"/>
      <c r="DA12" s="400"/>
      <c r="DB12" s="522">
        <v>1</v>
      </c>
    </row>
    <row r="13" spans="1:106" x14ac:dyDescent="0.25">
      <c r="A13" s="468" t="s">
        <v>41</v>
      </c>
      <c r="B13" s="468">
        <v>813</v>
      </c>
      <c r="C13" s="468" t="s">
        <v>477</v>
      </c>
      <c r="D13" s="468">
        <v>52</v>
      </c>
      <c r="E13" s="468" t="s">
        <v>478</v>
      </c>
      <c r="F13" s="468" t="s">
        <v>479</v>
      </c>
      <c r="G13" s="468" t="s">
        <v>480</v>
      </c>
      <c r="H13" s="468" t="s">
        <v>481</v>
      </c>
      <c r="I13" s="468" t="s">
        <v>46</v>
      </c>
      <c r="J13" s="468" t="s">
        <v>482</v>
      </c>
      <c r="K13" s="468" t="s">
        <v>483</v>
      </c>
      <c r="L13" s="468" t="s">
        <v>3775</v>
      </c>
      <c r="M13" s="468" t="s">
        <v>3776</v>
      </c>
      <c r="N13" s="460"/>
      <c r="O13" s="294"/>
      <c r="P13" s="294"/>
      <c r="Q13" s="294"/>
      <c r="R13" s="294"/>
      <c r="S13" s="295"/>
      <c r="T13" s="296"/>
      <c r="U13" s="297"/>
      <c r="V13" s="297"/>
      <c r="W13" s="297"/>
      <c r="X13" s="297"/>
      <c r="Y13" s="297"/>
      <c r="Z13" s="297"/>
      <c r="AA13" s="297"/>
      <c r="AB13" s="293"/>
      <c r="AC13" s="294"/>
      <c r="AD13" s="295"/>
      <c r="AE13" s="298"/>
      <c r="AF13" s="299"/>
      <c r="AG13" s="297"/>
      <c r="AH13" s="297"/>
      <c r="AI13" s="297"/>
      <c r="AJ13" s="297"/>
      <c r="AK13" s="297"/>
      <c r="AL13" s="297"/>
      <c r="AM13" s="297"/>
      <c r="AN13" s="300"/>
      <c r="AO13" s="301"/>
      <c r="AP13" s="301"/>
      <c r="AQ13" s="301"/>
      <c r="AR13" s="301"/>
      <c r="AS13" s="301"/>
      <c r="AT13" s="301"/>
      <c r="AU13" s="301"/>
      <c r="AV13" s="301"/>
      <c r="AW13" s="301"/>
      <c r="AX13" s="301"/>
      <c r="AY13" s="301"/>
      <c r="AZ13" s="301"/>
      <c r="BA13" s="301"/>
      <c r="BB13" s="301"/>
      <c r="BC13" s="301"/>
      <c r="BD13" s="301">
        <v>1500</v>
      </c>
      <c r="BE13" s="301"/>
      <c r="BF13" s="302"/>
      <c r="BG13" s="303"/>
      <c r="BH13" s="304"/>
      <c r="BI13" s="304"/>
      <c r="BJ13" s="304"/>
      <c r="BK13" s="304"/>
      <c r="BL13" s="304"/>
      <c r="BM13" s="304"/>
      <c r="BN13" s="304"/>
      <c r="BO13" s="304"/>
      <c r="BP13" s="304"/>
      <c r="BQ13" s="304"/>
      <c r="BR13" s="304"/>
      <c r="BS13" s="304"/>
      <c r="BT13" s="304"/>
      <c r="BU13" s="304"/>
      <c r="BV13" s="304"/>
      <c r="BW13" s="304">
        <v>10</v>
      </c>
      <c r="BX13" s="304"/>
      <c r="BY13" s="305"/>
      <c r="BZ13" s="308"/>
      <c r="CA13" s="307"/>
      <c r="CB13" s="307"/>
      <c r="CC13" s="307"/>
      <c r="CD13" s="309">
        <v>1</v>
      </c>
      <c r="CE13" s="307"/>
      <c r="CF13" s="307"/>
      <c r="CG13" s="332"/>
      <c r="CH13" s="328"/>
      <c r="CI13" s="328"/>
      <c r="CJ13" s="328"/>
      <c r="CK13" s="328">
        <v>2</v>
      </c>
      <c r="CL13" s="328"/>
      <c r="CM13" s="328"/>
      <c r="CN13" s="370"/>
      <c r="CO13" s="367"/>
      <c r="CP13" s="367"/>
      <c r="CQ13" s="367"/>
      <c r="CR13" s="378">
        <v>10</v>
      </c>
      <c r="CS13" s="387"/>
      <c r="CT13" s="398"/>
      <c r="CU13" s="399"/>
      <c r="CV13" s="399"/>
      <c r="CW13" s="399"/>
      <c r="CX13" s="399">
        <v>1</v>
      </c>
      <c r="CY13" s="399"/>
      <c r="CZ13" s="399"/>
      <c r="DA13" s="400"/>
      <c r="DB13" s="522">
        <v>1</v>
      </c>
    </row>
    <row r="14" spans="1:106" x14ac:dyDescent="0.25">
      <c r="A14" s="468" t="s">
        <v>41</v>
      </c>
      <c r="B14" s="468">
        <v>813</v>
      </c>
      <c r="C14" s="468" t="s">
        <v>484</v>
      </c>
      <c r="D14" s="468">
        <v>53</v>
      </c>
      <c r="E14" s="468" t="s">
        <v>485</v>
      </c>
      <c r="F14" s="468" t="s">
        <v>486</v>
      </c>
      <c r="G14" s="468" t="s">
        <v>487</v>
      </c>
      <c r="H14" s="468" t="s">
        <v>474</v>
      </c>
      <c r="I14" s="468" t="s">
        <v>46</v>
      </c>
      <c r="J14" s="468" t="s">
        <v>3083</v>
      </c>
      <c r="K14" s="468" t="s">
        <v>488</v>
      </c>
      <c r="L14" s="468" t="s">
        <v>3775</v>
      </c>
      <c r="M14" s="468" t="s">
        <v>3776</v>
      </c>
      <c r="N14" s="460"/>
      <c r="O14" s="294"/>
      <c r="P14" s="294"/>
      <c r="Q14" s="294"/>
      <c r="R14" s="294"/>
      <c r="S14" s="295"/>
      <c r="T14" s="296"/>
      <c r="U14" s="297"/>
      <c r="V14" s="297"/>
      <c r="W14" s="297"/>
      <c r="X14" s="297"/>
      <c r="Y14" s="297"/>
      <c r="Z14" s="297"/>
      <c r="AA14" s="297"/>
      <c r="AB14" s="293"/>
      <c r="AC14" s="294"/>
      <c r="AD14" s="295"/>
      <c r="AE14" s="298"/>
      <c r="AF14" s="299"/>
      <c r="AG14" s="297"/>
      <c r="AH14" s="297"/>
      <c r="AI14" s="297"/>
      <c r="AJ14" s="297">
        <v>1</v>
      </c>
      <c r="AK14" s="297"/>
      <c r="AL14" s="297"/>
      <c r="AM14" s="297"/>
      <c r="AN14" s="300"/>
      <c r="AO14" s="301"/>
      <c r="AP14" s="301"/>
      <c r="AQ14" s="301"/>
      <c r="AR14" s="301"/>
      <c r="AS14" s="301"/>
      <c r="AT14" s="301"/>
      <c r="AU14" s="301"/>
      <c r="AV14" s="301"/>
      <c r="AW14" s="301"/>
      <c r="AX14" s="301"/>
      <c r="AY14" s="301"/>
      <c r="AZ14" s="301"/>
      <c r="BA14" s="301"/>
      <c r="BB14" s="301"/>
      <c r="BC14" s="301"/>
      <c r="BD14" s="301">
        <v>1500</v>
      </c>
      <c r="BE14" s="301"/>
      <c r="BF14" s="302"/>
      <c r="BG14" s="303"/>
      <c r="BH14" s="304"/>
      <c r="BI14" s="304"/>
      <c r="BJ14" s="304"/>
      <c r="BK14" s="304"/>
      <c r="BL14" s="304"/>
      <c r="BM14" s="304"/>
      <c r="BN14" s="304"/>
      <c r="BO14" s="304"/>
      <c r="BP14" s="304"/>
      <c r="BQ14" s="304"/>
      <c r="BR14" s="304"/>
      <c r="BS14" s="304"/>
      <c r="BT14" s="304"/>
      <c r="BU14" s="304"/>
      <c r="BV14" s="304"/>
      <c r="BW14" s="304">
        <v>10</v>
      </c>
      <c r="BX14" s="304"/>
      <c r="BY14" s="305"/>
      <c r="BZ14" s="306"/>
      <c r="CA14" s="307"/>
      <c r="CB14" s="307"/>
      <c r="CC14" s="307"/>
      <c r="CD14" s="307"/>
      <c r="CE14" s="307"/>
      <c r="CF14" s="307"/>
      <c r="CG14" s="332"/>
      <c r="CH14" s="328"/>
      <c r="CI14" s="328"/>
      <c r="CJ14" s="328"/>
      <c r="CK14" s="328">
        <v>2</v>
      </c>
      <c r="CL14" s="328"/>
      <c r="CM14" s="328"/>
      <c r="CN14" s="370"/>
      <c r="CO14" s="367"/>
      <c r="CP14" s="367"/>
      <c r="CQ14" s="367"/>
      <c r="CR14" s="378">
        <v>10</v>
      </c>
      <c r="CS14" s="387"/>
      <c r="CT14" s="398"/>
      <c r="CU14" s="399"/>
      <c r="CV14" s="399"/>
      <c r="CW14" s="399"/>
      <c r="CX14" s="399">
        <v>1</v>
      </c>
      <c r="CY14" s="399"/>
      <c r="CZ14" s="399"/>
      <c r="DA14" s="400"/>
      <c r="DB14" s="522">
        <v>1</v>
      </c>
    </row>
    <row r="15" spans="1:106" x14ac:dyDescent="0.25">
      <c r="A15" s="468" t="s">
        <v>100</v>
      </c>
      <c r="B15" s="468">
        <v>806</v>
      </c>
      <c r="C15" s="468" t="s">
        <v>545</v>
      </c>
      <c r="D15" s="468">
        <v>326</v>
      </c>
      <c r="E15" s="468" t="s">
        <v>546</v>
      </c>
      <c r="F15" s="468" t="s">
        <v>558</v>
      </c>
      <c r="G15" s="468" t="s">
        <v>547</v>
      </c>
      <c r="H15" s="468" t="s">
        <v>104</v>
      </c>
      <c r="I15" s="468" t="s">
        <v>105</v>
      </c>
      <c r="J15" s="468" t="s">
        <v>548</v>
      </c>
      <c r="K15" s="468" t="s">
        <v>549</v>
      </c>
      <c r="L15" s="468" t="s">
        <v>3737</v>
      </c>
      <c r="M15" s="468" t="s">
        <v>3739</v>
      </c>
      <c r="N15" s="460"/>
      <c r="O15" s="294"/>
      <c r="P15" s="294"/>
      <c r="Q15" s="294"/>
      <c r="R15" s="294"/>
      <c r="S15" s="295"/>
      <c r="T15" s="296"/>
      <c r="U15" s="297"/>
      <c r="V15" s="297"/>
      <c r="W15" s="297"/>
      <c r="X15" s="297"/>
      <c r="Y15" s="297"/>
      <c r="Z15" s="297"/>
      <c r="AA15" s="297"/>
      <c r="AB15" s="293"/>
      <c r="AC15" s="294"/>
      <c r="AD15" s="295"/>
      <c r="AE15" s="298"/>
      <c r="AF15" s="296"/>
      <c r="AG15" s="297"/>
      <c r="AH15" s="297"/>
      <c r="AI15" s="297"/>
      <c r="AJ15" s="297"/>
      <c r="AK15" s="297"/>
      <c r="AL15" s="297"/>
      <c r="AM15" s="297"/>
      <c r="AN15" s="300"/>
      <c r="AO15" s="301"/>
      <c r="AP15" s="301"/>
      <c r="AQ15" s="301"/>
      <c r="AR15" s="301"/>
      <c r="AS15" s="301"/>
      <c r="AT15" s="301"/>
      <c r="AU15" s="301"/>
      <c r="AV15" s="301"/>
      <c r="AW15" s="301"/>
      <c r="AX15" s="301"/>
      <c r="AY15" s="301"/>
      <c r="AZ15" s="301">
        <v>1500</v>
      </c>
      <c r="BA15" s="301"/>
      <c r="BB15" s="301"/>
      <c r="BC15" s="301"/>
      <c r="BD15" s="301"/>
      <c r="BE15" s="301"/>
      <c r="BF15" s="302"/>
      <c r="BG15" s="303"/>
      <c r="BH15" s="304"/>
      <c r="BI15" s="304"/>
      <c r="BJ15" s="304"/>
      <c r="BK15" s="304"/>
      <c r="BL15" s="304"/>
      <c r="BM15" s="304"/>
      <c r="BN15" s="304"/>
      <c r="BO15" s="304"/>
      <c r="BP15" s="304"/>
      <c r="BQ15" s="304"/>
      <c r="BR15" s="304"/>
      <c r="BS15" s="304">
        <v>10</v>
      </c>
      <c r="BT15" s="304"/>
      <c r="BU15" s="304"/>
      <c r="BV15" s="304"/>
      <c r="BW15" s="304"/>
      <c r="BX15" s="304"/>
      <c r="BY15" s="305"/>
      <c r="BZ15" s="308"/>
      <c r="CA15" s="307"/>
      <c r="CB15" s="309">
        <v>1</v>
      </c>
      <c r="CC15" s="307"/>
      <c r="CD15" s="307"/>
      <c r="CE15" s="307"/>
      <c r="CF15" s="307"/>
      <c r="CG15" s="332"/>
      <c r="CH15" s="328"/>
      <c r="CI15" s="328"/>
      <c r="CJ15" s="328">
        <v>2</v>
      </c>
      <c r="CK15" s="328"/>
      <c r="CL15" s="328"/>
      <c r="CM15" s="328"/>
      <c r="CN15" s="370"/>
      <c r="CO15" s="367"/>
      <c r="CP15" s="367"/>
      <c r="CQ15" s="367">
        <v>10</v>
      </c>
      <c r="CR15" s="367"/>
      <c r="CS15" s="387"/>
      <c r="CT15" s="398"/>
      <c r="CU15" s="399"/>
      <c r="CV15" s="399"/>
      <c r="CW15" s="399"/>
      <c r="CX15" s="399">
        <v>1</v>
      </c>
      <c r="CY15" s="399"/>
      <c r="CZ15" s="399"/>
      <c r="DA15" s="400"/>
      <c r="DB15" s="522">
        <v>1</v>
      </c>
    </row>
    <row r="16" spans="1:106" x14ac:dyDescent="0.25">
      <c r="A16" s="468" t="s">
        <v>100</v>
      </c>
      <c r="B16" s="468">
        <v>806</v>
      </c>
      <c r="C16" s="468" t="s">
        <v>550</v>
      </c>
      <c r="D16" s="468">
        <v>327</v>
      </c>
      <c r="E16" s="468" t="s">
        <v>551</v>
      </c>
      <c r="F16" s="468" t="s">
        <v>552</v>
      </c>
      <c r="G16" s="468" t="s">
        <v>553</v>
      </c>
      <c r="H16" s="468" t="s">
        <v>104</v>
      </c>
      <c r="I16" s="468" t="s">
        <v>105</v>
      </c>
      <c r="J16" s="468" t="s">
        <v>3149</v>
      </c>
      <c r="K16" s="468" t="s">
        <v>554</v>
      </c>
      <c r="L16" s="468" t="s">
        <v>3737</v>
      </c>
      <c r="M16" s="468" t="s">
        <v>3739</v>
      </c>
      <c r="N16" s="460"/>
      <c r="O16" s="294"/>
      <c r="P16" s="294"/>
      <c r="Q16" s="294"/>
      <c r="R16" s="294"/>
      <c r="S16" s="295"/>
      <c r="T16" s="296"/>
      <c r="U16" s="297"/>
      <c r="V16" s="297"/>
      <c r="W16" s="297"/>
      <c r="X16" s="297"/>
      <c r="Y16" s="297"/>
      <c r="Z16" s="297"/>
      <c r="AA16" s="297"/>
      <c r="AB16" s="293"/>
      <c r="AC16" s="294"/>
      <c r="AD16" s="295"/>
      <c r="AE16" s="298"/>
      <c r="AF16" s="296"/>
      <c r="AG16" s="297"/>
      <c r="AH16" s="297"/>
      <c r="AI16" s="297"/>
      <c r="AJ16" s="297"/>
      <c r="AK16" s="297"/>
      <c r="AL16" s="297"/>
      <c r="AM16" s="297"/>
      <c r="AN16" s="300"/>
      <c r="AO16" s="301"/>
      <c r="AP16" s="301"/>
      <c r="AQ16" s="301"/>
      <c r="AR16" s="301"/>
      <c r="AS16" s="301"/>
      <c r="AT16" s="301"/>
      <c r="AU16" s="301"/>
      <c r="AV16" s="301"/>
      <c r="AW16" s="301"/>
      <c r="AX16" s="301"/>
      <c r="AY16" s="301"/>
      <c r="AZ16" s="301">
        <v>1500</v>
      </c>
      <c r="BA16" s="301"/>
      <c r="BB16" s="301"/>
      <c r="BC16" s="301"/>
      <c r="BD16" s="301"/>
      <c r="BE16" s="301"/>
      <c r="BF16" s="302"/>
      <c r="BG16" s="303"/>
      <c r="BH16" s="304"/>
      <c r="BI16" s="304"/>
      <c r="BJ16" s="304"/>
      <c r="BK16" s="304"/>
      <c r="BL16" s="304"/>
      <c r="BM16" s="304"/>
      <c r="BN16" s="304"/>
      <c r="BO16" s="304"/>
      <c r="BP16" s="304"/>
      <c r="BQ16" s="304"/>
      <c r="BR16" s="304"/>
      <c r="BS16" s="304">
        <v>10</v>
      </c>
      <c r="BT16" s="304"/>
      <c r="BU16" s="304"/>
      <c r="BV16" s="304"/>
      <c r="BW16" s="304"/>
      <c r="BX16" s="304"/>
      <c r="BY16" s="305"/>
      <c r="BZ16" s="308"/>
      <c r="CA16" s="307"/>
      <c r="CB16" s="309">
        <v>1</v>
      </c>
      <c r="CC16" s="307"/>
      <c r="CD16" s="307"/>
      <c r="CE16" s="307"/>
      <c r="CF16" s="307"/>
      <c r="CG16" s="332"/>
      <c r="CH16" s="328"/>
      <c r="CI16" s="328"/>
      <c r="CJ16" s="328">
        <v>2</v>
      </c>
      <c r="CK16" s="328"/>
      <c r="CL16" s="328"/>
      <c r="CM16" s="328"/>
      <c r="CN16" s="370"/>
      <c r="CO16" s="367"/>
      <c r="CP16" s="367"/>
      <c r="CQ16" s="367">
        <v>10</v>
      </c>
      <c r="CR16" s="367"/>
      <c r="CS16" s="387"/>
      <c r="CT16" s="398"/>
      <c r="CU16" s="399"/>
      <c r="CV16" s="399"/>
      <c r="CW16" s="399"/>
      <c r="CX16" s="399">
        <v>1</v>
      </c>
      <c r="CY16" s="399"/>
      <c r="CZ16" s="399"/>
      <c r="DA16" s="400"/>
      <c r="DB16" s="522">
        <v>1</v>
      </c>
    </row>
    <row r="17" spans="1:106" x14ac:dyDescent="0.25">
      <c r="A17" s="468" t="s">
        <v>100</v>
      </c>
      <c r="B17" s="468">
        <v>806</v>
      </c>
      <c r="C17" s="468" t="s">
        <v>101</v>
      </c>
      <c r="D17" s="468">
        <v>328</v>
      </c>
      <c r="E17" s="468" t="s">
        <v>102</v>
      </c>
      <c r="F17" s="468" t="s">
        <v>555</v>
      </c>
      <c r="G17" s="468" t="s">
        <v>103</v>
      </c>
      <c r="H17" s="468" t="s">
        <v>104</v>
      </c>
      <c r="I17" s="468" t="s">
        <v>105</v>
      </c>
      <c r="J17" s="468" t="s">
        <v>3150</v>
      </c>
      <c r="K17" s="468" t="s">
        <v>106</v>
      </c>
      <c r="L17" s="468" t="s">
        <v>3737</v>
      </c>
      <c r="M17" s="468" t="s">
        <v>3739</v>
      </c>
      <c r="N17" s="460"/>
      <c r="O17" s="294"/>
      <c r="P17" s="294"/>
      <c r="Q17" s="294"/>
      <c r="R17" s="294"/>
      <c r="S17" s="295"/>
      <c r="T17" s="296"/>
      <c r="U17" s="297"/>
      <c r="V17" s="297"/>
      <c r="W17" s="297"/>
      <c r="X17" s="297"/>
      <c r="Y17" s="297"/>
      <c r="Z17" s="297"/>
      <c r="AA17" s="297"/>
      <c r="AB17" s="293"/>
      <c r="AC17" s="294"/>
      <c r="AD17" s="295"/>
      <c r="AE17" s="298"/>
      <c r="AF17" s="296"/>
      <c r="AG17" s="297"/>
      <c r="AH17" s="297"/>
      <c r="AI17" s="297"/>
      <c r="AJ17" s="297"/>
      <c r="AK17" s="297"/>
      <c r="AL17" s="297"/>
      <c r="AM17" s="297"/>
      <c r="AN17" s="300"/>
      <c r="AO17" s="301"/>
      <c r="AP17" s="301"/>
      <c r="AQ17" s="301"/>
      <c r="AR17" s="301"/>
      <c r="AS17" s="301"/>
      <c r="AT17" s="301"/>
      <c r="AU17" s="301"/>
      <c r="AV17" s="301"/>
      <c r="AW17" s="301"/>
      <c r="AX17" s="301"/>
      <c r="AY17" s="301"/>
      <c r="AZ17" s="301">
        <v>1500</v>
      </c>
      <c r="BA17" s="301"/>
      <c r="BB17" s="301"/>
      <c r="BC17" s="301"/>
      <c r="BD17" s="301"/>
      <c r="BE17" s="301"/>
      <c r="BF17" s="302"/>
      <c r="BG17" s="303"/>
      <c r="BH17" s="304"/>
      <c r="BI17" s="304"/>
      <c r="BJ17" s="304"/>
      <c r="BK17" s="304"/>
      <c r="BL17" s="304"/>
      <c r="BM17" s="304"/>
      <c r="BN17" s="304"/>
      <c r="BO17" s="304"/>
      <c r="BP17" s="304"/>
      <c r="BQ17" s="304"/>
      <c r="BR17" s="304"/>
      <c r="BS17" s="304">
        <v>10</v>
      </c>
      <c r="BT17" s="304"/>
      <c r="BU17" s="304"/>
      <c r="BV17" s="304"/>
      <c r="BW17" s="304"/>
      <c r="BX17" s="304"/>
      <c r="BY17" s="305"/>
      <c r="BZ17" s="308"/>
      <c r="CA17" s="307"/>
      <c r="CB17" s="309">
        <v>1</v>
      </c>
      <c r="CC17" s="307"/>
      <c r="CD17" s="307"/>
      <c r="CE17" s="307"/>
      <c r="CF17" s="307"/>
      <c r="CG17" s="332"/>
      <c r="CH17" s="328"/>
      <c r="CI17" s="328"/>
      <c r="CJ17" s="328">
        <v>2</v>
      </c>
      <c r="CK17" s="328"/>
      <c r="CL17" s="328"/>
      <c r="CM17" s="328"/>
      <c r="CN17" s="370"/>
      <c r="CO17" s="367"/>
      <c r="CP17" s="367"/>
      <c r="CQ17" s="367">
        <v>10</v>
      </c>
      <c r="CR17" s="367"/>
      <c r="CS17" s="387"/>
      <c r="CT17" s="398"/>
      <c r="CU17" s="399"/>
      <c r="CV17" s="399"/>
      <c r="CW17" s="399"/>
      <c r="CX17" s="399">
        <v>1</v>
      </c>
      <c r="CY17" s="399"/>
      <c r="CZ17" s="399"/>
      <c r="DA17" s="400"/>
      <c r="DB17" s="522">
        <v>1</v>
      </c>
    </row>
    <row r="18" spans="1:106" x14ac:dyDescent="0.25">
      <c r="A18" s="468" t="s">
        <v>100</v>
      </c>
      <c r="B18" s="468">
        <v>806</v>
      </c>
      <c r="C18" s="468" t="s">
        <v>570</v>
      </c>
      <c r="D18" s="468">
        <v>335</v>
      </c>
      <c r="E18" s="468" t="s">
        <v>571</v>
      </c>
      <c r="F18" s="468">
        <v>0</v>
      </c>
      <c r="G18" s="468" t="s">
        <v>572</v>
      </c>
      <c r="H18" s="468" t="s">
        <v>104</v>
      </c>
      <c r="I18" s="468" t="s">
        <v>105</v>
      </c>
      <c r="J18" s="468" t="s">
        <v>3151</v>
      </c>
      <c r="K18" s="468" t="s">
        <v>573</v>
      </c>
      <c r="L18" s="468" t="s">
        <v>4004</v>
      </c>
      <c r="M18" s="468" t="s">
        <v>3739</v>
      </c>
      <c r="N18" s="460"/>
      <c r="O18" s="294"/>
      <c r="P18" s="294"/>
      <c r="Q18" s="294"/>
      <c r="R18" s="294"/>
      <c r="S18" s="295"/>
      <c r="T18" s="296"/>
      <c r="U18" s="297"/>
      <c r="V18" s="297"/>
      <c r="W18" s="297"/>
      <c r="X18" s="297"/>
      <c r="Y18" s="297"/>
      <c r="Z18" s="297"/>
      <c r="AA18" s="297"/>
      <c r="AB18" s="293"/>
      <c r="AC18" s="294"/>
      <c r="AD18" s="295"/>
      <c r="AE18" s="298"/>
      <c r="AF18" s="296"/>
      <c r="AG18" s="297"/>
      <c r="AH18" s="297"/>
      <c r="AI18" s="297"/>
      <c r="AJ18" s="297"/>
      <c r="AK18" s="297"/>
      <c r="AL18" s="297"/>
      <c r="AM18" s="297"/>
      <c r="AN18" s="300"/>
      <c r="AO18" s="301"/>
      <c r="AP18" s="301"/>
      <c r="AQ18" s="301"/>
      <c r="AR18" s="301"/>
      <c r="AS18" s="301"/>
      <c r="AT18" s="301"/>
      <c r="AU18" s="301"/>
      <c r="AV18" s="301"/>
      <c r="AW18" s="301"/>
      <c r="AX18" s="301"/>
      <c r="AY18" s="301"/>
      <c r="AZ18" s="301">
        <v>1500</v>
      </c>
      <c r="BA18" s="301"/>
      <c r="BB18" s="301"/>
      <c r="BC18" s="301"/>
      <c r="BD18" s="301"/>
      <c r="BE18" s="301"/>
      <c r="BF18" s="302"/>
      <c r="BG18" s="303"/>
      <c r="BH18" s="304"/>
      <c r="BI18" s="304"/>
      <c r="BJ18" s="304"/>
      <c r="BK18" s="304"/>
      <c r="BL18" s="304"/>
      <c r="BM18" s="304"/>
      <c r="BN18" s="304"/>
      <c r="BO18" s="304"/>
      <c r="BP18" s="304"/>
      <c r="BQ18" s="304"/>
      <c r="BR18" s="304"/>
      <c r="BS18" s="304">
        <v>10</v>
      </c>
      <c r="BT18" s="304"/>
      <c r="BU18" s="304"/>
      <c r="BV18" s="304"/>
      <c r="BW18" s="304"/>
      <c r="BX18" s="304"/>
      <c r="BY18" s="305"/>
      <c r="BZ18" s="308"/>
      <c r="CA18" s="307"/>
      <c r="CB18" s="309">
        <v>1</v>
      </c>
      <c r="CC18" s="307"/>
      <c r="CD18" s="307"/>
      <c r="CE18" s="307"/>
      <c r="CF18" s="307"/>
      <c r="CG18" s="332"/>
      <c r="CH18" s="328"/>
      <c r="CI18" s="328"/>
      <c r="CJ18" s="328">
        <v>2</v>
      </c>
      <c r="CK18" s="328"/>
      <c r="CL18" s="328"/>
      <c r="CM18" s="328"/>
      <c r="CN18" s="370"/>
      <c r="CO18" s="367"/>
      <c r="CP18" s="367"/>
      <c r="CQ18" s="367">
        <v>10</v>
      </c>
      <c r="CR18" s="367"/>
      <c r="CS18" s="387"/>
      <c r="CT18" s="398"/>
      <c r="CU18" s="399"/>
      <c r="CV18" s="399"/>
      <c r="CW18" s="399"/>
      <c r="CX18" s="399">
        <v>1</v>
      </c>
      <c r="CY18" s="399"/>
      <c r="CZ18" s="399"/>
      <c r="DA18" s="400"/>
      <c r="DB18" s="522">
        <v>1</v>
      </c>
    </row>
    <row r="19" spans="1:106" x14ac:dyDescent="0.25">
      <c r="A19" s="468" t="s">
        <v>100</v>
      </c>
      <c r="B19" s="468">
        <v>806</v>
      </c>
      <c r="C19" s="468" t="s">
        <v>3466</v>
      </c>
      <c r="D19" s="468">
        <v>1329</v>
      </c>
      <c r="E19" s="468" t="s">
        <v>510</v>
      </c>
      <c r="F19" s="468" t="s">
        <v>511</v>
      </c>
      <c r="G19" s="468" t="s">
        <v>512</v>
      </c>
      <c r="H19" s="468" t="s">
        <v>104</v>
      </c>
      <c r="I19" s="468" t="s">
        <v>105</v>
      </c>
      <c r="J19" s="468" t="s">
        <v>3467</v>
      </c>
      <c r="K19" s="468" t="s">
        <v>513</v>
      </c>
      <c r="L19" s="468" t="s">
        <v>3737</v>
      </c>
      <c r="M19" s="468" t="s">
        <v>3739</v>
      </c>
      <c r="N19" s="461"/>
      <c r="O19" s="294"/>
      <c r="P19" s="294"/>
      <c r="Q19" s="294"/>
      <c r="R19" s="294">
        <v>2</v>
      </c>
      <c r="S19" s="295"/>
      <c r="T19" s="296"/>
      <c r="U19" s="297"/>
      <c r="V19" s="297"/>
      <c r="W19" s="297"/>
      <c r="X19" s="297"/>
      <c r="Y19" s="297"/>
      <c r="Z19" s="297"/>
      <c r="AA19" s="297"/>
      <c r="AB19" s="293"/>
      <c r="AC19" s="294"/>
      <c r="AD19" s="295"/>
      <c r="AE19" s="298"/>
      <c r="AF19" s="296"/>
      <c r="AG19" s="297"/>
      <c r="AH19" s="297"/>
      <c r="AI19" s="297"/>
      <c r="AJ19" s="297"/>
      <c r="AK19" s="297"/>
      <c r="AL19" s="297"/>
      <c r="AM19" s="297"/>
      <c r="AN19" s="300"/>
      <c r="AO19" s="301"/>
      <c r="AP19" s="301"/>
      <c r="AQ19" s="301"/>
      <c r="AR19" s="301"/>
      <c r="AS19" s="301"/>
      <c r="AT19" s="301"/>
      <c r="AU19" s="301"/>
      <c r="AV19" s="301"/>
      <c r="AW19" s="301"/>
      <c r="AX19" s="301"/>
      <c r="AY19" s="301"/>
      <c r="AZ19" s="301">
        <v>1500</v>
      </c>
      <c r="BA19" s="301"/>
      <c r="BB19" s="301"/>
      <c r="BC19" s="301"/>
      <c r="BD19" s="301"/>
      <c r="BE19" s="301"/>
      <c r="BF19" s="302"/>
      <c r="BG19" s="303"/>
      <c r="BH19" s="304"/>
      <c r="BI19" s="304"/>
      <c r="BJ19" s="304"/>
      <c r="BK19" s="304"/>
      <c r="BL19" s="304"/>
      <c r="BM19" s="304"/>
      <c r="BN19" s="304"/>
      <c r="BO19" s="304"/>
      <c r="BP19" s="304"/>
      <c r="BQ19" s="304"/>
      <c r="BR19" s="304"/>
      <c r="BS19" s="304">
        <v>10</v>
      </c>
      <c r="BT19" s="304"/>
      <c r="BU19" s="304"/>
      <c r="BV19" s="304"/>
      <c r="BW19" s="304"/>
      <c r="BX19" s="304"/>
      <c r="BY19" s="305"/>
      <c r="BZ19" s="306"/>
      <c r="CA19" s="307"/>
      <c r="CB19" s="307"/>
      <c r="CC19" s="307"/>
      <c r="CD19" s="307"/>
      <c r="CE19" s="307"/>
      <c r="CF19" s="307"/>
      <c r="CG19" s="332"/>
      <c r="CH19" s="328"/>
      <c r="CI19" s="328"/>
      <c r="CJ19" s="328">
        <v>2</v>
      </c>
      <c r="CK19" s="328"/>
      <c r="CL19" s="328"/>
      <c r="CM19" s="328"/>
      <c r="CN19" s="370"/>
      <c r="CO19" s="367"/>
      <c r="CP19" s="367"/>
      <c r="CQ19" s="367">
        <v>10</v>
      </c>
      <c r="CR19" s="367"/>
      <c r="CS19" s="387"/>
      <c r="CT19" s="398"/>
      <c r="CU19" s="399"/>
      <c r="CV19" s="399"/>
      <c r="CW19" s="399"/>
      <c r="CX19" s="399">
        <v>1</v>
      </c>
      <c r="CY19" s="399"/>
      <c r="CZ19" s="399"/>
      <c r="DA19" s="400"/>
      <c r="DB19" s="522">
        <v>1</v>
      </c>
    </row>
    <row r="20" spans="1:106" x14ac:dyDescent="0.25">
      <c r="A20" s="468" t="s">
        <v>100</v>
      </c>
      <c r="B20" s="468">
        <v>806</v>
      </c>
      <c r="C20" s="468" t="s">
        <v>3468</v>
      </c>
      <c r="D20" s="468">
        <v>1331</v>
      </c>
      <c r="E20" s="468" t="s">
        <v>514</v>
      </c>
      <c r="F20" s="468" t="s">
        <v>515</v>
      </c>
      <c r="G20" s="468" t="s">
        <v>516</v>
      </c>
      <c r="H20" s="468" t="s">
        <v>104</v>
      </c>
      <c r="I20" s="468" t="s">
        <v>105</v>
      </c>
      <c r="J20" s="468" t="s">
        <v>3459</v>
      </c>
      <c r="K20" s="468" t="s">
        <v>517</v>
      </c>
      <c r="L20" s="468" t="s">
        <v>3737</v>
      </c>
      <c r="M20" s="468" t="s">
        <v>3739</v>
      </c>
      <c r="N20" s="461"/>
      <c r="O20" s="294"/>
      <c r="P20" s="294"/>
      <c r="Q20" s="294"/>
      <c r="R20" s="294">
        <v>1</v>
      </c>
      <c r="S20" s="295"/>
      <c r="T20" s="296"/>
      <c r="U20" s="297"/>
      <c r="V20" s="297"/>
      <c r="W20" s="297"/>
      <c r="X20" s="297"/>
      <c r="Y20" s="297"/>
      <c r="Z20" s="297"/>
      <c r="AA20" s="297"/>
      <c r="AB20" s="293"/>
      <c r="AC20" s="294"/>
      <c r="AD20" s="295"/>
      <c r="AE20" s="298"/>
      <c r="AF20" s="296"/>
      <c r="AG20" s="297"/>
      <c r="AH20" s="297"/>
      <c r="AI20" s="297"/>
      <c r="AJ20" s="297"/>
      <c r="AK20" s="297"/>
      <c r="AL20" s="297"/>
      <c r="AM20" s="297"/>
      <c r="AN20" s="300"/>
      <c r="AO20" s="301"/>
      <c r="AP20" s="301"/>
      <c r="AQ20" s="301"/>
      <c r="AR20" s="301"/>
      <c r="AS20" s="301"/>
      <c r="AT20" s="301"/>
      <c r="AU20" s="301"/>
      <c r="AV20" s="301"/>
      <c r="AW20" s="301"/>
      <c r="AX20" s="301"/>
      <c r="AY20" s="301"/>
      <c r="AZ20" s="301">
        <v>1500</v>
      </c>
      <c r="BA20" s="301"/>
      <c r="BB20" s="301"/>
      <c r="BC20" s="301"/>
      <c r="BD20" s="301"/>
      <c r="BE20" s="301"/>
      <c r="BF20" s="302"/>
      <c r="BG20" s="303"/>
      <c r="BH20" s="304"/>
      <c r="BI20" s="304"/>
      <c r="BJ20" s="304"/>
      <c r="BK20" s="304"/>
      <c r="BL20" s="304"/>
      <c r="BM20" s="304"/>
      <c r="BN20" s="304"/>
      <c r="BO20" s="304"/>
      <c r="BP20" s="304"/>
      <c r="BQ20" s="304"/>
      <c r="BR20" s="304"/>
      <c r="BS20" s="304">
        <v>10</v>
      </c>
      <c r="BT20" s="304"/>
      <c r="BU20" s="304"/>
      <c r="BV20" s="304"/>
      <c r="BW20" s="304"/>
      <c r="BX20" s="304"/>
      <c r="BY20" s="305"/>
      <c r="BZ20" s="306"/>
      <c r="CA20" s="307"/>
      <c r="CB20" s="307"/>
      <c r="CC20" s="307"/>
      <c r="CD20" s="307"/>
      <c r="CE20" s="307"/>
      <c r="CF20" s="307"/>
      <c r="CG20" s="332"/>
      <c r="CH20" s="328"/>
      <c r="CI20" s="328"/>
      <c r="CJ20" s="328">
        <v>2</v>
      </c>
      <c r="CK20" s="328"/>
      <c r="CL20" s="328"/>
      <c r="CM20" s="328"/>
      <c r="CN20" s="370"/>
      <c r="CO20" s="367"/>
      <c r="CP20" s="367"/>
      <c r="CQ20" s="367">
        <v>10</v>
      </c>
      <c r="CR20" s="367"/>
      <c r="CS20" s="387"/>
      <c r="CT20" s="398"/>
      <c r="CU20" s="399"/>
      <c r="CV20" s="399"/>
      <c r="CW20" s="399"/>
      <c r="CX20" s="399">
        <v>1</v>
      </c>
      <c r="CY20" s="399"/>
      <c r="CZ20" s="399"/>
      <c r="DA20" s="400"/>
      <c r="DB20" s="522">
        <v>1</v>
      </c>
    </row>
    <row r="21" spans="1:106" x14ac:dyDescent="0.25">
      <c r="A21" s="468" t="s">
        <v>100</v>
      </c>
      <c r="B21" s="468">
        <v>806</v>
      </c>
      <c r="C21" s="468" t="s">
        <v>3692</v>
      </c>
      <c r="D21" s="468">
        <v>2552</v>
      </c>
      <c r="E21" s="468" t="s">
        <v>518</v>
      </c>
      <c r="F21" s="468" t="s">
        <v>503</v>
      </c>
      <c r="G21" s="468" t="s">
        <v>520</v>
      </c>
      <c r="H21" s="468" t="s">
        <v>104</v>
      </c>
      <c r="I21" s="468" t="s">
        <v>105</v>
      </c>
      <c r="J21" s="468" t="s">
        <v>3153</v>
      </c>
      <c r="K21" s="468" t="s">
        <v>521</v>
      </c>
      <c r="L21" s="468" t="s">
        <v>3737</v>
      </c>
      <c r="M21" s="468" t="s">
        <v>3739</v>
      </c>
      <c r="N21" s="461"/>
      <c r="O21" s="294"/>
      <c r="P21" s="294"/>
      <c r="Q21" s="294"/>
      <c r="R21" s="294">
        <v>1</v>
      </c>
      <c r="S21" s="295"/>
      <c r="T21" s="296"/>
      <c r="U21" s="297"/>
      <c r="V21" s="297"/>
      <c r="W21" s="297"/>
      <c r="X21" s="297"/>
      <c r="Y21" s="297"/>
      <c r="Z21" s="297"/>
      <c r="AA21" s="297"/>
      <c r="AB21" s="293"/>
      <c r="AC21" s="294"/>
      <c r="AD21" s="295"/>
      <c r="AE21" s="298"/>
      <c r="AF21" s="296"/>
      <c r="AG21" s="297"/>
      <c r="AH21" s="297"/>
      <c r="AI21" s="297"/>
      <c r="AJ21" s="297"/>
      <c r="AK21" s="297"/>
      <c r="AL21" s="297"/>
      <c r="AM21" s="297"/>
      <c r="AN21" s="300"/>
      <c r="AO21" s="301"/>
      <c r="AP21" s="301"/>
      <c r="AQ21" s="301"/>
      <c r="AR21" s="301"/>
      <c r="AS21" s="301"/>
      <c r="AT21" s="301"/>
      <c r="AU21" s="301"/>
      <c r="AV21" s="301"/>
      <c r="AW21" s="301"/>
      <c r="AX21" s="301"/>
      <c r="AY21" s="301"/>
      <c r="AZ21" s="301">
        <v>1500</v>
      </c>
      <c r="BA21" s="301"/>
      <c r="BB21" s="301"/>
      <c r="BC21" s="301"/>
      <c r="BD21" s="301"/>
      <c r="BE21" s="301"/>
      <c r="BF21" s="302"/>
      <c r="BG21" s="303"/>
      <c r="BH21" s="304"/>
      <c r="BI21" s="304"/>
      <c r="BJ21" s="304"/>
      <c r="BK21" s="304"/>
      <c r="BL21" s="304"/>
      <c r="BM21" s="304"/>
      <c r="BN21" s="304"/>
      <c r="BO21" s="304"/>
      <c r="BP21" s="304"/>
      <c r="BQ21" s="304"/>
      <c r="BR21" s="304"/>
      <c r="BS21" s="304">
        <v>10</v>
      </c>
      <c r="BT21" s="304"/>
      <c r="BU21" s="304"/>
      <c r="BV21" s="304"/>
      <c r="BW21" s="304"/>
      <c r="BX21" s="304"/>
      <c r="BY21" s="305"/>
      <c r="BZ21" s="306"/>
      <c r="CA21" s="307"/>
      <c r="CB21" s="307"/>
      <c r="CC21" s="307"/>
      <c r="CD21" s="307"/>
      <c r="CE21" s="307"/>
      <c r="CF21" s="307"/>
      <c r="CG21" s="332"/>
      <c r="CH21" s="328"/>
      <c r="CI21" s="328"/>
      <c r="CJ21" s="328">
        <v>2</v>
      </c>
      <c r="CK21" s="328"/>
      <c r="CL21" s="328"/>
      <c r="CM21" s="328"/>
      <c r="CN21" s="370"/>
      <c r="CO21" s="367"/>
      <c r="CP21" s="367"/>
      <c r="CQ21" s="367">
        <v>10</v>
      </c>
      <c r="CR21" s="367"/>
      <c r="CS21" s="387"/>
      <c r="CT21" s="398"/>
      <c r="CU21" s="399"/>
      <c r="CV21" s="399"/>
      <c r="CW21" s="399"/>
      <c r="CX21" s="399">
        <v>1</v>
      </c>
      <c r="CY21" s="399"/>
      <c r="CZ21" s="399"/>
      <c r="DA21" s="400"/>
      <c r="DB21" s="522">
        <v>1</v>
      </c>
    </row>
    <row r="22" spans="1:106" x14ac:dyDescent="0.25">
      <c r="A22" s="468" t="s">
        <v>100</v>
      </c>
      <c r="B22" s="468">
        <v>806</v>
      </c>
      <c r="C22" s="468" t="s">
        <v>3695</v>
      </c>
      <c r="D22" s="468">
        <v>2557</v>
      </c>
      <c r="E22" s="468" t="s">
        <v>522</v>
      </c>
      <c r="F22" s="468" t="s">
        <v>523</v>
      </c>
      <c r="G22" s="468" t="s">
        <v>524</v>
      </c>
      <c r="H22" s="468" t="s">
        <v>104</v>
      </c>
      <c r="I22" s="468" t="s">
        <v>105</v>
      </c>
      <c r="J22" s="468" t="s">
        <v>3154</v>
      </c>
      <c r="K22" s="468" t="s">
        <v>525</v>
      </c>
      <c r="L22" s="468" t="s">
        <v>3737</v>
      </c>
      <c r="M22" s="468" t="s">
        <v>3739</v>
      </c>
      <c r="N22" s="461"/>
      <c r="O22" s="294"/>
      <c r="P22" s="294"/>
      <c r="Q22" s="294"/>
      <c r="R22" s="294">
        <v>1</v>
      </c>
      <c r="S22" s="295"/>
      <c r="T22" s="296"/>
      <c r="U22" s="297"/>
      <c r="V22" s="297"/>
      <c r="W22" s="297"/>
      <c r="X22" s="297"/>
      <c r="Y22" s="297"/>
      <c r="Z22" s="297"/>
      <c r="AA22" s="297"/>
      <c r="AB22" s="293"/>
      <c r="AC22" s="294"/>
      <c r="AD22" s="295"/>
      <c r="AE22" s="298"/>
      <c r="AF22" s="296"/>
      <c r="AG22" s="297"/>
      <c r="AH22" s="297"/>
      <c r="AI22" s="297"/>
      <c r="AJ22" s="297"/>
      <c r="AK22" s="297"/>
      <c r="AL22" s="297"/>
      <c r="AM22" s="297"/>
      <c r="AN22" s="300"/>
      <c r="AO22" s="301"/>
      <c r="AP22" s="301"/>
      <c r="AQ22" s="301"/>
      <c r="AR22" s="301"/>
      <c r="AS22" s="301"/>
      <c r="AT22" s="301"/>
      <c r="AU22" s="301"/>
      <c r="AV22" s="301"/>
      <c r="AW22" s="301"/>
      <c r="AX22" s="301"/>
      <c r="AY22" s="301"/>
      <c r="AZ22" s="301">
        <v>1500</v>
      </c>
      <c r="BA22" s="301"/>
      <c r="BB22" s="301"/>
      <c r="BC22" s="301"/>
      <c r="BD22" s="301"/>
      <c r="BE22" s="301"/>
      <c r="BF22" s="302"/>
      <c r="BG22" s="303"/>
      <c r="BH22" s="304"/>
      <c r="BI22" s="304"/>
      <c r="BJ22" s="304"/>
      <c r="BK22" s="304"/>
      <c r="BL22" s="304"/>
      <c r="BM22" s="304"/>
      <c r="BN22" s="304"/>
      <c r="BO22" s="304"/>
      <c r="BP22" s="304"/>
      <c r="BQ22" s="304"/>
      <c r="BR22" s="304"/>
      <c r="BS22" s="304">
        <v>10</v>
      </c>
      <c r="BT22" s="304"/>
      <c r="BU22" s="304"/>
      <c r="BV22" s="304"/>
      <c r="BW22" s="304"/>
      <c r="BX22" s="304"/>
      <c r="BY22" s="305"/>
      <c r="BZ22" s="306"/>
      <c r="CA22" s="307"/>
      <c r="CB22" s="307"/>
      <c r="CC22" s="307"/>
      <c r="CD22" s="307"/>
      <c r="CE22" s="307"/>
      <c r="CF22" s="307"/>
      <c r="CG22" s="332"/>
      <c r="CH22" s="328"/>
      <c r="CI22" s="328"/>
      <c r="CJ22" s="328">
        <v>2</v>
      </c>
      <c r="CK22" s="328"/>
      <c r="CL22" s="328"/>
      <c r="CM22" s="328"/>
      <c r="CN22" s="370"/>
      <c r="CO22" s="367"/>
      <c r="CP22" s="367"/>
      <c r="CQ22" s="367">
        <v>10</v>
      </c>
      <c r="CR22" s="367"/>
      <c r="CS22" s="387"/>
      <c r="CT22" s="398"/>
      <c r="CU22" s="399"/>
      <c r="CV22" s="399"/>
      <c r="CW22" s="399"/>
      <c r="CX22" s="399">
        <v>1</v>
      </c>
      <c r="CY22" s="399"/>
      <c r="CZ22" s="399"/>
      <c r="DA22" s="400"/>
      <c r="DB22" s="522">
        <v>1</v>
      </c>
    </row>
    <row r="23" spans="1:106" x14ac:dyDescent="0.25">
      <c r="A23" s="468" t="s">
        <v>222</v>
      </c>
      <c r="B23" s="468">
        <v>830</v>
      </c>
      <c r="C23" s="468" t="s">
        <v>3335</v>
      </c>
      <c r="D23" s="468">
        <v>1016</v>
      </c>
      <c r="E23" s="468" t="s">
        <v>626</v>
      </c>
      <c r="F23" s="468" t="s">
        <v>607</v>
      </c>
      <c r="G23" s="468" t="s">
        <v>627</v>
      </c>
      <c r="H23" s="468" t="s">
        <v>225</v>
      </c>
      <c r="I23" s="468" t="s">
        <v>220</v>
      </c>
      <c r="J23" s="468" t="s">
        <v>3321</v>
      </c>
      <c r="K23" s="468" t="s">
        <v>628</v>
      </c>
      <c r="L23" s="468" t="s">
        <v>3737</v>
      </c>
      <c r="M23" s="468" t="s">
        <v>3739</v>
      </c>
      <c r="N23" s="461"/>
      <c r="O23" s="294"/>
      <c r="P23" s="294"/>
      <c r="Q23" s="294"/>
      <c r="R23" s="294"/>
      <c r="S23" s="295"/>
      <c r="T23" s="299"/>
      <c r="U23" s="297"/>
      <c r="V23" s="297"/>
      <c r="W23" s="297">
        <v>2</v>
      </c>
      <c r="X23" s="297"/>
      <c r="Y23" s="297"/>
      <c r="Z23" s="297"/>
      <c r="AA23" s="297"/>
      <c r="AB23" s="293"/>
      <c r="AC23" s="294"/>
      <c r="AD23" s="295"/>
      <c r="AE23" s="298"/>
      <c r="AF23" s="296"/>
      <c r="AG23" s="297"/>
      <c r="AH23" s="297"/>
      <c r="AI23" s="297"/>
      <c r="AJ23" s="297"/>
      <c r="AK23" s="297"/>
      <c r="AL23" s="297"/>
      <c r="AM23" s="297"/>
      <c r="AN23" s="300"/>
      <c r="AO23" s="301"/>
      <c r="AP23" s="301"/>
      <c r="AQ23" s="301"/>
      <c r="AR23" s="301"/>
      <c r="AS23" s="301"/>
      <c r="AT23" s="301"/>
      <c r="AU23" s="301"/>
      <c r="AV23" s="301"/>
      <c r="AW23" s="301"/>
      <c r="AX23" s="301"/>
      <c r="AY23" s="301"/>
      <c r="AZ23" s="301">
        <v>1500</v>
      </c>
      <c r="BA23" s="301"/>
      <c r="BB23" s="301"/>
      <c r="BC23" s="301"/>
      <c r="BD23" s="301"/>
      <c r="BE23" s="301"/>
      <c r="BF23" s="302"/>
      <c r="BG23" s="303"/>
      <c r="BH23" s="304"/>
      <c r="BI23" s="304"/>
      <c r="BJ23" s="304"/>
      <c r="BK23" s="304"/>
      <c r="BL23" s="304"/>
      <c r="BM23" s="304"/>
      <c r="BN23" s="304"/>
      <c r="BO23" s="304"/>
      <c r="BP23" s="304"/>
      <c r="BQ23" s="304"/>
      <c r="BR23" s="304"/>
      <c r="BS23" s="304">
        <v>10</v>
      </c>
      <c r="BT23" s="304"/>
      <c r="BU23" s="304"/>
      <c r="BV23" s="304"/>
      <c r="BW23" s="304"/>
      <c r="BX23" s="304"/>
      <c r="BY23" s="305"/>
      <c r="BZ23" s="306"/>
      <c r="CA23" s="307"/>
      <c r="CB23" s="307"/>
      <c r="CC23" s="307"/>
      <c r="CD23" s="307"/>
      <c r="CE23" s="307"/>
      <c r="CF23" s="307"/>
      <c r="CG23" s="332"/>
      <c r="CH23" s="328"/>
      <c r="CI23" s="328"/>
      <c r="CJ23" s="328">
        <v>2</v>
      </c>
      <c r="CK23" s="328"/>
      <c r="CL23" s="328"/>
      <c r="CM23" s="328"/>
      <c r="CN23" s="370"/>
      <c r="CO23" s="367"/>
      <c r="CP23" s="367"/>
      <c r="CQ23" s="367">
        <v>10</v>
      </c>
      <c r="CR23" s="367"/>
      <c r="CS23" s="387"/>
      <c r="CT23" s="398"/>
      <c r="CU23" s="399"/>
      <c r="CV23" s="399"/>
      <c r="CW23" s="399"/>
      <c r="CX23" s="399">
        <v>1</v>
      </c>
      <c r="CY23" s="399"/>
      <c r="CZ23" s="399"/>
      <c r="DA23" s="400"/>
      <c r="DB23" s="522">
        <v>1</v>
      </c>
    </row>
    <row r="24" spans="1:106" x14ac:dyDescent="0.25">
      <c r="A24" s="468" t="s">
        <v>222</v>
      </c>
      <c r="B24" s="468">
        <v>830</v>
      </c>
      <c r="C24" s="468" t="s">
        <v>3344</v>
      </c>
      <c r="D24" s="468">
        <v>1034</v>
      </c>
      <c r="E24" s="468" t="s">
        <v>629</v>
      </c>
      <c r="F24" s="468" t="s">
        <v>630</v>
      </c>
      <c r="G24" s="468" t="s">
        <v>631</v>
      </c>
      <c r="H24" s="468" t="s">
        <v>632</v>
      </c>
      <c r="I24" s="468" t="s">
        <v>220</v>
      </c>
      <c r="J24" s="468" t="s">
        <v>3345</v>
      </c>
      <c r="K24" s="468" t="s">
        <v>633</v>
      </c>
      <c r="L24" s="468" t="s">
        <v>3737</v>
      </c>
      <c r="M24" s="468" t="s">
        <v>3739</v>
      </c>
      <c r="N24" s="461"/>
      <c r="O24" s="294"/>
      <c r="P24" s="294"/>
      <c r="Q24" s="294"/>
      <c r="R24" s="294">
        <v>2</v>
      </c>
      <c r="S24" s="295"/>
      <c r="T24" s="299"/>
      <c r="U24" s="297"/>
      <c r="V24" s="297"/>
      <c r="W24" s="297"/>
      <c r="X24" s="297"/>
      <c r="Y24" s="297"/>
      <c r="Z24" s="297"/>
      <c r="AA24" s="297"/>
      <c r="AB24" s="293"/>
      <c r="AC24" s="294"/>
      <c r="AD24" s="295"/>
      <c r="AE24" s="298"/>
      <c r="AF24" s="296"/>
      <c r="AG24" s="297"/>
      <c r="AH24" s="297"/>
      <c r="AI24" s="297"/>
      <c r="AJ24" s="297"/>
      <c r="AK24" s="297"/>
      <c r="AL24" s="297"/>
      <c r="AM24" s="297"/>
      <c r="AN24" s="300"/>
      <c r="AO24" s="301"/>
      <c r="AP24" s="301"/>
      <c r="AQ24" s="301"/>
      <c r="AR24" s="301"/>
      <c r="AS24" s="301"/>
      <c r="AT24" s="301"/>
      <c r="AU24" s="301"/>
      <c r="AV24" s="301"/>
      <c r="AW24" s="301"/>
      <c r="AX24" s="301"/>
      <c r="AY24" s="301"/>
      <c r="AZ24" s="301">
        <v>1500</v>
      </c>
      <c r="BA24" s="301"/>
      <c r="BB24" s="301"/>
      <c r="BC24" s="301"/>
      <c r="BD24" s="301"/>
      <c r="BE24" s="301"/>
      <c r="BF24" s="302"/>
      <c r="BG24" s="303"/>
      <c r="BH24" s="304"/>
      <c r="BI24" s="304"/>
      <c r="BJ24" s="304"/>
      <c r="BK24" s="304"/>
      <c r="BL24" s="304"/>
      <c r="BM24" s="304"/>
      <c r="BN24" s="304"/>
      <c r="BO24" s="304"/>
      <c r="BP24" s="304"/>
      <c r="BQ24" s="304"/>
      <c r="BR24" s="304"/>
      <c r="BS24" s="304">
        <v>10</v>
      </c>
      <c r="BT24" s="304"/>
      <c r="BU24" s="304"/>
      <c r="BV24" s="304"/>
      <c r="BW24" s="304"/>
      <c r="BX24" s="304"/>
      <c r="BY24" s="305"/>
      <c r="BZ24" s="306"/>
      <c r="CA24" s="307"/>
      <c r="CB24" s="307"/>
      <c r="CC24" s="307"/>
      <c r="CD24" s="307"/>
      <c r="CE24" s="307"/>
      <c r="CF24" s="307"/>
      <c r="CG24" s="332"/>
      <c r="CH24" s="328"/>
      <c r="CI24" s="328"/>
      <c r="CJ24" s="328">
        <v>2</v>
      </c>
      <c r="CK24" s="328"/>
      <c r="CL24" s="328"/>
      <c r="CM24" s="328"/>
      <c r="CN24" s="370"/>
      <c r="CO24" s="367"/>
      <c r="CP24" s="367"/>
      <c r="CQ24" s="367">
        <v>10</v>
      </c>
      <c r="CR24" s="367"/>
      <c r="CS24" s="387"/>
      <c r="CT24" s="398"/>
      <c r="CU24" s="399"/>
      <c r="CV24" s="399"/>
      <c r="CW24" s="399"/>
      <c r="CX24" s="399">
        <v>1</v>
      </c>
      <c r="CY24" s="399"/>
      <c r="CZ24" s="399"/>
      <c r="DA24" s="400"/>
      <c r="DB24" s="522">
        <v>1</v>
      </c>
    </row>
    <row r="25" spans="1:106" x14ac:dyDescent="0.25">
      <c r="A25" s="468" t="s">
        <v>222</v>
      </c>
      <c r="B25" s="468">
        <v>830</v>
      </c>
      <c r="C25" s="468" t="s">
        <v>3346</v>
      </c>
      <c r="D25" s="468">
        <v>1035</v>
      </c>
      <c r="E25" s="468" t="s">
        <v>634</v>
      </c>
      <c r="F25" s="468" t="s">
        <v>635</v>
      </c>
      <c r="G25" s="468" t="s">
        <v>636</v>
      </c>
      <c r="H25" s="468" t="s">
        <v>225</v>
      </c>
      <c r="I25" s="468" t="s">
        <v>220</v>
      </c>
      <c r="J25" s="468" t="s">
        <v>3347</v>
      </c>
      <c r="K25" s="468" t="s">
        <v>637</v>
      </c>
      <c r="L25" s="468" t="s">
        <v>3737</v>
      </c>
      <c r="M25" s="468" t="s">
        <v>3739</v>
      </c>
      <c r="N25" s="461"/>
      <c r="O25" s="294"/>
      <c r="P25" s="294"/>
      <c r="Q25" s="294"/>
      <c r="R25" s="294">
        <v>1</v>
      </c>
      <c r="S25" s="295"/>
      <c r="T25" s="299"/>
      <c r="U25" s="297"/>
      <c r="V25" s="297"/>
      <c r="W25" s="297"/>
      <c r="X25" s="297"/>
      <c r="Y25" s="297"/>
      <c r="Z25" s="297"/>
      <c r="AA25" s="297"/>
      <c r="AB25" s="293"/>
      <c r="AC25" s="294"/>
      <c r="AD25" s="295"/>
      <c r="AE25" s="298"/>
      <c r="AF25" s="296"/>
      <c r="AG25" s="297"/>
      <c r="AH25" s="297"/>
      <c r="AI25" s="297"/>
      <c r="AJ25" s="297"/>
      <c r="AK25" s="297"/>
      <c r="AL25" s="297"/>
      <c r="AM25" s="297"/>
      <c r="AN25" s="300"/>
      <c r="AO25" s="301"/>
      <c r="AP25" s="301"/>
      <c r="AQ25" s="301"/>
      <c r="AR25" s="301"/>
      <c r="AS25" s="301"/>
      <c r="AT25" s="301"/>
      <c r="AU25" s="301"/>
      <c r="AV25" s="301"/>
      <c r="AW25" s="301"/>
      <c r="AX25" s="301"/>
      <c r="AY25" s="301"/>
      <c r="AZ25" s="301">
        <v>1500</v>
      </c>
      <c r="BA25" s="301"/>
      <c r="BB25" s="301"/>
      <c r="BC25" s="301"/>
      <c r="BD25" s="301"/>
      <c r="BE25" s="301"/>
      <c r="BF25" s="302"/>
      <c r="BG25" s="303"/>
      <c r="BH25" s="304"/>
      <c r="BI25" s="304"/>
      <c r="BJ25" s="304"/>
      <c r="BK25" s="304"/>
      <c r="BL25" s="304"/>
      <c r="BM25" s="304"/>
      <c r="BN25" s="304"/>
      <c r="BO25" s="304"/>
      <c r="BP25" s="304"/>
      <c r="BQ25" s="304"/>
      <c r="BR25" s="304"/>
      <c r="BS25" s="304">
        <v>10</v>
      </c>
      <c r="BT25" s="304"/>
      <c r="BU25" s="304"/>
      <c r="BV25" s="304"/>
      <c r="BW25" s="304"/>
      <c r="BX25" s="304"/>
      <c r="BY25" s="305"/>
      <c r="BZ25" s="306"/>
      <c r="CA25" s="307"/>
      <c r="CB25" s="307"/>
      <c r="CC25" s="307"/>
      <c r="CD25" s="307"/>
      <c r="CE25" s="307"/>
      <c r="CF25" s="307"/>
      <c r="CG25" s="332"/>
      <c r="CH25" s="328"/>
      <c r="CI25" s="328"/>
      <c r="CJ25" s="328">
        <v>2</v>
      </c>
      <c r="CK25" s="328"/>
      <c r="CL25" s="328"/>
      <c r="CM25" s="328"/>
      <c r="CN25" s="370"/>
      <c r="CO25" s="367"/>
      <c r="CP25" s="367"/>
      <c r="CQ25" s="367">
        <v>10</v>
      </c>
      <c r="CR25" s="367"/>
      <c r="CS25" s="387"/>
      <c r="CT25" s="398"/>
      <c r="CU25" s="399"/>
      <c r="CV25" s="399"/>
      <c r="CW25" s="399"/>
      <c r="CX25" s="399">
        <v>1</v>
      </c>
      <c r="CY25" s="399"/>
      <c r="CZ25" s="399"/>
      <c r="DA25" s="400"/>
      <c r="DB25" s="522">
        <v>1</v>
      </c>
    </row>
    <row r="26" spans="1:106" x14ac:dyDescent="0.25">
      <c r="A26" s="468" t="s">
        <v>222</v>
      </c>
      <c r="B26" s="468">
        <v>830</v>
      </c>
      <c r="C26" s="468" t="s">
        <v>3350</v>
      </c>
      <c r="D26" s="468">
        <v>1038</v>
      </c>
      <c r="E26" s="468" t="s">
        <v>638</v>
      </c>
      <c r="F26" s="468" t="s">
        <v>639</v>
      </c>
      <c r="G26" s="468" t="s">
        <v>640</v>
      </c>
      <c r="H26" s="468" t="s">
        <v>225</v>
      </c>
      <c r="I26" s="468" t="s">
        <v>220</v>
      </c>
      <c r="J26" s="468" t="s">
        <v>3351</v>
      </c>
      <c r="K26" s="468" t="s">
        <v>641</v>
      </c>
      <c r="L26" s="468" t="s">
        <v>3737</v>
      </c>
      <c r="M26" s="468" t="s">
        <v>3739</v>
      </c>
      <c r="N26" s="461"/>
      <c r="O26" s="294"/>
      <c r="P26" s="294"/>
      <c r="Q26" s="294"/>
      <c r="R26" s="294">
        <v>2</v>
      </c>
      <c r="S26" s="295"/>
      <c r="T26" s="299"/>
      <c r="U26" s="297"/>
      <c r="V26" s="297"/>
      <c r="W26" s="297"/>
      <c r="X26" s="297"/>
      <c r="Y26" s="297"/>
      <c r="Z26" s="297"/>
      <c r="AA26" s="297"/>
      <c r="AB26" s="293"/>
      <c r="AC26" s="294"/>
      <c r="AD26" s="295"/>
      <c r="AE26" s="298"/>
      <c r="AF26" s="296"/>
      <c r="AG26" s="297"/>
      <c r="AH26" s="297"/>
      <c r="AI26" s="297"/>
      <c r="AJ26" s="297"/>
      <c r="AK26" s="297"/>
      <c r="AL26" s="297"/>
      <c r="AM26" s="297"/>
      <c r="AN26" s="300"/>
      <c r="AO26" s="301"/>
      <c r="AP26" s="301"/>
      <c r="AQ26" s="301"/>
      <c r="AR26" s="301"/>
      <c r="AS26" s="301"/>
      <c r="AT26" s="301"/>
      <c r="AU26" s="301"/>
      <c r="AV26" s="301"/>
      <c r="AW26" s="301"/>
      <c r="AX26" s="301"/>
      <c r="AY26" s="301"/>
      <c r="AZ26" s="301">
        <v>1500</v>
      </c>
      <c r="BA26" s="301"/>
      <c r="BB26" s="301"/>
      <c r="BC26" s="301"/>
      <c r="BD26" s="301"/>
      <c r="BE26" s="301"/>
      <c r="BF26" s="302"/>
      <c r="BG26" s="303"/>
      <c r="BH26" s="304"/>
      <c r="BI26" s="304"/>
      <c r="BJ26" s="304"/>
      <c r="BK26" s="304"/>
      <c r="BL26" s="304"/>
      <c r="BM26" s="304"/>
      <c r="BN26" s="304"/>
      <c r="BO26" s="304"/>
      <c r="BP26" s="304"/>
      <c r="BQ26" s="304"/>
      <c r="BR26" s="304"/>
      <c r="BS26" s="304">
        <v>10</v>
      </c>
      <c r="BT26" s="304"/>
      <c r="BU26" s="304"/>
      <c r="BV26" s="304"/>
      <c r="BW26" s="304"/>
      <c r="BX26" s="304"/>
      <c r="BY26" s="305"/>
      <c r="BZ26" s="306"/>
      <c r="CA26" s="307"/>
      <c r="CB26" s="307"/>
      <c r="CC26" s="307"/>
      <c r="CD26" s="307"/>
      <c r="CE26" s="307"/>
      <c r="CF26" s="307"/>
      <c r="CG26" s="332"/>
      <c r="CH26" s="328"/>
      <c r="CI26" s="328"/>
      <c r="CJ26" s="328">
        <v>2</v>
      </c>
      <c r="CK26" s="328"/>
      <c r="CL26" s="328"/>
      <c r="CM26" s="328"/>
      <c r="CN26" s="370"/>
      <c r="CO26" s="367"/>
      <c r="CP26" s="367"/>
      <c r="CQ26" s="367">
        <v>10</v>
      </c>
      <c r="CR26" s="367"/>
      <c r="CS26" s="387"/>
      <c r="CT26" s="398"/>
      <c r="CU26" s="399"/>
      <c r="CV26" s="399"/>
      <c r="CW26" s="399"/>
      <c r="CX26" s="399">
        <v>1</v>
      </c>
      <c r="CY26" s="399"/>
      <c r="CZ26" s="399"/>
      <c r="DA26" s="400"/>
      <c r="DB26" s="522">
        <v>1</v>
      </c>
    </row>
    <row r="27" spans="1:106" x14ac:dyDescent="0.25">
      <c r="A27" s="468" t="s">
        <v>222</v>
      </c>
      <c r="B27" s="468">
        <v>830</v>
      </c>
      <c r="C27" s="468" t="s">
        <v>3366</v>
      </c>
      <c r="D27" s="468">
        <v>1058</v>
      </c>
      <c r="E27" s="468" t="s">
        <v>656</v>
      </c>
      <c r="F27" s="468" t="s">
        <v>3014</v>
      </c>
      <c r="G27" s="468" t="s">
        <v>658</v>
      </c>
      <c r="H27" s="468" t="s">
        <v>225</v>
      </c>
      <c r="I27" s="468" t="s">
        <v>220</v>
      </c>
      <c r="J27" s="468" t="s">
        <v>3319</v>
      </c>
      <c r="K27" s="468" t="s">
        <v>659</v>
      </c>
      <c r="L27" s="468" t="s">
        <v>3737</v>
      </c>
      <c r="M27" s="468" t="s">
        <v>3739</v>
      </c>
      <c r="N27" s="461"/>
      <c r="O27" s="294"/>
      <c r="P27" s="294"/>
      <c r="Q27" s="294"/>
      <c r="R27" s="294">
        <v>2</v>
      </c>
      <c r="S27" s="295"/>
      <c r="T27" s="299"/>
      <c r="U27" s="297"/>
      <c r="V27" s="297"/>
      <c r="W27" s="297"/>
      <c r="X27" s="297"/>
      <c r="Y27" s="297"/>
      <c r="Z27" s="297"/>
      <c r="AA27" s="297"/>
      <c r="AB27" s="293"/>
      <c r="AC27" s="294"/>
      <c r="AD27" s="295"/>
      <c r="AE27" s="298"/>
      <c r="AF27" s="296"/>
      <c r="AG27" s="297"/>
      <c r="AH27" s="297"/>
      <c r="AI27" s="297"/>
      <c r="AJ27" s="297"/>
      <c r="AK27" s="297"/>
      <c r="AL27" s="297"/>
      <c r="AM27" s="297"/>
      <c r="AN27" s="300"/>
      <c r="AO27" s="301"/>
      <c r="AP27" s="301"/>
      <c r="AQ27" s="301"/>
      <c r="AR27" s="301"/>
      <c r="AS27" s="301"/>
      <c r="AT27" s="301"/>
      <c r="AU27" s="301"/>
      <c r="AV27" s="301"/>
      <c r="AW27" s="301"/>
      <c r="AX27" s="301"/>
      <c r="AY27" s="301"/>
      <c r="AZ27" s="301">
        <v>1500</v>
      </c>
      <c r="BA27" s="301"/>
      <c r="BB27" s="301"/>
      <c r="BC27" s="301"/>
      <c r="BD27" s="301"/>
      <c r="BE27" s="301"/>
      <c r="BF27" s="302"/>
      <c r="BG27" s="303"/>
      <c r="BH27" s="304"/>
      <c r="BI27" s="304"/>
      <c r="BJ27" s="304"/>
      <c r="BK27" s="304"/>
      <c r="BL27" s="304"/>
      <c r="BM27" s="304"/>
      <c r="BN27" s="304"/>
      <c r="BO27" s="304"/>
      <c r="BP27" s="304"/>
      <c r="BQ27" s="304"/>
      <c r="BR27" s="304"/>
      <c r="BS27" s="304">
        <v>10</v>
      </c>
      <c r="BT27" s="304"/>
      <c r="BU27" s="304"/>
      <c r="BV27" s="304"/>
      <c r="BW27" s="304"/>
      <c r="BX27" s="304"/>
      <c r="BY27" s="305"/>
      <c r="BZ27" s="306"/>
      <c r="CA27" s="307"/>
      <c r="CB27" s="307"/>
      <c r="CC27" s="307"/>
      <c r="CD27" s="307"/>
      <c r="CE27" s="307"/>
      <c r="CF27" s="307"/>
      <c r="CG27" s="332"/>
      <c r="CH27" s="328"/>
      <c r="CI27" s="328"/>
      <c r="CJ27" s="328">
        <v>2</v>
      </c>
      <c r="CK27" s="328"/>
      <c r="CL27" s="328"/>
      <c r="CM27" s="328"/>
      <c r="CN27" s="370"/>
      <c r="CO27" s="367"/>
      <c r="CP27" s="367"/>
      <c r="CQ27" s="367">
        <v>10</v>
      </c>
      <c r="CR27" s="367"/>
      <c r="CS27" s="387"/>
      <c r="CT27" s="398"/>
      <c r="CU27" s="399"/>
      <c r="CV27" s="399"/>
      <c r="CW27" s="399"/>
      <c r="CX27" s="399">
        <v>1</v>
      </c>
      <c r="CY27" s="399"/>
      <c r="CZ27" s="399"/>
      <c r="DA27" s="400"/>
      <c r="DB27" s="522">
        <v>1</v>
      </c>
    </row>
    <row r="28" spans="1:106" x14ac:dyDescent="0.25">
      <c r="A28" s="468" t="s">
        <v>227</v>
      </c>
      <c r="B28" s="468">
        <v>830</v>
      </c>
      <c r="C28" s="468" t="s">
        <v>3332</v>
      </c>
      <c r="D28" s="468">
        <v>1013</v>
      </c>
      <c r="E28" s="468" t="s">
        <v>668</v>
      </c>
      <c r="F28" s="468" t="s">
        <v>661</v>
      </c>
      <c r="G28" s="468" t="s">
        <v>669</v>
      </c>
      <c r="H28" s="468" t="s">
        <v>663</v>
      </c>
      <c r="I28" s="468" t="s">
        <v>220</v>
      </c>
      <c r="J28" s="468" t="s">
        <v>3333</v>
      </c>
      <c r="K28" s="468" t="s">
        <v>670</v>
      </c>
      <c r="L28" s="468" t="s">
        <v>3737</v>
      </c>
      <c r="M28" s="468" t="s">
        <v>3739</v>
      </c>
      <c r="N28" s="461"/>
      <c r="O28" s="294"/>
      <c r="P28" s="294"/>
      <c r="Q28" s="294"/>
      <c r="R28" s="294"/>
      <c r="S28" s="295"/>
      <c r="T28" s="299"/>
      <c r="U28" s="297"/>
      <c r="V28" s="297"/>
      <c r="W28" s="297">
        <v>2</v>
      </c>
      <c r="X28" s="297"/>
      <c r="Y28" s="297"/>
      <c r="Z28" s="297"/>
      <c r="AA28" s="297"/>
      <c r="AB28" s="293"/>
      <c r="AC28" s="294"/>
      <c r="AD28" s="295"/>
      <c r="AE28" s="298"/>
      <c r="AF28" s="296"/>
      <c r="AG28" s="297"/>
      <c r="AH28" s="297"/>
      <c r="AI28" s="297"/>
      <c r="AJ28" s="297"/>
      <c r="AK28" s="297"/>
      <c r="AL28" s="297"/>
      <c r="AM28" s="297"/>
      <c r="AN28" s="300"/>
      <c r="AO28" s="301"/>
      <c r="AP28" s="301"/>
      <c r="AQ28" s="301"/>
      <c r="AR28" s="301"/>
      <c r="AS28" s="301"/>
      <c r="AT28" s="301"/>
      <c r="AU28" s="301"/>
      <c r="AV28" s="301"/>
      <c r="AW28" s="301"/>
      <c r="AX28" s="301"/>
      <c r="AY28" s="301"/>
      <c r="AZ28" s="301">
        <v>1500</v>
      </c>
      <c r="BA28" s="301"/>
      <c r="BB28" s="301"/>
      <c r="BC28" s="301"/>
      <c r="BD28" s="301"/>
      <c r="BE28" s="301"/>
      <c r="BF28" s="302"/>
      <c r="BG28" s="303"/>
      <c r="BH28" s="304"/>
      <c r="BI28" s="304"/>
      <c r="BJ28" s="304"/>
      <c r="BK28" s="304"/>
      <c r="BL28" s="304"/>
      <c r="BM28" s="304"/>
      <c r="BN28" s="304"/>
      <c r="BO28" s="304"/>
      <c r="BP28" s="304"/>
      <c r="BQ28" s="304"/>
      <c r="BR28" s="304"/>
      <c r="BS28" s="304">
        <v>10</v>
      </c>
      <c r="BT28" s="304"/>
      <c r="BU28" s="304"/>
      <c r="BV28" s="304"/>
      <c r="BW28" s="304"/>
      <c r="BX28" s="304"/>
      <c r="BY28" s="305"/>
      <c r="BZ28" s="306"/>
      <c r="CA28" s="307"/>
      <c r="CB28" s="307"/>
      <c r="CC28" s="307"/>
      <c r="CD28" s="307"/>
      <c r="CE28" s="307"/>
      <c r="CF28" s="307"/>
      <c r="CG28" s="332"/>
      <c r="CH28" s="328"/>
      <c r="CI28" s="328"/>
      <c r="CJ28" s="328">
        <v>2</v>
      </c>
      <c r="CK28" s="328"/>
      <c r="CL28" s="328"/>
      <c r="CM28" s="328"/>
      <c r="CN28" s="370"/>
      <c r="CO28" s="367"/>
      <c r="CP28" s="367"/>
      <c r="CQ28" s="367">
        <v>10</v>
      </c>
      <c r="CR28" s="367"/>
      <c r="CS28" s="387"/>
      <c r="CT28" s="398"/>
      <c r="CU28" s="399"/>
      <c r="CV28" s="399"/>
      <c r="CW28" s="399"/>
      <c r="CX28" s="399">
        <v>1</v>
      </c>
      <c r="CY28" s="399"/>
      <c r="CZ28" s="399"/>
      <c r="DA28" s="400"/>
      <c r="DB28" s="522">
        <v>1</v>
      </c>
    </row>
    <row r="29" spans="1:106" x14ac:dyDescent="0.25">
      <c r="A29" s="468" t="s">
        <v>227</v>
      </c>
      <c r="B29" s="468">
        <v>830</v>
      </c>
      <c r="C29" s="468" t="s">
        <v>3336</v>
      </c>
      <c r="D29" s="468">
        <v>1018</v>
      </c>
      <c r="E29" s="468" t="s">
        <v>671</v>
      </c>
      <c r="F29" s="468" t="s">
        <v>672</v>
      </c>
      <c r="G29" s="468" t="s">
        <v>673</v>
      </c>
      <c r="H29" s="468" t="s">
        <v>674</v>
      </c>
      <c r="I29" s="468" t="s">
        <v>220</v>
      </c>
      <c r="J29" s="468" t="s">
        <v>3337</v>
      </c>
      <c r="K29" s="468" t="s">
        <v>675</v>
      </c>
      <c r="L29" s="468" t="s">
        <v>3737</v>
      </c>
      <c r="M29" s="468" t="s">
        <v>3739</v>
      </c>
      <c r="N29" s="461"/>
      <c r="O29" s="294"/>
      <c r="P29" s="294"/>
      <c r="Q29" s="294"/>
      <c r="R29" s="294">
        <v>2</v>
      </c>
      <c r="S29" s="295"/>
      <c r="T29" s="299"/>
      <c r="U29" s="297"/>
      <c r="V29" s="297"/>
      <c r="W29" s="297"/>
      <c r="X29" s="297"/>
      <c r="Y29" s="297"/>
      <c r="Z29" s="297"/>
      <c r="AA29" s="297"/>
      <c r="AB29" s="293"/>
      <c r="AC29" s="294"/>
      <c r="AD29" s="295"/>
      <c r="AE29" s="298"/>
      <c r="AF29" s="296"/>
      <c r="AG29" s="297"/>
      <c r="AH29" s="297"/>
      <c r="AI29" s="297"/>
      <c r="AJ29" s="297"/>
      <c r="AK29" s="297"/>
      <c r="AL29" s="297"/>
      <c r="AM29" s="297"/>
      <c r="AN29" s="300"/>
      <c r="AO29" s="301"/>
      <c r="AP29" s="301"/>
      <c r="AQ29" s="301"/>
      <c r="AR29" s="301"/>
      <c r="AS29" s="301"/>
      <c r="AT29" s="301"/>
      <c r="AU29" s="301"/>
      <c r="AV29" s="301"/>
      <c r="AW29" s="301"/>
      <c r="AX29" s="301"/>
      <c r="AY29" s="301"/>
      <c r="AZ29" s="301">
        <v>1500</v>
      </c>
      <c r="BA29" s="301"/>
      <c r="BB29" s="301"/>
      <c r="BC29" s="301"/>
      <c r="BD29" s="301"/>
      <c r="BE29" s="301"/>
      <c r="BF29" s="302"/>
      <c r="BG29" s="303"/>
      <c r="BH29" s="304"/>
      <c r="BI29" s="304"/>
      <c r="BJ29" s="304"/>
      <c r="BK29" s="304"/>
      <c r="BL29" s="304"/>
      <c r="BM29" s="304"/>
      <c r="BN29" s="304"/>
      <c r="BO29" s="304"/>
      <c r="BP29" s="304"/>
      <c r="BQ29" s="304"/>
      <c r="BR29" s="304"/>
      <c r="BS29" s="304">
        <v>10</v>
      </c>
      <c r="BT29" s="304"/>
      <c r="BU29" s="304"/>
      <c r="BV29" s="304"/>
      <c r="BW29" s="304"/>
      <c r="BX29" s="304"/>
      <c r="BY29" s="305"/>
      <c r="BZ29" s="306"/>
      <c r="CA29" s="307"/>
      <c r="CB29" s="307"/>
      <c r="CC29" s="307"/>
      <c r="CD29" s="307"/>
      <c r="CE29" s="307"/>
      <c r="CF29" s="307"/>
      <c r="CG29" s="332"/>
      <c r="CH29" s="328"/>
      <c r="CI29" s="328"/>
      <c r="CJ29" s="328">
        <v>2</v>
      </c>
      <c r="CK29" s="328"/>
      <c r="CL29" s="328"/>
      <c r="CM29" s="328"/>
      <c r="CN29" s="370"/>
      <c r="CO29" s="367"/>
      <c r="CP29" s="367"/>
      <c r="CQ29" s="367">
        <v>10</v>
      </c>
      <c r="CR29" s="367"/>
      <c r="CS29" s="387"/>
      <c r="CT29" s="398"/>
      <c r="CU29" s="399"/>
      <c r="CV29" s="399"/>
      <c r="CW29" s="399"/>
      <c r="CX29" s="399">
        <v>1</v>
      </c>
      <c r="CY29" s="399"/>
      <c r="CZ29" s="399"/>
      <c r="DA29" s="400"/>
      <c r="DB29" s="522">
        <v>1</v>
      </c>
    </row>
    <row r="30" spans="1:106" x14ac:dyDescent="0.25">
      <c r="A30" s="468" t="s">
        <v>227</v>
      </c>
      <c r="B30" s="468">
        <v>830</v>
      </c>
      <c r="C30" s="468" t="s">
        <v>3340</v>
      </c>
      <c r="D30" s="468">
        <v>1027</v>
      </c>
      <c r="E30" s="468" t="s">
        <v>676</v>
      </c>
      <c r="F30" s="468" t="s">
        <v>677</v>
      </c>
      <c r="G30" s="468" t="s">
        <v>678</v>
      </c>
      <c r="H30" s="468" t="s">
        <v>679</v>
      </c>
      <c r="I30" s="468" t="s">
        <v>220</v>
      </c>
      <c r="J30" s="468" t="s">
        <v>3341</v>
      </c>
      <c r="K30" s="468" t="s">
        <v>680</v>
      </c>
      <c r="L30" s="468" t="s">
        <v>3737</v>
      </c>
      <c r="M30" s="468" t="s">
        <v>3739</v>
      </c>
      <c r="N30" s="461"/>
      <c r="O30" s="294"/>
      <c r="P30" s="294"/>
      <c r="Q30" s="294"/>
      <c r="R30" s="294">
        <v>2</v>
      </c>
      <c r="S30" s="295"/>
      <c r="T30" s="299"/>
      <c r="U30" s="297"/>
      <c r="V30" s="297"/>
      <c r="W30" s="297"/>
      <c r="X30" s="297"/>
      <c r="Y30" s="297"/>
      <c r="Z30" s="297"/>
      <c r="AA30" s="297"/>
      <c r="AB30" s="293"/>
      <c r="AC30" s="294"/>
      <c r="AD30" s="295"/>
      <c r="AE30" s="298"/>
      <c r="AF30" s="296"/>
      <c r="AG30" s="297"/>
      <c r="AH30" s="297"/>
      <c r="AI30" s="297"/>
      <c r="AJ30" s="297"/>
      <c r="AK30" s="297"/>
      <c r="AL30" s="297"/>
      <c r="AM30" s="297"/>
      <c r="AN30" s="300"/>
      <c r="AO30" s="301"/>
      <c r="AP30" s="301"/>
      <c r="AQ30" s="301"/>
      <c r="AR30" s="301"/>
      <c r="AS30" s="301"/>
      <c r="AT30" s="301"/>
      <c r="AU30" s="301"/>
      <c r="AV30" s="301"/>
      <c r="AW30" s="301"/>
      <c r="AX30" s="301"/>
      <c r="AY30" s="301"/>
      <c r="AZ30" s="301">
        <v>1500</v>
      </c>
      <c r="BA30" s="301"/>
      <c r="BB30" s="301"/>
      <c r="BC30" s="301"/>
      <c r="BD30" s="301"/>
      <c r="BE30" s="301"/>
      <c r="BF30" s="302"/>
      <c r="BG30" s="303"/>
      <c r="BH30" s="304"/>
      <c r="BI30" s="304"/>
      <c r="BJ30" s="304"/>
      <c r="BK30" s="304"/>
      <c r="BL30" s="304"/>
      <c r="BM30" s="304"/>
      <c r="BN30" s="304"/>
      <c r="BO30" s="304"/>
      <c r="BP30" s="304"/>
      <c r="BQ30" s="304"/>
      <c r="BR30" s="304"/>
      <c r="BS30" s="304">
        <v>10</v>
      </c>
      <c r="BT30" s="304"/>
      <c r="BU30" s="304"/>
      <c r="BV30" s="304"/>
      <c r="BW30" s="304"/>
      <c r="BX30" s="304"/>
      <c r="BY30" s="305"/>
      <c r="BZ30" s="306"/>
      <c r="CA30" s="307"/>
      <c r="CB30" s="307"/>
      <c r="CC30" s="307"/>
      <c r="CD30" s="307"/>
      <c r="CE30" s="307"/>
      <c r="CF30" s="307"/>
      <c r="CG30" s="332"/>
      <c r="CH30" s="328"/>
      <c r="CI30" s="328"/>
      <c r="CJ30" s="328">
        <v>2</v>
      </c>
      <c r="CK30" s="328"/>
      <c r="CL30" s="328"/>
      <c r="CM30" s="328"/>
      <c r="CN30" s="370"/>
      <c r="CO30" s="367"/>
      <c r="CP30" s="367"/>
      <c r="CQ30" s="367">
        <v>10</v>
      </c>
      <c r="CR30" s="367"/>
      <c r="CS30" s="387"/>
      <c r="CT30" s="398"/>
      <c r="CU30" s="399"/>
      <c r="CV30" s="399"/>
      <c r="CW30" s="399"/>
      <c r="CX30" s="399">
        <v>1</v>
      </c>
      <c r="CY30" s="399"/>
      <c r="CZ30" s="399"/>
      <c r="DA30" s="400"/>
      <c r="DB30" s="522">
        <v>1</v>
      </c>
    </row>
    <row r="31" spans="1:106" x14ac:dyDescent="0.25">
      <c r="A31" s="468" t="s">
        <v>227</v>
      </c>
      <c r="B31" s="468">
        <v>830</v>
      </c>
      <c r="C31" s="468" t="s">
        <v>3348</v>
      </c>
      <c r="D31" s="468">
        <v>1037</v>
      </c>
      <c r="E31" s="468" t="s">
        <v>228</v>
      </c>
      <c r="F31" s="468" t="s">
        <v>681</v>
      </c>
      <c r="G31" s="468" t="s">
        <v>229</v>
      </c>
      <c r="H31" s="468" t="s">
        <v>230</v>
      </c>
      <c r="I31" s="468" t="s">
        <v>220</v>
      </c>
      <c r="J31" s="468" t="s">
        <v>3349</v>
      </c>
      <c r="K31" s="468" t="s">
        <v>231</v>
      </c>
      <c r="L31" s="468" t="s">
        <v>3737</v>
      </c>
      <c r="M31" s="468" t="s">
        <v>3739</v>
      </c>
      <c r="N31" s="461"/>
      <c r="O31" s="294"/>
      <c r="P31" s="294"/>
      <c r="Q31" s="294"/>
      <c r="R31" s="294">
        <v>2</v>
      </c>
      <c r="S31" s="295"/>
      <c r="T31" s="299"/>
      <c r="U31" s="297"/>
      <c r="V31" s="297"/>
      <c r="W31" s="297"/>
      <c r="X31" s="297"/>
      <c r="Y31" s="297"/>
      <c r="Z31" s="297"/>
      <c r="AA31" s="297"/>
      <c r="AB31" s="293"/>
      <c r="AC31" s="294"/>
      <c r="AD31" s="295"/>
      <c r="AE31" s="298"/>
      <c r="AF31" s="296"/>
      <c r="AG31" s="297"/>
      <c r="AH31" s="297"/>
      <c r="AI31" s="297"/>
      <c r="AJ31" s="297"/>
      <c r="AK31" s="297"/>
      <c r="AL31" s="297"/>
      <c r="AM31" s="297"/>
      <c r="AN31" s="300"/>
      <c r="AO31" s="301"/>
      <c r="AP31" s="301"/>
      <c r="AQ31" s="301"/>
      <c r="AR31" s="301"/>
      <c r="AS31" s="301"/>
      <c r="AT31" s="301"/>
      <c r="AU31" s="301"/>
      <c r="AV31" s="301"/>
      <c r="AW31" s="301"/>
      <c r="AX31" s="301"/>
      <c r="AY31" s="301"/>
      <c r="AZ31" s="301">
        <v>1500</v>
      </c>
      <c r="BA31" s="301"/>
      <c r="BB31" s="301"/>
      <c r="BC31" s="301"/>
      <c r="BD31" s="301"/>
      <c r="BE31" s="301"/>
      <c r="BF31" s="302"/>
      <c r="BG31" s="303"/>
      <c r="BH31" s="304"/>
      <c r="BI31" s="304"/>
      <c r="BJ31" s="304"/>
      <c r="BK31" s="304"/>
      <c r="BL31" s="304"/>
      <c r="BM31" s="304"/>
      <c r="BN31" s="304"/>
      <c r="BO31" s="304"/>
      <c r="BP31" s="304"/>
      <c r="BQ31" s="304"/>
      <c r="BR31" s="304"/>
      <c r="BS31" s="304">
        <v>10</v>
      </c>
      <c r="BT31" s="304"/>
      <c r="BU31" s="304"/>
      <c r="BV31" s="304"/>
      <c r="BW31" s="304"/>
      <c r="BX31" s="304"/>
      <c r="BY31" s="305"/>
      <c r="BZ31" s="306"/>
      <c r="CA31" s="307"/>
      <c r="CB31" s="307"/>
      <c r="CC31" s="307"/>
      <c r="CD31" s="307"/>
      <c r="CE31" s="307"/>
      <c r="CF31" s="307"/>
      <c r="CG31" s="332"/>
      <c r="CH31" s="328"/>
      <c r="CI31" s="328"/>
      <c r="CJ31" s="328">
        <v>2</v>
      </c>
      <c r="CK31" s="328"/>
      <c r="CL31" s="328"/>
      <c r="CM31" s="328"/>
      <c r="CN31" s="370"/>
      <c r="CO31" s="367"/>
      <c r="CP31" s="367"/>
      <c r="CQ31" s="367">
        <v>10</v>
      </c>
      <c r="CR31" s="367"/>
      <c r="CS31" s="387"/>
      <c r="CT31" s="398"/>
      <c r="CU31" s="399"/>
      <c r="CV31" s="399"/>
      <c r="CW31" s="399"/>
      <c r="CX31" s="399">
        <v>1</v>
      </c>
      <c r="CY31" s="399"/>
      <c r="CZ31" s="399"/>
      <c r="DA31" s="400"/>
      <c r="DB31" s="522">
        <v>1</v>
      </c>
    </row>
    <row r="32" spans="1:106" x14ac:dyDescent="0.25">
      <c r="A32" s="468" t="s">
        <v>215</v>
      </c>
      <c r="B32" s="468">
        <v>831</v>
      </c>
      <c r="C32" s="468" t="s">
        <v>731</v>
      </c>
      <c r="D32" s="468">
        <v>915</v>
      </c>
      <c r="E32" s="468" t="s">
        <v>732</v>
      </c>
      <c r="F32" s="468" t="s">
        <v>733</v>
      </c>
      <c r="G32" s="468" t="s">
        <v>734</v>
      </c>
      <c r="H32" s="468" t="s">
        <v>708</v>
      </c>
      <c r="I32" s="468" t="s">
        <v>220</v>
      </c>
      <c r="J32" s="468" t="s">
        <v>3296</v>
      </c>
      <c r="K32" s="468" t="s">
        <v>735</v>
      </c>
      <c r="L32" s="468" t="s">
        <v>3737</v>
      </c>
      <c r="M32" s="468" t="s">
        <v>3739</v>
      </c>
      <c r="N32" s="461"/>
      <c r="O32" s="294"/>
      <c r="P32" s="294"/>
      <c r="Q32" s="294"/>
      <c r="R32" s="294"/>
      <c r="S32" s="295"/>
      <c r="T32" s="299"/>
      <c r="U32" s="297"/>
      <c r="V32" s="297"/>
      <c r="W32" s="297">
        <v>1</v>
      </c>
      <c r="X32" s="297"/>
      <c r="Y32" s="297"/>
      <c r="Z32" s="297"/>
      <c r="AA32" s="297"/>
      <c r="AB32" s="293"/>
      <c r="AC32" s="294"/>
      <c r="AD32" s="295"/>
      <c r="AE32" s="298"/>
      <c r="AF32" s="296"/>
      <c r="AG32" s="297"/>
      <c r="AH32" s="297"/>
      <c r="AI32" s="297"/>
      <c r="AJ32" s="297"/>
      <c r="AK32" s="297"/>
      <c r="AL32" s="297"/>
      <c r="AM32" s="297"/>
      <c r="AN32" s="300"/>
      <c r="AO32" s="301"/>
      <c r="AP32" s="301"/>
      <c r="AQ32" s="301"/>
      <c r="AR32" s="301"/>
      <c r="AS32" s="301"/>
      <c r="AT32" s="301"/>
      <c r="AU32" s="301"/>
      <c r="AV32" s="301"/>
      <c r="AW32" s="301"/>
      <c r="AX32" s="301"/>
      <c r="AY32" s="301"/>
      <c r="AZ32" s="301">
        <v>1500</v>
      </c>
      <c r="BA32" s="301"/>
      <c r="BB32" s="301"/>
      <c r="BC32" s="301"/>
      <c r="BD32" s="301"/>
      <c r="BE32" s="301"/>
      <c r="BF32" s="302"/>
      <c r="BG32" s="303"/>
      <c r="BH32" s="304"/>
      <c r="BI32" s="304"/>
      <c r="BJ32" s="304"/>
      <c r="BK32" s="304"/>
      <c r="BL32" s="304"/>
      <c r="BM32" s="304"/>
      <c r="BN32" s="304"/>
      <c r="BO32" s="304"/>
      <c r="BP32" s="304"/>
      <c r="BQ32" s="304"/>
      <c r="BR32" s="304"/>
      <c r="BS32" s="304">
        <v>10</v>
      </c>
      <c r="BT32" s="304"/>
      <c r="BU32" s="304"/>
      <c r="BV32" s="304"/>
      <c r="BW32" s="304"/>
      <c r="BX32" s="304"/>
      <c r="BY32" s="305"/>
      <c r="BZ32" s="306"/>
      <c r="CA32" s="307"/>
      <c r="CB32" s="307"/>
      <c r="CC32" s="307"/>
      <c r="CD32" s="307"/>
      <c r="CE32" s="307"/>
      <c r="CF32" s="307"/>
      <c r="CG32" s="332"/>
      <c r="CH32" s="328"/>
      <c r="CI32" s="328"/>
      <c r="CJ32" s="328">
        <v>2</v>
      </c>
      <c r="CK32" s="328"/>
      <c r="CL32" s="328"/>
      <c r="CM32" s="328"/>
      <c r="CN32" s="370"/>
      <c r="CO32" s="367"/>
      <c r="CP32" s="367"/>
      <c r="CQ32" s="367">
        <v>10</v>
      </c>
      <c r="CR32" s="367"/>
      <c r="CS32" s="387"/>
      <c r="CT32" s="398"/>
      <c r="CU32" s="399"/>
      <c r="CV32" s="399"/>
      <c r="CW32" s="399"/>
      <c r="CX32" s="399">
        <v>1</v>
      </c>
      <c r="CY32" s="399"/>
      <c r="CZ32" s="399"/>
      <c r="DA32" s="400"/>
      <c r="DB32" s="522">
        <v>1</v>
      </c>
    </row>
    <row r="33" spans="1:106" x14ac:dyDescent="0.25">
      <c r="A33" s="468" t="s">
        <v>215</v>
      </c>
      <c r="B33" s="468">
        <v>830</v>
      </c>
      <c r="C33" s="468" t="s">
        <v>3371</v>
      </c>
      <c r="D33" s="468">
        <v>1076</v>
      </c>
      <c r="E33" s="468" t="s">
        <v>710</v>
      </c>
      <c r="F33" s="468" t="s">
        <v>711</v>
      </c>
      <c r="G33" s="468" t="s">
        <v>712</v>
      </c>
      <c r="H33" s="468" t="s">
        <v>713</v>
      </c>
      <c r="I33" s="468" t="s">
        <v>220</v>
      </c>
      <c r="J33" s="468" t="s">
        <v>3310</v>
      </c>
      <c r="K33" s="468" t="s">
        <v>714</v>
      </c>
      <c r="L33" s="468" t="s">
        <v>3737</v>
      </c>
      <c r="M33" s="468" t="s">
        <v>3739</v>
      </c>
      <c r="N33" s="461"/>
      <c r="O33" s="294"/>
      <c r="P33" s="294"/>
      <c r="Q33" s="294"/>
      <c r="R33" s="294">
        <v>2</v>
      </c>
      <c r="S33" s="295"/>
      <c r="T33" s="296"/>
      <c r="U33" s="297"/>
      <c r="V33" s="297"/>
      <c r="W33" s="297"/>
      <c r="X33" s="297"/>
      <c r="Y33" s="297"/>
      <c r="Z33" s="297"/>
      <c r="AA33" s="297"/>
      <c r="AB33" s="293"/>
      <c r="AC33" s="294"/>
      <c r="AD33" s="295"/>
      <c r="AE33" s="298"/>
      <c r="AF33" s="296"/>
      <c r="AG33" s="297"/>
      <c r="AH33" s="297"/>
      <c r="AI33" s="297"/>
      <c r="AJ33" s="297"/>
      <c r="AK33" s="297"/>
      <c r="AL33" s="297"/>
      <c r="AM33" s="297"/>
      <c r="AN33" s="300"/>
      <c r="AO33" s="301"/>
      <c r="AP33" s="301"/>
      <c r="AQ33" s="301"/>
      <c r="AR33" s="301"/>
      <c r="AS33" s="301"/>
      <c r="AT33" s="301"/>
      <c r="AU33" s="301"/>
      <c r="AV33" s="301"/>
      <c r="AW33" s="301"/>
      <c r="AX33" s="301"/>
      <c r="AY33" s="301"/>
      <c r="AZ33" s="301">
        <v>1500</v>
      </c>
      <c r="BA33" s="301"/>
      <c r="BB33" s="301"/>
      <c r="BC33" s="301"/>
      <c r="BD33" s="301"/>
      <c r="BE33" s="301"/>
      <c r="BF33" s="302"/>
      <c r="BG33" s="303"/>
      <c r="BH33" s="304"/>
      <c r="BI33" s="304"/>
      <c r="BJ33" s="304"/>
      <c r="BK33" s="304"/>
      <c r="BL33" s="304"/>
      <c r="BM33" s="304"/>
      <c r="BN33" s="304"/>
      <c r="BO33" s="304"/>
      <c r="BP33" s="304"/>
      <c r="BQ33" s="304"/>
      <c r="BR33" s="304"/>
      <c r="BS33" s="304">
        <v>10</v>
      </c>
      <c r="BT33" s="304"/>
      <c r="BU33" s="304"/>
      <c r="BV33" s="304"/>
      <c r="BW33" s="304"/>
      <c r="BX33" s="304"/>
      <c r="BY33" s="305"/>
      <c r="BZ33" s="306"/>
      <c r="CA33" s="307"/>
      <c r="CB33" s="307"/>
      <c r="CC33" s="307"/>
      <c r="CD33" s="307"/>
      <c r="CE33" s="307"/>
      <c r="CF33" s="307"/>
      <c r="CG33" s="332"/>
      <c r="CH33" s="328"/>
      <c r="CI33" s="328"/>
      <c r="CJ33" s="328">
        <v>2</v>
      </c>
      <c r="CK33" s="328"/>
      <c r="CL33" s="328"/>
      <c r="CM33" s="328"/>
      <c r="CN33" s="370"/>
      <c r="CO33" s="367"/>
      <c r="CP33" s="367"/>
      <c r="CQ33" s="367">
        <v>10</v>
      </c>
      <c r="CR33" s="367"/>
      <c r="CS33" s="387"/>
      <c r="CT33" s="398"/>
      <c r="CU33" s="399"/>
      <c r="CV33" s="399"/>
      <c r="CW33" s="399"/>
      <c r="CX33" s="399">
        <v>1</v>
      </c>
      <c r="CY33" s="399"/>
      <c r="CZ33" s="399"/>
      <c r="DA33" s="400"/>
      <c r="DB33" s="522">
        <v>1</v>
      </c>
    </row>
    <row r="34" spans="1:106" x14ac:dyDescent="0.25">
      <c r="A34" s="468" t="s">
        <v>232</v>
      </c>
      <c r="B34" s="468">
        <v>830</v>
      </c>
      <c r="C34" s="468" t="s">
        <v>3352</v>
      </c>
      <c r="D34" s="468">
        <v>1039</v>
      </c>
      <c r="E34" s="468" t="s">
        <v>233</v>
      </c>
      <c r="F34" s="468" t="s">
        <v>829</v>
      </c>
      <c r="G34" s="468" t="s">
        <v>234</v>
      </c>
      <c r="H34" s="468" t="s">
        <v>235</v>
      </c>
      <c r="I34" s="468" t="s">
        <v>220</v>
      </c>
      <c r="J34" s="468" t="s">
        <v>3353</v>
      </c>
      <c r="K34" s="468" t="s">
        <v>236</v>
      </c>
      <c r="L34" s="468" t="s">
        <v>3766</v>
      </c>
      <c r="M34" s="468" t="s">
        <v>4011</v>
      </c>
      <c r="N34" s="460">
        <v>2</v>
      </c>
      <c r="O34" s="294"/>
      <c r="P34" s="294"/>
      <c r="Q34" s="294"/>
      <c r="R34" s="294"/>
      <c r="S34" s="295"/>
      <c r="T34" s="296"/>
      <c r="U34" s="297"/>
      <c r="V34" s="297"/>
      <c r="W34" s="297"/>
      <c r="X34" s="297"/>
      <c r="Y34" s="297"/>
      <c r="Z34" s="297"/>
      <c r="AA34" s="297"/>
      <c r="AB34" s="293"/>
      <c r="AC34" s="294"/>
      <c r="AD34" s="295"/>
      <c r="AE34" s="298"/>
      <c r="AF34" s="296"/>
      <c r="AG34" s="297"/>
      <c r="AH34" s="297"/>
      <c r="AI34" s="297"/>
      <c r="AJ34" s="297"/>
      <c r="AK34" s="297"/>
      <c r="AL34" s="297"/>
      <c r="AM34" s="297"/>
      <c r="AN34" s="300">
        <v>1500</v>
      </c>
      <c r="AO34" s="301"/>
      <c r="AP34" s="301"/>
      <c r="AQ34" s="301"/>
      <c r="AR34" s="301"/>
      <c r="AS34" s="301"/>
      <c r="AT34" s="301"/>
      <c r="AU34" s="301"/>
      <c r="AV34" s="301"/>
      <c r="AW34" s="301"/>
      <c r="AX34" s="301"/>
      <c r="AY34" s="301"/>
      <c r="AZ34" s="301"/>
      <c r="BA34" s="301"/>
      <c r="BB34" s="301"/>
      <c r="BC34" s="301"/>
      <c r="BD34" s="301"/>
      <c r="BE34" s="301"/>
      <c r="BF34" s="302"/>
      <c r="BG34" s="303">
        <v>10</v>
      </c>
      <c r="BH34" s="304"/>
      <c r="BI34" s="304"/>
      <c r="BJ34" s="304"/>
      <c r="BK34" s="304"/>
      <c r="BL34" s="304"/>
      <c r="BM34" s="304"/>
      <c r="BN34" s="304"/>
      <c r="BO34" s="304"/>
      <c r="BP34" s="304"/>
      <c r="BQ34" s="304"/>
      <c r="BR34" s="304"/>
      <c r="BS34" s="304"/>
      <c r="BT34" s="304"/>
      <c r="BU34" s="304"/>
      <c r="BV34" s="304"/>
      <c r="BW34" s="304"/>
      <c r="BX34" s="304"/>
      <c r="BY34" s="305"/>
      <c r="BZ34" s="306"/>
      <c r="CA34" s="307"/>
      <c r="CB34" s="307"/>
      <c r="CC34" s="307"/>
      <c r="CD34" s="307"/>
      <c r="CE34" s="307"/>
      <c r="CF34" s="307"/>
      <c r="CG34" s="332"/>
      <c r="CH34" s="328"/>
      <c r="CI34" s="328"/>
      <c r="CJ34" s="328"/>
      <c r="CK34" s="328"/>
      <c r="CL34" s="328"/>
      <c r="CM34" s="328">
        <v>2</v>
      </c>
      <c r="CN34" s="370"/>
      <c r="CO34" s="367"/>
      <c r="CP34" s="367"/>
      <c r="CQ34" s="367"/>
      <c r="CR34" s="367"/>
      <c r="CS34" s="387">
        <v>10</v>
      </c>
      <c r="CT34" s="398"/>
      <c r="CU34" s="399"/>
      <c r="CV34" s="399"/>
      <c r="CW34" s="399"/>
      <c r="CX34" s="399"/>
      <c r="CY34" s="399"/>
      <c r="CZ34" s="399"/>
      <c r="DA34" s="400">
        <v>1</v>
      </c>
      <c r="DB34" s="522">
        <v>1</v>
      </c>
    </row>
    <row r="35" spans="1:106" x14ac:dyDescent="0.25">
      <c r="A35" s="468" t="s">
        <v>232</v>
      </c>
      <c r="B35" s="468">
        <v>830</v>
      </c>
      <c r="C35" s="468" t="s">
        <v>3369</v>
      </c>
      <c r="D35" s="468">
        <v>1072</v>
      </c>
      <c r="E35" s="468" t="s">
        <v>847</v>
      </c>
      <c r="F35" s="468" t="s">
        <v>848</v>
      </c>
      <c r="G35" s="468" t="s">
        <v>849</v>
      </c>
      <c r="H35" s="468" t="s">
        <v>850</v>
      </c>
      <c r="I35" s="468" t="s">
        <v>220</v>
      </c>
      <c r="J35" s="468" t="s">
        <v>3370</v>
      </c>
      <c r="K35" s="468" t="s">
        <v>851</v>
      </c>
      <c r="L35" s="468" t="s">
        <v>3766</v>
      </c>
      <c r="M35" s="468" t="s">
        <v>4011</v>
      </c>
      <c r="N35" s="460">
        <v>2</v>
      </c>
      <c r="O35" s="294"/>
      <c r="P35" s="294"/>
      <c r="Q35" s="294"/>
      <c r="R35" s="294"/>
      <c r="S35" s="295"/>
      <c r="T35" s="296"/>
      <c r="U35" s="297"/>
      <c r="V35" s="297"/>
      <c r="W35" s="297"/>
      <c r="X35" s="297"/>
      <c r="Y35" s="297"/>
      <c r="Z35" s="297"/>
      <c r="AA35" s="297"/>
      <c r="AB35" s="293"/>
      <c r="AC35" s="294"/>
      <c r="AD35" s="295"/>
      <c r="AE35" s="298"/>
      <c r="AF35" s="296"/>
      <c r="AG35" s="297"/>
      <c r="AH35" s="297"/>
      <c r="AI35" s="297"/>
      <c r="AJ35" s="297"/>
      <c r="AK35" s="297"/>
      <c r="AL35" s="297"/>
      <c r="AM35" s="297"/>
      <c r="AN35" s="300">
        <v>1500</v>
      </c>
      <c r="AO35" s="301"/>
      <c r="AP35" s="301"/>
      <c r="AQ35" s="301"/>
      <c r="AR35" s="301"/>
      <c r="AS35" s="301"/>
      <c r="AT35" s="301"/>
      <c r="AU35" s="301"/>
      <c r="AV35" s="301"/>
      <c r="AW35" s="301"/>
      <c r="AX35" s="301"/>
      <c r="AY35" s="301"/>
      <c r="AZ35" s="301"/>
      <c r="BA35" s="301"/>
      <c r="BB35" s="301"/>
      <c r="BC35" s="301"/>
      <c r="BD35" s="301"/>
      <c r="BE35" s="301"/>
      <c r="BF35" s="302"/>
      <c r="BG35" s="303">
        <v>10</v>
      </c>
      <c r="BH35" s="304"/>
      <c r="BI35" s="304"/>
      <c r="BJ35" s="304"/>
      <c r="BK35" s="304"/>
      <c r="BL35" s="304"/>
      <c r="BM35" s="304"/>
      <c r="BN35" s="304"/>
      <c r="BO35" s="304"/>
      <c r="BP35" s="304"/>
      <c r="BQ35" s="304"/>
      <c r="BR35" s="304"/>
      <c r="BS35" s="304"/>
      <c r="BT35" s="304"/>
      <c r="BU35" s="304"/>
      <c r="BV35" s="304"/>
      <c r="BW35" s="304"/>
      <c r="BX35" s="304"/>
      <c r="BY35" s="305"/>
      <c r="BZ35" s="306"/>
      <c r="CA35" s="307"/>
      <c r="CB35" s="307"/>
      <c r="CC35" s="307"/>
      <c r="CD35" s="307"/>
      <c r="CE35" s="307"/>
      <c r="CF35" s="307"/>
      <c r="CG35" s="332"/>
      <c r="CH35" s="328"/>
      <c r="CI35" s="328"/>
      <c r="CJ35" s="328"/>
      <c r="CK35" s="328"/>
      <c r="CL35" s="328"/>
      <c r="CM35" s="328">
        <v>2</v>
      </c>
      <c r="CN35" s="370"/>
      <c r="CO35" s="367"/>
      <c r="CP35" s="367"/>
      <c r="CQ35" s="367"/>
      <c r="CR35" s="367"/>
      <c r="CS35" s="387">
        <v>10</v>
      </c>
      <c r="CT35" s="398"/>
      <c r="CU35" s="399"/>
      <c r="CV35" s="399"/>
      <c r="CW35" s="399"/>
      <c r="CX35" s="399"/>
      <c r="CY35" s="399"/>
      <c r="CZ35" s="399"/>
      <c r="DA35" s="400">
        <v>1</v>
      </c>
      <c r="DB35" s="522">
        <v>1</v>
      </c>
    </row>
    <row r="36" spans="1:106" x14ac:dyDescent="0.25">
      <c r="A36" s="468" t="s">
        <v>269</v>
      </c>
      <c r="B36" s="468">
        <v>830</v>
      </c>
      <c r="C36" s="468" t="s">
        <v>3338</v>
      </c>
      <c r="D36" s="468">
        <v>1019</v>
      </c>
      <c r="E36" s="468" t="s">
        <v>852</v>
      </c>
      <c r="F36" s="468" t="s">
        <v>853</v>
      </c>
      <c r="G36" s="468" t="s">
        <v>854</v>
      </c>
      <c r="H36" s="468" t="s">
        <v>855</v>
      </c>
      <c r="I36" s="468" t="s">
        <v>220</v>
      </c>
      <c r="J36" s="468" t="s">
        <v>3339</v>
      </c>
      <c r="K36" s="468" t="s">
        <v>856</v>
      </c>
      <c r="L36" s="468" t="s">
        <v>3737</v>
      </c>
      <c r="M36" s="468" t="s">
        <v>3739</v>
      </c>
      <c r="N36" s="461"/>
      <c r="O36" s="294"/>
      <c r="P36" s="294"/>
      <c r="Q36" s="294"/>
      <c r="R36" s="294">
        <v>1</v>
      </c>
      <c r="S36" s="295"/>
      <c r="T36" s="296"/>
      <c r="U36" s="297"/>
      <c r="V36" s="297"/>
      <c r="W36" s="297"/>
      <c r="X36" s="297"/>
      <c r="Y36" s="297"/>
      <c r="Z36" s="297"/>
      <c r="AA36" s="297"/>
      <c r="AB36" s="293"/>
      <c r="AC36" s="294"/>
      <c r="AD36" s="295"/>
      <c r="AE36" s="298"/>
      <c r="AF36" s="296"/>
      <c r="AG36" s="297"/>
      <c r="AH36" s="297"/>
      <c r="AI36" s="297"/>
      <c r="AJ36" s="297"/>
      <c r="AK36" s="297"/>
      <c r="AL36" s="297"/>
      <c r="AM36" s="297"/>
      <c r="AN36" s="300"/>
      <c r="AO36" s="301"/>
      <c r="AP36" s="301"/>
      <c r="AQ36" s="301"/>
      <c r="AR36" s="301"/>
      <c r="AS36" s="301"/>
      <c r="AT36" s="301"/>
      <c r="AU36" s="301"/>
      <c r="AV36" s="301"/>
      <c r="AW36" s="301"/>
      <c r="AX36" s="301"/>
      <c r="AY36" s="301"/>
      <c r="AZ36" s="301">
        <v>1500</v>
      </c>
      <c r="BA36" s="301"/>
      <c r="BB36" s="301"/>
      <c r="BC36" s="301"/>
      <c r="BD36" s="301"/>
      <c r="BE36" s="301"/>
      <c r="BF36" s="302"/>
      <c r="BG36" s="303"/>
      <c r="BH36" s="304"/>
      <c r="BI36" s="304"/>
      <c r="BJ36" s="304"/>
      <c r="BK36" s="304"/>
      <c r="BL36" s="304"/>
      <c r="BM36" s="304"/>
      <c r="BN36" s="304"/>
      <c r="BO36" s="304"/>
      <c r="BP36" s="304"/>
      <c r="BQ36" s="304"/>
      <c r="BR36" s="304"/>
      <c r="BS36" s="304">
        <v>10</v>
      </c>
      <c r="BT36" s="304"/>
      <c r="BU36" s="304"/>
      <c r="BV36" s="304"/>
      <c r="BW36" s="304"/>
      <c r="BX36" s="304"/>
      <c r="BY36" s="305"/>
      <c r="BZ36" s="306"/>
      <c r="CA36" s="307"/>
      <c r="CB36" s="307"/>
      <c r="CC36" s="307"/>
      <c r="CD36" s="307"/>
      <c r="CE36" s="307"/>
      <c r="CF36" s="307"/>
      <c r="CG36" s="332"/>
      <c r="CH36" s="328"/>
      <c r="CI36" s="328"/>
      <c r="CJ36" s="328">
        <v>2</v>
      </c>
      <c r="CK36" s="328"/>
      <c r="CL36" s="328"/>
      <c r="CM36" s="328"/>
      <c r="CN36" s="370"/>
      <c r="CO36" s="367"/>
      <c r="CP36" s="367"/>
      <c r="CQ36" s="367">
        <v>10</v>
      </c>
      <c r="CR36" s="367"/>
      <c r="CS36" s="387"/>
      <c r="CT36" s="398"/>
      <c r="CU36" s="399"/>
      <c r="CV36" s="399"/>
      <c r="CW36" s="399"/>
      <c r="CX36" s="399">
        <v>1</v>
      </c>
      <c r="CY36" s="399"/>
      <c r="CZ36" s="399"/>
      <c r="DA36" s="400"/>
      <c r="DB36" s="522">
        <v>1</v>
      </c>
    </row>
    <row r="37" spans="1:106" x14ac:dyDescent="0.25">
      <c r="A37" s="468" t="s">
        <v>269</v>
      </c>
      <c r="B37" s="468">
        <v>830</v>
      </c>
      <c r="C37" s="468" t="s">
        <v>3342</v>
      </c>
      <c r="D37" s="468">
        <v>1031</v>
      </c>
      <c r="E37" s="468" t="s">
        <v>857</v>
      </c>
      <c r="F37" s="468" t="s">
        <v>868</v>
      </c>
      <c r="G37" s="468" t="s">
        <v>858</v>
      </c>
      <c r="H37" s="468" t="s">
        <v>859</v>
      </c>
      <c r="I37" s="468" t="s">
        <v>220</v>
      </c>
      <c r="J37" s="468" t="s">
        <v>3343</v>
      </c>
      <c r="K37" s="468" t="s">
        <v>860</v>
      </c>
      <c r="L37" s="468" t="s">
        <v>3737</v>
      </c>
      <c r="M37" s="468" t="s">
        <v>3739</v>
      </c>
      <c r="N37" s="461"/>
      <c r="O37" s="294"/>
      <c r="P37" s="294"/>
      <c r="Q37" s="294"/>
      <c r="R37" s="294">
        <v>2</v>
      </c>
      <c r="S37" s="295"/>
      <c r="T37" s="296"/>
      <c r="U37" s="297"/>
      <c r="V37" s="297"/>
      <c r="W37" s="297"/>
      <c r="X37" s="297"/>
      <c r="Y37" s="297"/>
      <c r="Z37" s="297"/>
      <c r="AA37" s="297"/>
      <c r="AB37" s="293"/>
      <c r="AC37" s="294"/>
      <c r="AD37" s="295"/>
      <c r="AE37" s="298"/>
      <c r="AF37" s="296"/>
      <c r="AG37" s="297"/>
      <c r="AH37" s="297"/>
      <c r="AI37" s="297"/>
      <c r="AJ37" s="297"/>
      <c r="AK37" s="297"/>
      <c r="AL37" s="297"/>
      <c r="AM37" s="297"/>
      <c r="AN37" s="300"/>
      <c r="AO37" s="301"/>
      <c r="AP37" s="301"/>
      <c r="AQ37" s="301"/>
      <c r="AR37" s="301"/>
      <c r="AS37" s="301"/>
      <c r="AT37" s="301"/>
      <c r="AU37" s="301"/>
      <c r="AV37" s="301"/>
      <c r="AW37" s="301"/>
      <c r="AX37" s="301"/>
      <c r="AY37" s="301"/>
      <c r="AZ37" s="301">
        <v>1500</v>
      </c>
      <c r="BA37" s="301"/>
      <c r="BB37" s="301"/>
      <c r="BC37" s="301"/>
      <c r="BD37" s="301"/>
      <c r="BE37" s="301"/>
      <c r="BF37" s="302"/>
      <c r="BG37" s="303"/>
      <c r="BH37" s="304"/>
      <c r="BI37" s="304"/>
      <c r="BJ37" s="304"/>
      <c r="BK37" s="304"/>
      <c r="BL37" s="304"/>
      <c r="BM37" s="304"/>
      <c r="BN37" s="304"/>
      <c r="BO37" s="304"/>
      <c r="BP37" s="304"/>
      <c r="BQ37" s="304"/>
      <c r="BR37" s="304"/>
      <c r="BS37" s="304">
        <v>10</v>
      </c>
      <c r="BT37" s="304"/>
      <c r="BU37" s="304"/>
      <c r="BV37" s="304"/>
      <c r="BW37" s="304"/>
      <c r="BX37" s="304"/>
      <c r="BY37" s="305"/>
      <c r="BZ37" s="306"/>
      <c r="CA37" s="307"/>
      <c r="CB37" s="307"/>
      <c r="CC37" s="307"/>
      <c r="CD37" s="307"/>
      <c r="CE37" s="307"/>
      <c r="CF37" s="307"/>
      <c r="CG37" s="332"/>
      <c r="CH37" s="328"/>
      <c r="CI37" s="328"/>
      <c r="CJ37" s="328">
        <v>2</v>
      </c>
      <c r="CK37" s="328"/>
      <c r="CL37" s="328"/>
      <c r="CM37" s="328"/>
      <c r="CN37" s="370"/>
      <c r="CO37" s="367"/>
      <c r="CP37" s="367"/>
      <c r="CQ37" s="367">
        <v>10</v>
      </c>
      <c r="CR37" s="367"/>
      <c r="CS37" s="387"/>
      <c r="CT37" s="398"/>
      <c r="CU37" s="399"/>
      <c r="CV37" s="399"/>
      <c r="CW37" s="399"/>
      <c r="CX37" s="399">
        <v>1</v>
      </c>
      <c r="CY37" s="399"/>
      <c r="CZ37" s="399"/>
      <c r="DA37" s="400"/>
      <c r="DB37" s="522">
        <v>1</v>
      </c>
    </row>
    <row r="38" spans="1:106" x14ac:dyDescent="0.25">
      <c r="A38" s="468" t="s">
        <v>269</v>
      </c>
      <c r="B38" s="468">
        <v>830</v>
      </c>
      <c r="C38" s="468" t="s">
        <v>3367</v>
      </c>
      <c r="D38" s="468">
        <v>1064</v>
      </c>
      <c r="E38" s="468" t="s">
        <v>861</v>
      </c>
      <c r="F38" s="468" t="s">
        <v>2957</v>
      </c>
      <c r="G38" s="468" t="s">
        <v>862</v>
      </c>
      <c r="H38" s="468" t="s">
        <v>855</v>
      </c>
      <c r="I38" s="468" t="s">
        <v>220</v>
      </c>
      <c r="J38" s="468" t="s">
        <v>3368</v>
      </c>
      <c r="K38" s="468" t="s">
        <v>863</v>
      </c>
      <c r="L38" s="468" t="s">
        <v>3737</v>
      </c>
      <c r="M38" s="468" t="s">
        <v>3739</v>
      </c>
      <c r="N38" s="461"/>
      <c r="O38" s="294"/>
      <c r="P38" s="294"/>
      <c r="Q38" s="294"/>
      <c r="R38" s="294">
        <v>1</v>
      </c>
      <c r="S38" s="295"/>
      <c r="T38" s="296"/>
      <c r="U38" s="297"/>
      <c r="V38" s="297"/>
      <c r="W38" s="297"/>
      <c r="X38" s="297"/>
      <c r="Y38" s="297"/>
      <c r="Z38" s="297"/>
      <c r="AA38" s="297"/>
      <c r="AB38" s="293"/>
      <c r="AC38" s="294"/>
      <c r="AD38" s="295"/>
      <c r="AE38" s="298"/>
      <c r="AF38" s="296"/>
      <c r="AG38" s="297"/>
      <c r="AH38" s="297"/>
      <c r="AI38" s="297"/>
      <c r="AJ38" s="297"/>
      <c r="AK38" s="297"/>
      <c r="AL38" s="297"/>
      <c r="AM38" s="297"/>
      <c r="AN38" s="300"/>
      <c r="AO38" s="301"/>
      <c r="AP38" s="301"/>
      <c r="AQ38" s="301"/>
      <c r="AR38" s="301"/>
      <c r="AS38" s="301"/>
      <c r="AT38" s="301"/>
      <c r="AU38" s="301"/>
      <c r="AV38" s="301"/>
      <c r="AW38" s="301"/>
      <c r="AX38" s="301"/>
      <c r="AY38" s="301"/>
      <c r="AZ38" s="301">
        <v>1500</v>
      </c>
      <c r="BA38" s="301"/>
      <c r="BB38" s="301"/>
      <c r="BC38" s="301"/>
      <c r="BD38" s="301"/>
      <c r="BE38" s="301"/>
      <c r="BF38" s="302"/>
      <c r="BG38" s="303"/>
      <c r="BH38" s="304"/>
      <c r="BI38" s="304"/>
      <c r="BJ38" s="304"/>
      <c r="BK38" s="304"/>
      <c r="BL38" s="304"/>
      <c r="BM38" s="304"/>
      <c r="BN38" s="304"/>
      <c r="BO38" s="304"/>
      <c r="BP38" s="304"/>
      <c r="BQ38" s="304"/>
      <c r="BR38" s="304"/>
      <c r="BS38" s="304">
        <v>10</v>
      </c>
      <c r="BT38" s="304"/>
      <c r="BU38" s="304"/>
      <c r="BV38" s="304"/>
      <c r="BW38" s="304"/>
      <c r="BX38" s="304"/>
      <c r="BY38" s="305"/>
      <c r="BZ38" s="306"/>
      <c r="CA38" s="307"/>
      <c r="CB38" s="307"/>
      <c r="CC38" s="307"/>
      <c r="CD38" s="307"/>
      <c r="CE38" s="307"/>
      <c r="CF38" s="307"/>
      <c r="CG38" s="332"/>
      <c r="CH38" s="328"/>
      <c r="CI38" s="328"/>
      <c r="CJ38" s="328">
        <v>2</v>
      </c>
      <c r="CK38" s="328"/>
      <c r="CL38" s="328"/>
      <c r="CM38" s="328"/>
      <c r="CN38" s="370"/>
      <c r="CO38" s="367"/>
      <c r="CP38" s="367"/>
      <c r="CQ38" s="367">
        <v>10</v>
      </c>
      <c r="CR38" s="367"/>
      <c r="CS38" s="387"/>
      <c r="CT38" s="398"/>
      <c r="CU38" s="399"/>
      <c r="CV38" s="399"/>
      <c r="CW38" s="399"/>
      <c r="CX38" s="399">
        <v>1</v>
      </c>
      <c r="CY38" s="399"/>
      <c r="CZ38" s="399"/>
      <c r="DA38" s="400"/>
      <c r="DB38" s="522">
        <v>1</v>
      </c>
    </row>
    <row r="39" spans="1:106" x14ac:dyDescent="0.25">
      <c r="A39" s="468" t="s">
        <v>107</v>
      </c>
      <c r="B39" s="468">
        <v>810</v>
      </c>
      <c r="C39" s="468" t="s">
        <v>898</v>
      </c>
      <c r="D39" s="468">
        <v>341</v>
      </c>
      <c r="E39" s="468" t="s">
        <v>899</v>
      </c>
      <c r="F39" s="468" t="s">
        <v>900</v>
      </c>
      <c r="G39" s="468" t="s">
        <v>901</v>
      </c>
      <c r="H39" s="468" t="s">
        <v>902</v>
      </c>
      <c r="I39" s="468" t="s">
        <v>112</v>
      </c>
      <c r="J39" s="468" t="s">
        <v>3157</v>
      </c>
      <c r="K39" s="468" t="s">
        <v>903</v>
      </c>
      <c r="L39" s="468" t="s">
        <v>3928</v>
      </c>
      <c r="M39" s="468" t="s">
        <v>3955</v>
      </c>
      <c r="N39" s="460"/>
      <c r="O39" s="294"/>
      <c r="P39" s="294"/>
      <c r="Q39" s="294"/>
      <c r="R39" s="294"/>
      <c r="S39" s="295"/>
      <c r="T39" s="296"/>
      <c r="U39" s="297"/>
      <c r="V39" s="297"/>
      <c r="W39" s="297"/>
      <c r="X39" s="297"/>
      <c r="Y39" s="297"/>
      <c r="Z39" s="297"/>
      <c r="AA39" s="297"/>
      <c r="AB39" s="293"/>
      <c r="AC39" s="294"/>
      <c r="AD39" s="295"/>
      <c r="AE39" s="298"/>
      <c r="AF39" s="296"/>
      <c r="AG39" s="297"/>
      <c r="AH39" s="297"/>
      <c r="AI39" s="297"/>
      <c r="AJ39" s="297"/>
      <c r="AK39" s="297"/>
      <c r="AL39" s="297"/>
      <c r="AM39" s="297"/>
      <c r="AN39" s="300"/>
      <c r="AO39" s="301"/>
      <c r="AP39" s="301"/>
      <c r="AQ39" s="301"/>
      <c r="AR39" s="301"/>
      <c r="AS39" s="301"/>
      <c r="AT39" s="301"/>
      <c r="AU39" s="301"/>
      <c r="AV39" s="301"/>
      <c r="AW39" s="301">
        <v>1500</v>
      </c>
      <c r="AX39" s="301"/>
      <c r="AY39" s="301"/>
      <c r="AZ39" s="301"/>
      <c r="BA39" s="301"/>
      <c r="BB39" s="301"/>
      <c r="BC39" s="301"/>
      <c r="BD39" s="301"/>
      <c r="BE39" s="301"/>
      <c r="BF39" s="302"/>
      <c r="BG39" s="303"/>
      <c r="BH39" s="304"/>
      <c r="BI39" s="304"/>
      <c r="BJ39" s="304"/>
      <c r="BK39" s="304"/>
      <c r="BL39" s="304"/>
      <c r="BM39" s="304"/>
      <c r="BN39" s="304"/>
      <c r="BO39" s="304"/>
      <c r="BP39" s="304">
        <v>10</v>
      </c>
      <c r="BQ39" s="304"/>
      <c r="BR39" s="304"/>
      <c r="BS39" s="304"/>
      <c r="BT39" s="304"/>
      <c r="BU39" s="304"/>
      <c r="BV39" s="304"/>
      <c r="BW39" s="304"/>
      <c r="BX39" s="304"/>
      <c r="BY39" s="305"/>
      <c r="BZ39" s="308"/>
      <c r="CA39" s="309">
        <v>1</v>
      </c>
      <c r="CB39" s="307"/>
      <c r="CC39" s="307"/>
      <c r="CD39" s="307"/>
      <c r="CE39" s="307"/>
      <c r="CF39" s="307"/>
      <c r="CG39" s="332"/>
      <c r="CH39" s="328">
        <v>2</v>
      </c>
      <c r="CI39" s="328"/>
      <c r="CJ39" s="328"/>
      <c r="CK39" s="328"/>
      <c r="CL39" s="328"/>
      <c r="CM39" s="328"/>
      <c r="CN39" s="370"/>
      <c r="CO39" s="367">
        <v>10</v>
      </c>
      <c r="CP39" s="367"/>
      <c r="CQ39" s="367"/>
      <c r="CR39" s="367"/>
      <c r="CS39" s="387"/>
      <c r="CT39" s="398"/>
      <c r="CU39" s="399">
        <v>1</v>
      </c>
      <c r="CV39" s="399"/>
      <c r="CW39" s="399"/>
      <c r="CX39" s="399"/>
      <c r="CY39" s="399"/>
      <c r="CZ39" s="399"/>
      <c r="DA39" s="400"/>
      <c r="DB39" s="522">
        <v>1</v>
      </c>
    </row>
    <row r="40" spans="1:106" x14ac:dyDescent="0.25">
      <c r="A40" s="468" t="s">
        <v>107</v>
      </c>
      <c r="B40" s="468">
        <v>810</v>
      </c>
      <c r="C40" s="468" t="s">
        <v>904</v>
      </c>
      <c r="D40" s="468">
        <v>343</v>
      </c>
      <c r="E40" s="468" t="s">
        <v>905</v>
      </c>
      <c r="F40" s="468" t="s">
        <v>906</v>
      </c>
      <c r="G40" s="468" t="s">
        <v>907</v>
      </c>
      <c r="H40" s="468" t="s">
        <v>877</v>
      </c>
      <c r="I40" s="468" t="s">
        <v>112</v>
      </c>
      <c r="J40" s="468" t="s">
        <v>908</v>
      </c>
      <c r="K40" s="468" t="s">
        <v>909</v>
      </c>
      <c r="L40" s="468" t="s">
        <v>3928</v>
      </c>
      <c r="M40" s="468" t="s">
        <v>3951</v>
      </c>
      <c r="N40" s="461"/>
      <c r="O40" s="294"/>
      <c r="P40" s="294"/>
      <c r="Q40" s="294">
        <v>2</v>
      </c>
      <c r="R40" s="294"/>
      <c r="S40" s="295"/>
      <c r="T40" s="296"/>
      <c r="U40" s="297"/>
      <c r="V40" s="297"/>
      <c r="W40" s="297"/>
      <c r="X40" s="297"/>
      <c r="Y40" s="297"/>
      <c r="Z40" s="297"/>
      <c r="AA40" s="297"/>
      <c r="AB40" s="293"/>
      <c r="AC40" s="294"/>
      <c r="AD40" s="295"/>
      <c r="AE40" s="298"/>
      <c r="AF40" s="296"/>
      <c r="AG40" s="297"/>
      <c r="AH40" s="297"/>
      <c r="AI40" s="297"/>
      <c r="AJ40" s="297"/>
      <c r="AK40" s="297"/>
      <c r="AL40" s="297"/>
      <c r="AM40" s="297"/>
      <c r="AN40" s="300"/>
      <c r="AO40" s="301"/>
      <c r="AP40" s="301"/>
      <c r="AQ40" s="301"/>
      <c r="AR40" s="301"/>
      <c r="AS40" s="301"/>
      <c r="AT40" s="301"/>
      <c r="AU40" s="301"/>
      <c r="AV40" s="301">
        <v>1500</v>
      </c>
      <c r="AW40" s="301"/>
      <c r="AX40" s="301"/>
      <c r="AY40" s="301"/>
      <c r="AZ40" s="301"/>
      <c r="BA40" s="301"/>
      <c r="BB40" s="301"/>
      <c r="BC40" s="301"/>
      <c r="BD40" s="301"/>
      <c r="BE40" s="301"/>
      <c r="BF40" s="302"/>
      <c r="BG40" s="303"/>
      <c r="BH40" s="304"/>
      <c r="BI40" s="304"/>
      <c r="BJ40" s="304"/>
      <c r="BK40" s="304"/>
      <c r="BL40" s="304"/>
      <c r="BM40" s="304"/>
      <c r="BN40" s="304"/>
      <c r="BO40" s="304">
        <v>10</v>
      </c>
      <c r="BP40" s="304"/>
      <c r="BQ40" s="304"/>
      <c r="BR40" s="304"/>
      <c r="BS40" s="304"/>
      <c r="BT40" s="304"/>
      <c r="BU40" s="304"/>
      <c r="BV40" s="304"/>
      <c r="BW40" s="304"/>
      <c r="BX40" s="304"/>
      <c r="BY40" s="305"/>
      <c r="BZ40" s="306"/>
      <c r="CA40" s="307"/>
      <c r="CB40" s="307"/>
      <c r="CC40" s="307"/>
      <c r="CD40" s="307"/>
      <c r="CE40" s="307"/>
      <c r="CF40" s="307"/>
      <c r="CG40" s="332"/>
      <c r="CH40" s="328">
        <v>2</v>
      </c>
      <c r="CI40" s="328"/>
      <c r="CJ40" s="328"/>
      <c r="CK40" s="328"/>
      <c r="CL40" s="328"/>
      <c r="CM40" s="328"/>
      <c r="CN40" s="370"/>
      <c r="CO40" s="367">
        <v>10</v>
      </c>
      <c r="CP40" s="367"/>
      <c r="CQ40" s="367"/>
      <c r="CR40" s="367"/>
      <c r="CS40" s="387"/>
      <c r="CT40" s="398"/>
      <c r="CU40" s="399">
        <v>1</v>
      </c>
      <c r="CV40" s="399"/>
      <c r="CW40" s="399"/>
      <c r="CX40" s="399"/>
      <c r="CY40" s="399"/>
      <c r="CZ40" s="399"/>
      <c r="DA40" s="400"/>
      <c r="DB40" s="522">
        <v>1</v>
      </c>
    </row>
    <row r="41" spans="1:106" x14ac:dyDescent="0.25">
      <c r="A41" s="468" t="s">
        <v>107</v>
      </c>
      <c r="B41" s="468">
        <v>810</v>
      </c>
      <c r="C41" s="468" t="s">
        <v>910</v>
      </c>
      <c r="D41" s="468">
        <v>344</v>
      </c>
      <c r="E41" s="468" t="s">
        <v>911</v>
      </c>
      <c r="F41" s="468" t="s">
        <v>912</v>
      </c>
      <c r="G41" s="468" t="s">
        <v>913</v>
      </c>
      <c r="H41" s="468" t="s">
        <v>877</v>
      </c>
      <c r="I41" s="468" t="s">
        <v>112</v>
      </c>
      <c r="J41" s="468" t="s">
        <v>914</v>
      </c>
      <c r="K41" s="468" t="s">
        <v>915</v>
      </c>
      <c r="L41" s="468" t="s">
        <v>3928</v>
      </c>
      <c r="M41" s="468" t="s">
        <v>3951</v>
      </c>
      <c r="N41" s="461"/>
      <c r="O41" s="294"/>
      <c r="P41" s="294"/>
      <c r="Q41" s="294">
        <v>1</v>
      </c>
      <c r="R41" s="294"/>
      <c r="S41" s="295"/>
      <c r="T41" s="296"/>
      <c r="U41" s="297"/>
      <c r="V41" s="297"/>
      <c r="W41" s="297"/>
      <c r="X41" s="297"/>
      <c r="Y41" s="297"/>
      <c r="Z41" s="297"/>
      <c r="AA41" s="297"/>
      <c r="AB41" s="293"/>
      <c r="AC41" s="294"/>
      <c r="AD41" s="295"/>
      <c r="AE41" s="298"/>
      <c r="AF41" s="296"/>
      <c r="AG41" s="297"/>
      <c r="AH41" s="297"/>
      <c r="AI41" s="297"/>
      <c r="AJ41" s="297"/>
      <c r="AK41" s="297"/>
      <c r="AL41" s="297"/>
      <c r="AM41" s="297"/>
      <c r="AN41" s="300"/>
      <c r="AO41" s="301"/>
      <c r="AP41" s="301"/>
      <c r="AQ41" s="301"/>
      <c r="AR41" s="301"/>
      <c r="AS41" s="301"/>
      <c r="AT41" s="301"/>
      <c r="AU41" s="301"/>
      <c r="AV41" s="301">
        <v>1500</v>
      </c>
      <c r="AW41" s="301"/>
      <c r="AX41" s="301"/>
      <c r="AY41" s="301"/>
      <c r="AZ41" s="301"/>
      <c r="BA41" s="301"/>
      <c r="BB41" s="301"/>
      <c r="BC41" s="301"/>
      <c r="BD41" s="301"/>
      <c r="BE41" s="301"/>
      <c r="BF41" s="302"/>
      <c r="BG41" s="303"/>
      <c r="BH41" s="304"/>
      <c r="BI41" s="304"/>
      <c r="BJ41" s="304"/>
      <c r="BK41" s="304"/>
      <c r="BL41" s="304"/>
      <c r="BM41" s="304"/>
      <c r="BN41" s="304"/>
      <c r="BO41" s="304">
        <v>10</v>
      </c>
      <c r="BP41" s="304"/>
      <c r="BQ41" s="304"/>
      <c r="BR41" s="304"/>
      <c r="BS41" s="304"/>
      <c r="BT41" s="304"/>
      <c r="BU41" s="304"/>
      <c r="BV41" s="304"/>
      <c r="BW41" s="304"/>
      <c r="BX41" s="304"/>
      <c r="BY41" s="305"/>
      <c r="BZ41" s="306"/>
      <c r="CA41" s="307"/>
      <c r="CB41" s="307"/>
      <c r="CC41" s="307"/>
      <c r="CD41" s="307"/>
      <c r="CE41" s="307"/>
      <c r="CF41" s="307"/>
      <c r="CG41" s="332"/>
      <c r="CH41" s="328">
        <v>2</v>
      </c>
      <c r="CI41" s="328"/>
      <c r="CJ41" s="328"/>
      <c r="CK41" s="328"/>
      <c r="CL41" s="328"/>
      <c r="CM41" s="328"/>
      <c r="CN41" s="370"/>
      <c r="CO41" s="367">
        <v>10</v>
      </c>
      <c r="CP41" s="367"/>
      <c r="CQ41" s="367"/>
      <c r="CR41" s="367"/>
      <c r="CS41" s="387"/>
      <c r="CT41" s="398"/>
      <c r="CU41" s="399">
        <v>1</v>
      </c>
      <c r="CV41" s="399"/>
      <c r="CW41" s="399"/>
      <c r="CX41" s="399"/>
      <c r="CY41" s="399"/>
      <c r="CZ41" s="399"/>
      <c r="DA41" s="400"/>
      <c r="DB41" s="522">
        <v>1</v>
      </c>
    </row>
    <row r="42" spans="1:106" x14ac:dyDescent="0.25">
      <c r="A42" s="468" t="s">
        <v>107</v>
      </c>
      <c r="B42" s="468">
        <v>810</v>
      </c>
      <c r="C42" s="468" t="s">
        <v>917</v>
      </c>
      <c r="D42" s="468">
        <v>347</v>
      </c>
      <c r="E42" s="468" t="s">
        <v>918</v>
      </c>
      <c r="F42" s="468" t="s">
        <v>919</v>
      </c>
      <c r="G42" s="468" t="s">
        <v>920</v>
      </c>
      <c r="H42" s="468" t="s">
        <v>921</v>
      </c>
      <c r="I42" s="468" t="s">
        <v>112</v>
      </c>
      <c r="J42" s="468" t="s">
        <v>3159</v>
      </c>
      <c r="K42" s="468" t="s">
        <v>922</v>
      </c>
      <c r="L42" s="468" t="s">
        <v>3928</v>
      </c>
      <c r="M42" s="468" t="s">
        <v>3951</v>
      </c>
      <c r="N42" s="461"/>
      <c r="O42" s="294"/>
      <c r="P42" s="294"/>
      <c r="Q42" s="294"/>
      <c r="R42" s="294"/>
      <c r="S42" s="295"/>
      <c r="T42" s="299"/>
      <c r="U42" s="297">
        <v>2</v>
      </c>
      <c r="V42" s="297"/>
      <c r="W42" s="297"/>
      <c r="X42" s="297"/>
      <c r="Y42" s="297"/>
      <c r="Z42" s="297"/>
      <c r="AA42" s="297"/>
      <c r="AB42" s="293"/>
      <c r="AC42" s="294"/>
      <c r="AD42" s="295"/>
      <c r="AE42" s="298"/>
      <c r="AF42" s="296"/>
      <c r="AG42" s="297"/>
      <c r="AH42" s="297"/>
      <c r="AI42" s="297"/>
      <c r="AJ42" s="297"/>
      <c r="AK42" s="297"/>
      <c r="AL42" s="297"/>
      <c r="AM42" s="297"/>
      <c r="AN42" s="300"/>
      <c r="AO42" s="301"/>
      <c r="AP42" s="301"/>
      <c r="AQ42" s="301"/>
      <c r="AR42" s="301"/>
      <c r="AS42" s="301"/>
      <c r="AT42" s="301"/>
      <c r="AU42" s="301"/>
      <c r="AV42" s="301">
        <v>1500</v>
      </c>
      <c r="AW42" s="301"/>
      <c r="AX42" s="301"/>
      <c r="AY42" s="301"/>
      <c r="AZ42" s="301"/>
      <c r="BA42" s="301"/>
      <c r="BB42" s="301"/>
      <c r="BC42" s="301"/>
      <c r="BD42" s="301"/>
      <c r="BE42" s="301"/>
      <c r="BF42" s="302"/>
      <c r="BG42" s="303"/>
      <c r="BH42" s="304"/>
      <c r="BI42" s="304"/>
      <c r="BJ42" s="304"/>
      <c r="BK42" s="304"/>
      <c r="BL42" s="304"/>
      <c r="BM42" s="304"/>
      <c r="BN42" s="304"/>
      <c r="BO42" s="304">
        <v>10</v>
      </c>
      <c r="BP42" s="304"/>
      <c r="BQ42" s="304"/>
      <c r="BR42" s="304"/>
      <c r="BS42" s="304"/>
      <c r="BT42" s="304"/>
      <c r="BU42" s="304"/>
      <c r="BV42" s="304"/>
      <c r="BW42" s="304"/>
      <c r="BX42" s="304"/>
      <c r="BY42" s="305"/>
      <c r="BZ42" s="306"/>
      <c r="CA42" s="307"/>
      <c r="CB42" s="307"/>
      <c r="CC42" s="307"/>
      <c r="CD42" s="307"/>
      <c r="CE42" s="307"/>
      <c r="CF42" s="307"/>
      <c r="CG42" s="332"/>
      <c r="CH42" s="328">
        <v>2</v>
      </c>
      <c r="CI42" s="328"/>
      <c r="CJ42" s="328"/>
      <c r="CK42" s="328"/>
      <c r="CL42" s="328"/>
      <c r="CM42" s="328"/>
      <c r="CN42" s="370"/>
      <c r="CO42" s="367">
        <v>10</v>
      </c>
      <c r="CP42" s="367"/>
      <c r="CQ42" s="367"/>
      <c r="CR42" s="367"/>
      <c r="CS42" s="387"/>
      <c r="CT42" s="398"/>
      <c r="CU42" s="399">
        <v>1</v>
      </c>
      <c r="CV42" s="399"/>
      <c r="CW42" s="399"/>
      <c r="CX42" s="399"/>
      <c r="CY42" s="399"/>
      <c r="CZ42" s="399"/>
      <c r="DA42" s="400"/>
      <c r="DB42" s="522">
        <v>1</v>
      </c>
    </row>
    <row r="43" spans="1:106" x14ac:dyDescent="0.25">
      <c r="A43" s="468" t="s">
        <v>107</v>
      </c>
      <c r="B43" s="468">
        <v>810</v>
      </c>
      <c r="C43" s="468" t="s">
        <v>923</v>
      </c>
      <c r="D43" s="468">
        <v>348</v>
      </c>
      <c r="E43" s="468" t="s">
        <v>924</v>
      </c>
      <c r="F43" s="468" t="s">
        <v>925</v>
      </c>
      <c r="G43" s="468" t="s">
        <v>926</v>
      </c>
      <c r="H43" s="468" t="s">
        <v>877</v>
      </c>
      <c r="I43" s="468" t="s">
        <v>112</v>
      </c>
      <c r="J43" s="468" t="s">
        <v>3160</v>
      </c>
      <c r="K43" s="468" t="s">
        <v>927</v>
      </c>
      <c r="L43" s="468" t="s">
        <v>3928</v>
      </c>
      <c r="M43" s="468" t="s">
        <v>3951</v>
      </c>
      <c r="N43" s="461"/>
      <c r="O43" s="294"/>
      <c r="P43" s="294"/>
      <c r="Q43" s="294"/>
      <c r="R43" s="294"/>
      <c r="S43" s="295"/>
      <c r="T43" s="299"/>
      <c r="U43" s="297">
        <v>1</v>
      </c>
      <c r="V43" s="297"/>
      <c r="W43" s="297"/>
      <c r="X43" s="297"/>
      <c r="Y43" s="297"/>
      <c r="Z43" s="297"/>
      <c r="AA43" s="297"/>
      <c r="AB43" s="293"/>
      <c r="AC43" s="294"/>
      <c r="AD43" s="295"/>
      <c r="AE43" s="298"/>
      <c r="AF43" s="296"/>
      <c r="AG43" s="297"/>
      <c r="AH43" s="297"/>
      <c r="AI43" s="297"/>
      <c r="AJ43" s="297"/>
      <c r="AK43" s="297"/>
      <c r="AL43" s="297"/>
      <c r="AM43" s="297"/>
      <c r="AN43" s="300"/>
      <c r="AO43" s="301"/>
      <c r="AP43" s="301"/>
      <c r="AQ43" s="301"/>
      <c r="AR43" s="301"/>
      <c r="AS43" s="301"/>
      <c r="AT43" s="301"/>
      <c r="AU43" s="301"/>
      <c r="AV43" s="301">
        <v>1500</v>
      </c>
      <c r="AW43" s="301"/>
      <c r="AX43" s="301"/>
      <c r="AY43" s="301"/>
      <c r="AZ43" s="301"/>
      <c r="BA43" s="301"/>
      <c r="BB43" s="301"/>
      <c r="BC43" s="301"/>
      <c r="BD43" s="301"/>
      <c r="BE43" s="301"/>
      <c r="BF43" s="302"/>
      <c r="BG43" s="303"/>
      <c r="BH43" s="304"/>
      <c r="BI43" s="304"/>
      <c r="BJ43" s="304"/>
      <c r="BK43" s="304"/>
      <c r="BL43" s="304"/>
      <c r="BM43" s="304"/>
      <c r="BN43" s="304"/>
      <c r="BO43" s="304">
        <v>10</v>
      </c>
      <c r="BP43" s="304"/>
      <c r="BQ43" s="304"/>
      <c r="BR43" s="304"/>
      <c r="BS43" s="304"/>
      <c r="BT43" s="304"/>
      <c r="BU43" s="304"/>
      <c r="BV43" s="304"/>
      <c r="BW43" s="304"/>
      <c r="BX43" s="304"/>
      <c r="BY43" s="305"/>
      <c r="BZ43" s="306"/>
      <c r="CA43" s="307"/>
      <c r="CB43" s="307"/>
      <c r="CC43" s="307"/>
      <c r="CD43" s="307"/>
      <c r="CE43" s="307"/>
      <c r="CF43" s="307"/>
      <c r="CG43" s="332"/>
      <c r="CH43" s="328">
        <v>2</v>
      </c>
      <c r="CI43" s="328"/>
      <c r="CJ43" s="328"/>
      <c r="CK43" s="328"/>
      <c r="CL43" s="328"/>
      <c r="CM43" s="328"/>
      <c r="CN43" s="370"/>
      <c r="CO43" s="367">
        <v>10</v>
      </c>
      <c r="CP43" s="367"/>
      <c r="CQ43" s="367"/>
      <c r="CR43" s="367"/>
      <c r="CS43" s="387"/>
      <c r="CT43" s="398"/>
      <c r="CU43" s="399">
        <v>1</v>
      </c>
      <c r="CV43" s="399"/>
      <c r="CW43" s="399"/>
      <c r="CX43" s="399"/>
      <c r="CY43" s="399"/>
      <c r="CZ43" s="399"/>
      <c r="DA43" s="400"/>
      <c r="DB43" s="522">
        <v>1</v>
      </c>
    </row>
    <row r="44" spans="1:106" x14ac:dyDescent="0.25">
      <c r="A44" s="468" t="s">
        <v>107</v>
      </c>
      <c r="B44" s="468">
        <v>810</v>
      </c>
      <c r="C44" s="468" t="s">
        <v>3469</v>
      </c>
      <c r="D44" s="468">
        <v>1341</v>
      </c>
      <c r="E44" s="468" t="s">
        <v>874</v>
      </c>
      <c r="F44" s="468" t="s">
        <v>875</v>
      </c>
      <c r="G44" s="468" t="s">
        <v>876</v>
      </c>
      <c r="H44" s="468" t="s">
        <v>877</v>
      </c>
      <c r="I44" s="468" t="s">
        <v>112</v>
      </c>
      <c r="J44" s="468" t="s">
        <v>3470</v>
      </c>
      <c r="K44" s="468" t="s">
        <v>878</v>
      </c>
      <c r="L44" s="468" t="s">
        <v>3928</v>
      </c>
      <c r="M44" s="468" t="s">
        <v>3951</v>
      </c>
      <c r="N44" s="461"/>
      <c r="O44" s="294"/>
      <c r="P44" s="294"/>
      <c r="Q44" s="294">
        <v>2</v>
      </c>
      <c r="R44" s="294"/>
      <c r="S44" s="295"/>
      <c r="T44" s="299"/>
      <c r="U44" s="297"/>
      <c r="V44" s="297"/>
      <c r="W44" s="297"/>
      <c r="X44" s="297"/>
      <c r="Y44" s="297"/>
      <c r="Z44" s="297"/>
      <c r="AA44" s="297"/>
      <c r="AB44" s="293"/>
      <c r="AC44" s="294"/>
      <c r="AD44" s="295"/>
      <c r="AE44" s="298"/>
      <c r="AF44" s="296"/>
      <c r="AG44" s="297"/>
      <c r="AH44" s="297"/>
      <c r="AI44" s="297"/>
      <c r="AJ44" s="297"/>
      <c r="AK44" s="297"/>
      <c r="AL44" s="297"/>
      <c r="AM44" s="297"/>
      <c r="AN44" s="300"/>
      <c r="AO44" s="301"/>
      <c r="AP44" s="301"/>
      <c r="AQ44" s="301"/>
      <c r="AR44" s="301"/>
      <c r="AS44" s="301"/>
      <c r="AT44" s="301"/>
      <c r="AU44" s="301"/>
      <c r="AV44" s="301">
        <v>1500</v>
      </c>
      <c r="AW44" s="301"/>
      <c r="AX44" s="301"/>
      <c r="AY44" s="301"/>
      <c r="AZ44" s="301"/>
      <c r="BA44" s="301"/>
      <c r="BB44" s="301"/>
      <c r="BC44" s="301"/>
      <c r="BD44" s="301"/>
      <c r="BE44" s="301"/>
      <c r="BF44" s="302"/>
      <c r="BG44" s="303"/>
      <c r="BH44" s="304"/>
      <c r="BI44" s="304"/>
      <c r="BJ44" s="304"/>
      <c r="BK44" s="304"/>
      <c r="BL44" s="304"/>
      <c r="BM44" s="304"/>
      <c r="BN44" s="304"/>
      <c r="BO44" s="304">
        <v>10</v>
      </c>
      <c r="BP44" s="304"/>
      <c r="BQ44" s="304"/>
      <c r="BR44" s="304"/>
      <c r="BS44" s="304"/>
      <c r="BT44" s="304"/>
      <c r="BU44" s="304"/>
      <c r="BV44" s="304"/>
      <c r="BW44" s="304"/>
      <c r="BX44" s="304"/>
      <c r="BY44" s="305"/>
      <c r="BZ44" s="306"/>
      <c r="CA44" s="307"/>
      <c r="CB44" s="307"/>
      <c r="CC44" s="307"/>
      <c r="CD44" s="307"/>
      <c r="CE44" s="307"/>
      <c r="CF44" s="307"/>
      <c r="CG44" s="332"/>
      <c r="CH44" s="328">
        <v>2</v>
      </c>
      <c r="CI44" s="328"/>
      <c r="CJ44" s="328"/>
      <c r="CK44" s="328"/>
      <c r="CL44" s="328"/>
      <c r="CM44" s="328"/>
      <c r="CN44" s="370"/>
      <c r="CO44" s="367">
        <v>10</v>
      </c>
      <c r="CP44" s="367"/>
      <c r="CQ44" s="367"/>
      <c r="CR44" s="367"/>
      <c r="CS44" s="387"/>
      <c r="CT44" s="398"/>
      <c r="CU44" s="399">
        <v>1</v>
      </c>
      <c r="CV44" s="399"/>
      <c r="CW44" s="399"/>
      <c r="CX44" s="399"/>
      <c r="CY44" s="399"/>
      <c r="CZ44" s="399"/>
      <c r="DA44" s="400"/>
      <c r="DB44" s="522">
        <v>1</v>
      </c>
    </row>
    <row r="45" spans="1:106" x14ac:dyDescent="0.25">
      <c r="A45" s="468" t="s">
        <v>107</v>
      </c>
      <c r="B45" s="468">
        <v>810</v>
      </c>
      <c r="C45" s="468" t="s">
        <v>3471</v>
      </c>
      <c r="D45" s="468">
        <v>1343</v>
      </c>
      <c r="E45" s="468" t="s">
        <v>879</v>
      </c>
      <c r="F45" s="468" t="s">
        <v>880</v>
      </c>
      <c r="G45" s="468" t="s">
        <v>881</v>
      </c>
      <c r="H45" s="468" t="s">
        <v>882</v>
      </c>
      <c r="I45" s="468" t="s">
        <v>112</v>
      </c>
      <c r="J45" s="468" t="s">
        <v>3472</v>
      </c>
      <c r="K45" s="468" t="s">
        <v>883</v>
      </c>
      <c r="L45" s="468" t="s">
        <v>3928</v>
      </c>
      <c r="M45" s="468" t="s">
        <v>3951</v>
      </c>
      <c r="N45" s="461"/>
      <c r="O45" s="294"/>
      <c r="P45" s="294"/>
      <c r="Q45" s="294">
        <v>2</v>
      </c>
      <c r="R45" s="294"/>
      <c r="S45" s="295"/>
      <c r="T45" s="299"/>
      <c r="U45" s="297"/>
      <c r="V45" s="297"/>
      <c r="W45" s="297"/>
      <c r="X45" s="297"/>
      <c r="Y45" s="297"/>
      <c r="Z45" s="297"/>
      <c r="AA45" s="297"/>
      <c r="AB45" s="293"/>
      <c r="AC45" s="294"/>
      <c r="AD45" s="295"/>
      <c r="AE45" s="298"/>
      <c r="AF45" s="296"/>
      <c r="AG45" s="297"/>
      <c r="AH45" s="297"/>
      <c r="AI45" s="297"/>
      <c r="AJ45" s="297"/>
      <c r="AK45" s="297"/>
      <c r="AL45" s="297"/>
      <c r="AM45" s="297"/>
      <c r="AN45" s="300"/>
      <c r="AO45" s="301"/>
      <c r="AP45" s="301"/>
      <c r="AQ45" s="301"/>
      <c r="AR45" s="301"/>
      <c r="AS45" s="301"/>
      <c r="AT45" s="301"/>
      <c r="AU45" s="301"/>
      <c r="AV45" s="301">
        <v>1500</v>
      </c>
      <c r="AW45" s="301"/>
      <c r="AX45" s="301"/>
      <c r="AY45" s="301"/>
      <c r="AZ45" s="301"/>
      <c r="BA45" s="301"/>
      <c r="BB45" s="301"/>
      <c r="BC45" s="301"/>
      <c r="BD45" s="301"/>
      <c r="BE45" s="301"/>
      <c r="BF45" s="302"/>
      <c r="BG45" s="303"/>
      <c r="BH45" s="304"/>
      <c r="BI45" s="304"/>
      <c r="BJ45" s="304"/>
      <c r="BK45" s="304"/>
      <c r="BL45" s="304"/>
      <c r="BM45" s="304"/>
      <c r="BN45" s="304"/>
      <c r="BO45" s="304">
        <v>10</v>
      </c>
      <c r="BP45" s="304"/>
      <c r="BQ45" s="304"/>
      <c r="BR45" s="304"/>
      <c r="BS45" s="304"/>
      <c r="BT45" s="304"/>
      <c r="BU45" s="304"/>
      <c r="BV45" s="304"/>
      <c r="BW45" s="304"/>
      <c r="BX45" s="304"/>
      <c r="BY45" s="305"/>
      <c r="BZ45" s="306"/>
      <c r="CA45" s="307"/>
      <c r="CB45" s="307"/>
      <c r="CC45" s="307"/>
      <c r="CD45" s="307"/>
      <c r="CE45" s="307"/>
      <c r="CF45" s="307"/>
      <c r="CG45" s="332"/>
      <c r="CH45" s="328">
        <v>2</v>
      </c>
      <c r="CI45" s="328"/>
      <c r="CJ45" s="328"/>
      <c r="CK45" s="328"/>
      <c r="CL45" s="328"/>
      <c r="CM45" s="328"/>
      <c r="CN45" s="370"/>
      <c r="CO45" s="367">
        <v>10</v>
      </c>
      <c r="CP45" s="367"/>
      <c r="CQ45" s="367"/>
      <c r="CR45" s="367"/>
      <c r="CS45" s="387"/>
      <c r="CT45" s="398"/>
      <c r="CU45" s="399">
        <v>1</v>
      </c>
      <c r="CV45" s="399"/>
      <c r="CW45" s="399"/>
      <c r="CX45" s="399"/>
      <c r="CY45" s="399"/>
      <c r="CZ45" s="399"/>
      <c r="DA45" s="400"/>
      <c r="DB45" s="522">
        <v>1</v>
      </c>
    </row>
    <row r="46" spans="1:106" x14ac:dyDescent="0.25">
      <c r="A46" s="468" t="s">
        <v>107</v>
      </c>
      <c r="B46" s="468">
        <v>810</v>
      </c>
      <c r="C46" s="468" t="s">
        <v>3473</v>
      </c>
      <c r="D46" s="468">
        <v>1344</v>
      </c>
      <c r="E46" s="468" t="s">
        <v>884</v>
      </c>
      <c r="F46" s="468" t="s">
        <v>885</v>
      </c>
      <c r="G46" s="468" t="s">
        <v>886</v>
      </c>
      <c r="H46" s="468" t="s">
        <v>887</v>
      </c>
      <c r="I46" s="468" t="s">
        <v>112</v>
      </c>
      <c r="J46" s="468" t="s">
        <v>3474</v>
      </c>
      <c r="K46" s="468" t="s">
        <v>888</v>
      </c>
      <c r="L46" s="468" t="s">
        <v>3928</v>
      </c>
      <c r="M46" s="468" t="s">
        <v>3955</v>
      </c>
      <c r="N46" s="460"/>
      <c r="O46" s="294"/>
      <c r="P46" s="294"/>
      <c r="Q46" s="294"/>
      <c r="R46" s="294"/>
      <c r="S46" s="295"/>
      <c r="T46" s="299"/>
      <c r="U46" s="297">
        <v>2</v>
      </c>
      <c r="V46" s="297"/>
      <c r="W46" s="297"/>
      <c r="X46" s="297"/>
      <c r="Y46" s="297"/>
      <c r="Z46" s="297"/>
      <c r="AA46" s="297"/>
      <c r="AB46" s="293"/>
      <c r="AC46" s="294"/>
      <c r="AD46" s="295"/>
      <c r="AE46" s="298"/>
      <c r="AF46" s="296"/>
      <c r="AG46" s="297"/>
      <c r="AH46" s="297"/>
      <c r="AI46" s="297"/>
      <c r="AJ46" s="297"/>
      <c r="AK46" s="297"/>
      <c r="AL46" s="297"/>
      <c r="AM46" s="297"/>
      <c r="AN46" s="300"/>
      <c r="AO46" s="301"/>
      <c r="AP46" s="301"/>
      <c r="AQ46" s="301"/>
      <c r="AR46" s="301"/>
      <c r="AS46" s="301"/>
      <c r="AT46" s="301"/>
      <c r="AU46" s="301"/>
      <c r="AV46" s="301"/>
      <c r="AW46" s="301">
        <v>1500</v>
      </c>
      <c r="AX46" s="301"/>
      <c r="AY46" s="301"/>
      <c r="AZ46" s="301"/>
      <c r="BA46" s="301"/>
      <c r="BB46" s="301"/>
      <c r="BC46" s="301"/>
      <c r="BD46" s="301"/>
      <c r="BE46" s="301"/>
      <c r="BF46" s="302"/>
      <c r="BG46" s="303"/>
      <c r="BH46" s="304"/>
      <c r="BI46" s="304"/>
      <c r="BJ46" s="304"/>
      <c r="BK46" s="304"/>
      <c r="BL46" s="304"/>
      <c r="BM46" s="304"/>
      <c r="BN46" s="304"/>
      <c r="BO46" s="304"/>
      <c r="BP46" s="304">
        <v>10</v>
      </c>
      <c r="BQ46" s="304"/>
      <c r="BR46" s="304"/>
      <c r="BS46" s="304"/>
      <c r="BT46" s="304"/>
      <c r="BU46" s="304"/>
      <c r="BV46" s="304"/>
      <c r="BW46" s="304"/>
      <c r="BX46" s="304"/>
      <c r="BY46" s="305"/>
      <c r="BZ46" s="306"/>
      <c r="CA46" s="307"/>
      <c r="CB46" s="307"/>
      <c r="CC46" s="307"/>
      <c r="CD46" s="307"/>
      <c r="CE46" s="307"/>
      <c r="CF46" s="307"/>
      <c r="CG46" s="332"/>
      <c r="CH46" s="328">
        <v>2</v>
      </c>
      <c r="CI46" s="328"/>
      <c r="CJ46" s="328"/>
      <c r="CK46" s="328"/>
      <c r="CL46" s="328"/>
      <c r="CM46" s="328"/>
      <c r="CN46" s="370"/>
      <c r="CO46" s="367">
        <v>10</v>
      </c>
      <c r="CP46" s="367"/>
      <c r="CQ46" s="367"/>
      <c r="CR46" s="367"/>
      <c r="CS46" s="387"/>
      <c r="CT46" s="398"/>
      <c r="CU46" s="399">
        <v>1</v>
      </c>
      <c r="CV46" s="399"/>
      <c r="CW46" s="399"/>
      <c r="CX46" s="399"/>
      <c r="CY46" s="399"/>
      <c r="CZ46" s="399"/>
      <c r="DA46" s="400"/>
      <c r="DB46" s="522">
        <v>1</v>
      </c>
    </row>
    <row r="47" spans="1:106" x14ac:dyDescent="0.25">
      <c r="A47" s="468" t="s">
        <v>107</v>
      </c>
      <c r="B47" s="468">
        <v>810</v>
      </c>
      <c r="C47" s="468" t="s">
        <v>3475</v>
      </c>
      <c r="D47" s="468">
        <v>1349</v>
      </c>
      <c r="E47" s="468" t="s">
        <v>889</v>
      </c>
      <c r="F47" s="468" t="s">
        <v>890</v>
      </c>
      <c r="G47" s="468" t="s">
        <v>891</v>
      </c>
      <c r="H47" s="468" t="s">
        <v>877</v>
      </c>
      <c r="I47" s="468" t="s">
        <v>112</v>
      </c>
      <c r="J47" s="468" t="s">
        <v>3476</v>
      </c>
      <c r="K47" s="468" t="s">
        <v>892</v>
      </c>
      <c r="L47" s="468" t="s">
        <v>3928</v>
      </c>
      <c r="M47" s="468" t="s">
        <v>3951</v>
      </c>
      <c r="N47" s="460"/>
      <c r="O47" s="294"/>
      <c r="P47" s="294"/>
      <c r="Q47" s="294"/>
      <c r="R47" s="294"/>
      <c r="S47" s="295"/>
      <c r="T47" s="299"/>
      <c r="U47" s="297">
        <v>2</v>
      </c>
      <c r="V47" s="297"/>
      <c r="W47" s="297"/>
      <c r="X47" s="297"/>
      <c r="Y47" s="297"/>
      <c r="Z47" s="297"/>
      <c r="AA47" s="297"/>
      <c r="AB47" s="293"/>
      <c r="AC47" s="294"/>
      <c r="AD47" s="295"/>
      <c r="AE47" s="298"/>
      <c r="AF47" s="296"/>
      <c r="AG47" s="297"/>
      <c r="AH47" s="297"/>
      <c r="AI47" s="297"/>
      <c r="AJ47" s="297"/>
      <c r="AK47" s="297"/>
      <c r="AL47" s="297"/>
      <c r="AM47" s="297"/>
      <c r="AN47" s="300"/>
      <c r="AO47" s="301"/>
      <c r="AP47" s="301"/>
      <c r="AQ47" s="301"/>
      <c r="AR47" s="301"/>
      <c r="AS47" s="301"/>
      <c r="AT47" s="301"/>
      <c r="AU47" s="301"/>
      <c r="AV47" s="301">
        <v>1500</v>
      </c>
      <c r="AW47" s="301"/>
      <c r="AX47" s="301"/>
      <c r="AY47" s="301"/>
      <c r="AZ47" s="301"/>
      <c r="BA47" s="301"/>
      <c r="BB47" s="301"/>
      <c r="BC47" s="301"/>
      <c r="BD47" s="301"/>
      <c r="BE47" s="301"/>
      <c r="BF47" s="302"/>
      <c r="BG47" s="303"/>
      <c r="BH47" s="304"/>
      <c r="BI47" s="304"/>
      <c r="BJ47" s="304"/>
      <c r="BK47" s="304"/>
      <c r="BL47" s="304"/>
      <c r="BM47" s="304"/>
      <c r="BN47" s="304"/>
      <c r="BO47" s="304">
        <v>10</v>
      </c>
      <c r="BP47" s="304"/>
      <c r="BQ47" s="304"/>
      <c r="BR47" s="304"/>
      <c r="BS47" s="304"/>
      <c r="BT47" s="304"/>
      <c r="BU47" s="304"/>
      <c r="BV47" s="304"/>
      <c r="BW47" s="304"/>
      <c r="BX47" s="304"/>
      <c r="BY47" s="305"/>
      <c r="BZ47" s="306"/>
      <c r="CA47" s="307"/>
      <c r="CB47" s="307"/>
      <c r="CC47" s="307"/>
      <c r="CD47" s="307"/>
      <c r="CE47" s="307"/>
      <c r="CF47" s="307"/>
      <c r="CG47" s="332"/>
      <c r="CH47" s="328">
        <v>2</v>
      </c>
      <c r="CI47" s="328"/>
      <c r="CJ47" s="328"/>
      <c r="CK47" s="328"/>
      <c r="CL47" s="328"/>
      <c r="CM47" s="328"/>
      <c r="CN47" s="370"/>
      <c r="CO47" s="367">
        <v>10</v>
      </c>
      <c r="CP47" s="367"/>
      <c r="CQ47" s="367"/>
      <c r="CR47" s="367"/>
      <c r="CS47" s="387"/>
      <c r="CT47" s="398"/>
      <c r="CU47" s="399">
        <v>1</v>
      </c>
      <c r="CV47" s="399"/>
      <c r="CW47" s="399"/>
      <c r="CX47" s="399"/>
      <c r="CY47" s="399"/>
      <c r="CZ47" s="399"/>
      <c r="DA47" s="400"/>
      <c r="DB47" s="522">
        <v>1</v>
      </c>
    </row>
    <row r="48" spans="1:106" x14ac:dyDescent="0.25">
      <c r="A48" s="468" t="s">
        <v>259</v>
      </c>
      <c r="B48" s="468">
        <v>812</v>
      </c>
      <c r="C48" s="468" t="s">
        <v>3608</v>
      </c>
      <c r="D48" s="468">
        <v>1801</v>
      </c>
      <c r="E48" s="468" t="s">
        <v>928</v>
      </c>
      <c r="F48" s="468" t="s">
        <v>2959</v>
      </c>
      <c r="G48" s="468" t="s">
        <v>930</v>
      </c>
      <c r="H48" s="468" t="s">
        <v>931</v>
      </c>
      <c r="I48" s="468" t="s">
        <v>54</v>
      </c>
      <c r="J48" s="468" t="s">
        <v>3609</v>
      </c>
      <c r="K48" s="468" t="s">
        <v>932</v>
      </c>
      <c r="L48" s="468" t="s">
        <v>3766</v>
      </c>
      <c r="M48" s="468" t="s">
        <v>4020</v>
      </c>
      <c r="N48" s="460"/>
      <c r="O48" s="294"/>
      <c r="P48" s="294"/>
      <c r="Q48" s="294"/>
      <c r="R48" s="294"/>
      <c r="S48" s="295"/>
      <c r="T48" s="299"/>
      <c r="U48" s="297"/>
      <c r="V48" s="297"/>
      <c r="W48" s="297"/>
      <c r="X48" s="297"/>
      <c r="Y48" s="297"/>
      <c r="Z48" s="297"/>
      <c r="AA48" s="297">
        <v>2</v>
      </c>
      <c r="AB48" s="293"/>
      <c r="AC48" s="294"/>
      <c r="AD48" s="295"/>
      <c r="AE48" s="298"/>
      <c r="AF48" s="296"/>
      <c r="AG48" s="297"/>
      <c r="AH48" s="297"/>
      <c r="AI48" s="297"/>
      <c r="AJ48" s="297"/>
      <c r="AK48" s="297"/>
      <c r="AL48" s="297"/>
      <c r="AM48" s="297"/>
      <c r="AN48" s="300"/>
      <c r="AO48" s="301"/>
      <c r="AP48" s="301">
        <v>1500</v>
      </c>
      <c r="AQ48" s="301"/>
      <c r="AR48" s="301"/>
      <c r="AS48" s="301"/>
      <c r="AT48" s="301"/>
      <c r="AU48" s="301"/>
      <c r="AV48" s="301"/>
      <c r="AW48" s="301"/>
      <c r="AX48" s="301"/>
      <c r="AY48" s="301"/>
      <c r="AZ48" s="301"/>
      <c r="BA48" s="301"/>
      <c r="BB48" s="301"/>
      <c r="BC48" s="301"/>
      <c r="BD48" s="301"/>
      <c r="BE48" s="301"/>
      <c r="BF48" s="302"/>
      <c r="BG48" s="303"/>
      <c r="BH48" s="304"/>
      <c r="BI48" s="304">
        <v>10</v>
      </c>
      <c r="BJ48" s="304"/>
      <c r="BK48" s="304"/>
      <c r="BL48" s="304"/>
      <c r="BM48" s="304"/>
      <c r="BN48" s="304"/>
      <c r="BO48" s="304"/>
      <c r="BP48" s="304"/>
      <c r="BQ48" s="304"/>
      <c r="BR48" s="304"/>
      <c r="BS48" s="304"/>
      <c r="BT48" s="304"/>
      <c r="BU48" s="304"/>
      <c r="BV48" s="304"/>
      <c r="BW48" s="304"/>
      <c r="BX48" s="304"/>
      <c r="BY48" s="305"/>
      <c r="BZ48" s="306"/>
      <c r="CA48" s="307"/>
      <c r="CB48" s="307"/>
      <c r="CC48" s="307"/>
      <c r="CD48" s="307"/>
      <c r="CE48" s="307"/>
      <c r="CF48" s="307"/>
      <c r="CG48" s="332"/>
      <c r="CH48" s="328"/>
      <c r="CI48" s="328"/>
      <c r="CJ48" s="328"/>
      <c r="CK48" s="328"/>
      <c r="CL48" s="328"/>
      <c r="CM48" s="328">
        <v>2</v>
      </c>
      <c r="CN48" s="370"/>
      <c r="CO48" s="367"/>
      <c r="CP48" s="367"/>
      <c r="CQ48" s="367"/>
      <c r="CR48" s="367"/>
      <c r="CS48" s="387">
        <v>10</v>
      </c>
      <c r="CT48" s="398"/>
      <c r="CU48" s="399"/>
      <c r="CV48" s="399"/>
      <c r="CW48" s="399"/>
      <c r="CX48" s="399"/>
      <c r="CY48" s="399"/>
      <c r="CZ48" s="399"/>
      <c r="DA48" s="400">
        <v>1</v>
      </c>
      <c r="DB48" s="522">
        <v>1</v>
      </c>
    </row>
    <row r="49" spans="1:106" x14ac:dyDescent="0.25">
      <c r="A49" s="468" t="s">
        <v>259</v>
      </c>
      <c r="B49" s="468">
        <v>812</v>
      </c>
      <c r="C49" s="468" t="s">
        <v>3616</v>
      </c>
      <c r="D49" s="468">
        <v>1805</v>
      </c>
      <c r="E49" s="468" t="s">
        <v>944</v>
      </c>
      <c r="F49" s="468" t="s">
        <v>945</v>
      </c>
      <c r="G49" s="468" t="s">
        <v>946</v>
      </c>
      <c r="H49" s="468" t="s">
        <v>931</v>
      </c>
      <c r="I49" s="468" t="s">
        <v>54</v>
      </c>
      <c r="J49" s="468" t="s">
        <v>3611</v>
      </c>
      <c r="K49" s="468" t="s">
        <v>947</v>
      </c>
      <c r="L49" s="468" t="s">
        <v>3766</v>
      </c>
      <c r="M49" s="468" t="s">
        <v>4020</v>
      </c>
      <c r="N49" s="460"/>
      <c r="O49" s="294"/>
      <c r="P49" s="294"/>
      <c r="Q49" s="294"/>
      <c r="R49" s="294"/>
      <c r="S49" s="295"/>
      <c r="T49" s="299"/>
      <c r="U49" s="297"/>
      <c r="V49" s="297"/>
      <c r="W49" s="297"/>
      <c r="X49" s="297"/>
      <c r="Y49" s="297"/>
      <c r="Z49" s="297"/>
      <c r="AA49" s="297">
        <v>2</v>
      </c>
      <c r="AB49" s="293"/>
      <c r="AC49" s="294"/>
      <c r="AD49" s="295"/>
      <c r="AE49" s="298"/>
      <c r="AF49" s="296"/>
      <c r="AG49" s="297"/>
      <c r="AH49" s="297"/>
      <c r="AI49" s="297"/>
      <c r="AJ49" s="297"/>
      <c r="AK49" s="297"/>
      <c r="AL49" s="297"/>
      <c r="AM49" s="297"/>
      <c r="AN49" s="300"/>
      <c r="AO49" s="301"/>
      <c r="AP49" s="301">
        <v>1500</v>
      </c>
      <c r="AQ49" s="301"/>
      <c r="AR49" s="301"/>
      <c r="AS49" s="301"/>
      <c r="AT49" s="301"/>
      <c r="AU49" s="301"/>
      <c r="AV49" s="301"/>
      <c r="AW49" s="301"/>
      <c r="AX49" s="301"/>
      <c r="AY49" s="301"/>
      <c r="AZ49" s="301"/>
      <c r="BA49" s="301"/>
      <c r="BB49" s="301"/>
      <c r="BC49" s="301"/>
      <c r="BD49" s="301"/>
      <c r="BE49" s="301"/>
      <c r="BF49" s="302"/>
      <c r="BG49" s="303"/>
      <c r="BH49" s="304"/>
      <c r="BI49" s="304">
        <v>10</v>
      </c>
      <c r="BJ49" s="304"/>
      <c r="BK49" s="304"/>
      <c r="BL49" s="304"/>
      <c r="BM49" s="304"/>
      <c r="BN49" s="304"/>
      <c r="BO49" s="304"/>
      <c r="BP49" s="304"/>
      <c r="BQ49" s="304"/>
      <c r="BR49" s="304"/>
      <c r="BS49" s="304"/>
      <c r="BT49" s="304"/>
      <c r="BU49" s="304"/>
      <c r="BV49" s="304"/>
      <c r="BW49" s="304"/>
      <c r="BX49" s="304"/>
      <c r="BY49" s="305"/>
      <c r="BZ49" s="306"/>
      <c r="CA49" s="307"/>
      <c r="CB49" s="307"/>
      <c r="CC49" s="307"/>
      <c r="CD49" s="307"/>
      <c r="CE49" s="307"/>
      <c r="CF49" s="307"/>
      <c r="CG49" s="332"/>
      <c r="CH49" s="328"/>
      <c r="CI49" s="328"/>
      <c r="CJ49" s="328"/>
      <c r="CK49" s="328"/>
      <c r="CL49" s="328"/>
      <c r="CM49" s="328">
        <v>2</v>
      </c>
      <c r="CN49" s="370"/>
      <c r="CO49" s="367"/>
      <c r="CP49" s="367"/>
      <c r="CQ49" s="367"/>
      <c r="CR49" s="367"/>
      <c r="CS49" s="387">
        <v>10</v>
      </c>
      <c r="CT49" s="398"/>
      <c r="CU49" s="399"/>
      <c r="CV49" s="399"/>
      <c r="CW49" s="399"/>
      <c r="CX49" s="399"/>
      <c r="CY49" s="399"/>
      <c r="CZ49" s="399"/>
      <c r="DA49" s="400">
        <v>1</v>
      </c>
      <c r="DB49" s="522">
        <v>1</v>
      </c>
    </row>
    <row r="50" spans="1:106" x14ac:dyDescent="0.25">
      <c r="A50" s="468" t="s">
        <v>259</v>
      </c>
      <c r="B50" s="468">
        <v>812</v>
      </c>
      <c r="C50" s="468" t="s">
        <v>3619</v>
      </c>
      <c r="D50" s="468">
        <v>1807</v>
      </c>
      <c r="E50" s="468" t="s">
        <v>951</v>
      </c>
      <c r="F50" s="468" t="s">
        <v>973</v>
      </c>
      <c r="G50" s="468" t="s">
        <v>952</v>
      </c>
      <c r="H50" s="468" t="s">
        <v>931</v>
      </c>
      <c r="I50" s="468" t="s">
        <v>54</v>
      </c>
      <c r="J50" s="468" t="s">
        <v>3618</v>
      </c>
      <c r="K50" s="468" t="s">
        <v>953</v>
      </c>
      <c r="L50" s="468" t="s">
        <v>3766</v>
      </c>
      <c r="M50" s="468" t="s">
        <v>4020</v>
      </c>
      <c r="N50" s="460"/>
      <c r="O50" s="294"/>
      <c r="P50" s="294"/>
      <c r="Q50" s="294"/>
      <c r="R50" s="294"/>
      <c r="S50" s="295"/>
      <c r="T50" s="299"/>
      <c r="U50" s="297"/>
      <c r="V50" s="297"/>
      <c r="W50" s="297"/>
      <c r="X50" s="297"/>
      <c r="Y50" s="297"/>
      <c r="Z50" s="297"/>
      <c r="AA50" s="297">
        <v>2</v>
      </c>
      <c r="AB50" s="293"/>
      <c r="AC50" s="294"/>
      <c r="AD50" s="295"/>
      <c r="AE50" s="298"/>
      <c r="AF50" s="296"/>
      <c r="AG50" s="297"/>
      <c r="AH50" s="297"/>
      <c r="AI50" s="297"/>
      <c r="AJ50" s="297"/>
      <c r="AK50" s="297"/>
      <c r="AL50" s="297"/>
      <c r="AM50" s="297"/>
      <c r="AN50" s="300"/>
      <c r="AO50" s="301"/>
      <c r="AP50" s="301">
        <v>1500</v>
      </c>
      <c r="AQ50" s="301"/>
      <c r="AR50" s="301"/>
      <c r="AS50" s="301"/>
      <c r="AT50" s="301"/>
      <c r="AU50" s="301"/>
      <c r="AV50" s="301"/>
      <c r="AW50" s="301"/>
      <c r="AX50" s="301"/>
      <c r="AY50" s="301"/>
      <c r="AZ50" s="301"/>
      <c r="BA50" s="301"/>
      <c r="BB50" s="301"/>
      <c r="BC50" s="301"/>
      <c r="BD50" s="301"/>
      <c r="BE50" s="301"/>
      <c r="BF50" s="302"/>
      <c r="BG50" s="303"/>
      <c r="BH50" s="304"/>
      <c r="BI50" s="304">
        <v>10</v>
      </c>
      <c r="BJ50" s="304"/>
      <c r="BK50" s="304"/>
      <c r="BL50" s="304"/>
      <c r="BM50" s="304"/>
      <c r="BN50" s="304"/>
      <c r="BO50" s="304"/>
      <c r="BP50" s="304"/>
      <c r="BQ50" s="304"/>
      <c r="BR50" s="304"/>
      <c r="BS50" s="304"/>
      <c r="BT50" s="304"/>
      <c r="BU50" s="304"/>
      <c r="BV50" s="304"/>
      <c r="BW50" s="304"/>
      <c r="BX50" s="304"/>
      <c r="BY50" s="305"/>
      <c r="BZ50" s="306"/>
      <c r="CA50" s="307"/>
      <c r="CB50" s="307"/>
      <c r="CC50" s="307"/>
      <c r="CD50" s="307"/>
      <c r="CE50" s="307"/>
      <c r="CF50" s="307"/>
      <c r="CG50" s="332"/>
      <c r="CH50" s="328"/>
      <c r="CI50" s="328"/>
      <c r="CJ50" s="328"/>
      <c r="CK50" s="328"/>
      <c r="CL50" s="328"/>
      <c r="CM50" s="328">
        <v>2</v>
      </c>
      <c r="CN50" s="370"/>
      <c r="CO50" s="367"/>
      <c r="CP50" s="367"/>
      <c r="CQ50" s="367"/>
      <c r="CR50" s="367"/>
      <c r="CS50" s="387">
        <v>10</v>
      </c>
      <c r="CT50" s="398"/>
      <c r="CU50" s="399"/>
      <c r="CV50" s="399"/>
      <c r="CW50" s="399"/>
      <c r="CX50" s="399"/>
      <c r="CY50" s="399"/>
      <c r="CZ50" s="399"/>
      <c r="DA50" s="400">
        <v>1</v>
      </c>
      <c r="DB50" s="522">
        <v>1</v>
      </c>
    </row>
    <row r="51" spans="1:106" x14ac:dyDescent="0.25">
      <c r="A51" s="468" t="s">
        <v>259</v>
      </c>
      <c r="B51" s="468">
        <v>832</v>
      </c>
      <c r="C51" s="468" t="s">
        <v>3624</v>
      </c>
      <c r="D51" s="468">
        <v>1811</v>
      </c>
      <c r="E51" s="468" t="s">
        <v>964</v>
      </c>
      <c r="F51" s="468" t="s">
        <v>3625</v>
      </c>
      <c r="G51" s="468" t="s">
        <v>966</v>
      </c>
      <c r="H51" s="468" t="s">
        <v>262</v>
      </c>
      <c r="I51" s="468" t="s">
        <v>54</v>
      </c>
      <c r="J51" s="468" t="s">
        <v>3626</v>
      </c>
      <c r="K51" s="468" t="s">
        <v>967</v>
      </c>
      <c r="L51" s="468" t="s">
        <v>3766</v>
      </c>
      <c r="M51" s="468" t="s">
        <v>4020</v>
      </c>
      <c r="N51" s="460"/>
      <c r="O51" s="294"/>
      <c r="P51" s="294"/>
      <c r="Q51" s="294"/>
      <c r="R51" s="294"/>
      <c r="S51" s="295"/>
      <c r="T51" s="299"/>
      <c r="U51" s="297"/>
      <c r="V51" s="297"/>
      <c r="W51" s="297"/>
      <c r="X51" s="297"/>
      <c r="Y51" s="297"/>
      <c r="Z51" s="297"/>
      <c r="AA51" s="297"/>
      <c r="AB51" s="293">
        <v>2</v>
      </c>
      <c r="AC51" s="294"/>
      <c r="AD51" s="295"/>
      <c r="AE51" s="298"/>
      <c r="AF51" s="296"/>
      <c r="AG51" s="297"/>
      <c r="AH51" s="297"/>
      <c r="AI51" s="297"/>
      <c r="AJ51" s="297"/>
      <c r="AK51" s="297"/>
      <c r="AL51" s="297"/>
      <c r="AM51" s="297"/>
      <c r="AN51" s="300"/>
      <c r="AO51" s="301"/>
      <c r="AP51" s="301">
        <v>1500</v>
      </c>
      <c r="AQ51" s="301"/>
      <c r="AR51" s="301"/>
      <c r="AS51" s="301"/>
      <c r="AT51" s="301"/>
      <c r="AU51" s="301"/>
      <c r="AV51" s="301"/>
      <c r="AW51" s="301"/>
      <c r="AX51" s="301"/>
      <c r="AY51" s="301"/>
      <c r="AZ51" s="301"/>
      <c r="BA51" s="301"/>
      <c r="BB51" s="301"/>
      <c r="BC51" s="301"/>
      <c r="BD51" s="301"/>
      <c r="BE51" s="301"/>
      <c r="BF51" s="302"/>
      <c r="BG51" s="303"/>
      <c r="BH51" s="304"/>
      <c r="BI51" s="304">
        <v>10</v>
      </c>
      <c r="BJ51" s="304"/>
      <c r="BK51" s="304"/>
      <c r="BL51" s="304"/>
      <c r="BM51" s="304"/>
      <c r="BN51" s="304"/>
      <c r="BO51" s="304"/>
      <c r="BP51" s="304"/>
      <c r="BQ51" s="304"/>
      <c r="BR51" s="304"/>
      <c r="BS51" s="304"/>
      <c r="BT51" s="304"/>
      <c r="BU51" s="304"/>
      <c r="BV51" s="304"/>
      <c r="BW51" s="304"/>
      <c r="BX51" s="304"/>
      <c r="BY51" s="305"/>
      <c r="BZ51" s="306"/>
      <c r="CA51" s="307"/>
      <c r="CB51" s="307"/>
      <c r="CC51" s="307"/>
      <c r="CD51" s="307"/>
      <c r="CE51" s="307"/>
      <c r="CF51" s="307"/>
      <c r="CG51" s="332"/>
      <c r="CH51" s="328"/>
      <c r="CI51" s="328"/>
      <c r="CJ51" s="328"/>
      <c r="CK51" s="328"/>
      <c r="CL51" s="328"/>
      <c r="CM51" s="328">
        <v>2</v>
      </c>
      <c r="CN51" s="370"/>
      <c r="CO51" s="367"/>
      <c r="CP51" s="367"/>
      <c r="CQ51" s="367"/>
      <c r="CR51" s="367"/>
      <c r="CS51" s="387">
        <v>10</v>
      </c>
      <c r="CT51" s="398"/>
      <c r="CU51" s="399"/>
      <c r="CV51" s="399"/>
      <c r="CW51" s="399"/>
      <c r="CX51" s="399"/>
      <c r="CY51" s="399"/>
      <c r="CZ51" s="399"/>
      <c r="DA51" s="400">
        <v>1</v>
      </c>
      <c r="DB51" s="522">
        <v>1</v>
      </c>
    </row>
    <row r="52" spans="1:106" x14ac:dyDescent="0.25">
      <c r="A52" s="468" t="s">
        <v>259</v>
      </c>
      <c r="B52" s="468">
        <v>832</v>
      </c>
      <c r="C52" s="468" t="s">
        <v>3629</v>
      </c>
      <c r="D52" s="468">
        <v>1813</v>
      </c>
      <c r="E52" s="468" t="s">
        <v>260</v>
      </c>
      <c r="F52" s="468" t="s">
        <v>1103</v>
      </c>
      <c r="G52" s="468" t="s">
        <v>261</v>
      </c>
      <c r="H52" s="468" t="s">
        <v>262</v>
      </c>
      <c r="I52" s="468" t="s">
        <v>54</v>
      </c>
      <c r="J52" s="468" t="s">
        <v>3630</v>
      </c>
      <c r="K52" s="468" t="s">
        <v>263</v>
      </c>
      <c r="L52" s="468" t="s">
        <v>3766</v>
      </c>
      <c r="M52" s="468" t="s">
        <v>4020</v>
      </c>
      <c r="N52" s="460"/>
      <c r="O52" s="294"/>
      <c r="P52" s="294"/>
      <c r="Q52" s="294"/>
      <c r="R52" s="294"/>
      <c r="S52" s="295"/>
      <c r="T52" s="299"/>
      <c r="U52" s="297"/>
      <c r="V52" s="297"/>
      <c r="W52" s="297"/>
      <c r="X52" s="297"/>
      <c r="Y52" s="297"/>
      <c r="Z52" s="297"/>
      <c r="AA52" s="297">
        <v>2</v>
      </c>
      <c r="AB52" s="293"/>
      <c r="AC52" s="294"/>
      <c r="AD52" s="295"/>
      <c r="AE52" s="298"/>
      <c r="AF52" s="296"/>
      <c r="AG52" s="297"/>
      <c r="AH52" s="297"/>
      <c r="AI52" s="297"/>
      <c r="AJ52" s="297"/>
      <c r="AK52" s="297"/>
      <c r="AL52" s="297"/>
      <c r="AM52" s="297"/>
      <c r="AN52" s="300"/>
      <c r="AO52" s="301"/>
      <c r="AP52" s="301">
        <v>1500</v>
      </c>
      <c r="AQ52" s="301"/>
      <c r="AR52" s="301"/>
      <c r="AS52" s="301"/>
      <c r="AT52" s="301"/>
      <c r="AU52" s="301"/>
      <c r="AV52" s="301"/>
      <c r="AW52" s="301"/>
      <c r="AX52" s="301"/>
      <c r="AY52" s="301"/>
      <c r="AZ52" s="301"/>
      <c r="BA52" s="301"/>
      <c r="BB52" s="301"/>
      <c r="BC52" s="301"/>
      <c r="BD52" s="301"/>
      <c r="BE52" s="301"/>
      <c r="BF52" s="302"/>
      <c r="BG52" s="303"/>
      <c r="BH52" s="304"/>
      <c r="BI52" s="304">
        <v>10</v>
      </c>
      <c r="BJ52" s="304"/>
      <c r="BK52" s="304"/>
      <c r="BL52" s="304"/>
      <c r="BM52" s="304"/>
      <c r="BN52" s="304"/>
      <c r="BO52" s="304"/>
      <c r="BP52" s="304"/>
      <c r="BQ52" s="304"/>
      <c r="BR52" s="304"/>
      <c r="BS52" s="304"/>
      <c r="BT52" s="304"/>
      <c r="BU52" s="304"/>
      <c r="BV52" s="304"/>
      <c r="BW52" s="304"/>
      <c r="BX52" s="304"/>
      <c r="BY52" s="305"/>
      <c r="BZ52" s="306"/>
      <c r="CA52" s="307"/>
      <c r="CB52" s="307"/>
      <c r="CC52" s="307"/>
      <c r="CD52" s="307"/>
      <c r="CE52" s="307"/>
      <c r="CF52" s="307"/>
      <c r="CG52" s="332"/>
      <c r="CH52" s="328"/>
      <c r="CI52" s="328"/>
      <c r="CJ52" s="328"/>
      <c r="CK52" s="328"/>
      <c r="CL52" s="328"/>
      <c r="CM52" s="328">
        <v>2</v>
      </c>
      <c r="CN52" s="370"/>
      <c r="CO52" s="367"/>
      <c r="CP52" s="367"/>
      <c r="CQ52" s="367"/>
      <c r="CR52" s="367"/>
      <c r="CS52" s="387">
        <v>10</v>
      </c>
      <c r="CT52" s="398"/>
      <c r="CU52" s="399"/>
      <c r="CV52" s="399"/>
      <c r="CW52" s="399"/>
      <c r="CX52" s="399"/>
      <c r="CY52" s="399"/>
      <c r="CZ52" s="399"/>
      <c r="DA52" s="400">
        <v>1</v>
      </c>
      <c r="DB52" s="522">
        <v>1</v>
      </c>
    </row>
    <row r="53" spans="1:106" x14ac:dyDescent="0.25">
      <c r="A53" s="468" t="s">
        <v>259</v>
      </c>
      <c r="B53" s="468">
        <v>832</v>
      </c>
      <c r="C53" s="468" t="s">
        <v>3631</v>
      </c>
      <c r="D53" s="468">
        <v>1814</v>
      </c>
      <c r="E53" s="468" t="s">
        <v>972</v>
      </c>
      <c r="F53" s="468" t="s">
        <v>3047</v>
      </c>
      <c r="G53" s="468" t="s">
        <v>974</v>
      </c>
      <c r="H53" s="468" t="s">
        <v>262</v>
      </c>
      <c r="I53" s="468" t="s">
        <v>54</v>
      </c>
      <c r="J53" s="468" t="s">
        <v>3632</v>
      </c>
      <c r="K53" s="468" t="s">
        <v>975</v>
      </c>
      <c r="L53" s="468" t="s">
        <v>3766</v>
      </c>
      <c r="M53" s="468" t="s">
        <v>4020</v>
      </c>
      <c r="N53" s="460"/>
      <c r="O53" s="294"/>
      <c r="P53" s="294"/>
      <c r="Q53" s="294"/>
      <c r="R53" s="294"/>
      <c r="S53" s="295"/>
      <c r="T53" s="299"/>
      <c r="U53" s="297"/>
      <c r="V53" s="297"/>
      <c r="W53" s="297"/>
      <c r="X53" s="297"/>
      <c r="Y53" s="297"/>
      <c r="Z53" s="297"/>
      <c r="AA53" s="297">
        <v>2</v>
      </c>
      <c r="AB53" s="293"/>
      <c r="AC53" s="294"/>
      <c r="AD53" s="295"/>
      <c r="AE53" s="298"/>
      <c r="AF53" s="296"/>
      <c r="AG53" s="297"/>
      <c r="AH53" s="297"/>
      <c r="AI53" s="297"/>
      <c r="AJ53" s="297"/>
      <c r="AK53" s="297"/>
      <c r="AL53" s="297"/>
      <c r="AM53" s="297"/>
      <c r="AN53" s="300"/>
      <c r="AO53" s="301"/>
      <c r="AP53" s="301">
        <v>1500</v>
      </c>
      <c r="AQ53" s="301"/>
      <c r="AR53" s="301"/>
      <c r="AS53" s="301"/>
      <c r="AT53" s="301"/>
      <c r="AU53" s="301"/>
      <c r="AV53" s="301"/>
      <c r="AW53" s="301"/>
      <c r="AX53" s="301"/>
      <c r="AY53" s="301"/>
      <c r="AZ53" s="301"/>
      <c r="BA53" s="301"/>
      <c r="BB53" s="301"/>
      <c r="BC53" s="301"/>
      <c r="BD53" s="301"/>
      <c r="BE53" s="301"/>
      <c r="BF53" s="302"/>
      <c r="BG53" s="303"/>
      <c r="BH53" s="304"/>
      <c r="BI53" s="304">
        <v>10</v>
      </c>
      <c r="BJ53" s="304"/>
      <c r="BK53" s="304"/>
      <c r="BL53" s="304"/>
      <c r="BM53" s="304"/>
      <c r="BN53" s="304"/>
      <c r="BO53" s="304"/>
      <c r="BP53" s="304"/>
      <c r="BQ53" s="304"/>
      <c r="BR53" s="304"/>
      <c r="BS53" s="304"/>
      <c r="BT53" s="304"/>
      <c r="BU53" s="304"/>
      <c r="BV53" s="304"/>
      <c r="BW53" s="304"/>
      <c r="BX53" s="304"/>
      <c r="BY53" s="305"/>
      <c r="BZ53" s="306"/>
      <c r="CA53" s="307"/>
      <c r="CB53" s="307"/>
      <c r="CC53" s="307"/>
      <c r="CD53" s="307"/>
      <c r="CE53" s="307"/>
      <c r="CF53" s="307"/>
      <c r="CG53" s="332"/>
      <c r="CH53" s="328"/>
      <c r="CI53" s="328"/>
      <c r="CJ53" s="328"/>
      <c r="CK53" s="328"/>
      <c r="CL53" s="328"/>
      <c r="CM53" s="328">
        <v>2</v>
      </c>
      <c r="CN53" s="370"/>
      <c r="CO53" s="367"/>
      <c r="CP53" s="367"/>
      <c r="CQ53" s="367"/>
      <c r="CR53" s="367"/>
      <c r="CS53" s="387">
        <v>10</v>
      </c>
      <c r="CT53" s="398"/>
      <c r="CU53" s="399"/>
      <c r="CV53" s="399"/>
      <c r="CW53" s="399"/>
      <c r="CX53" s="399"/>
      <c r="CY53" s="399"/>
      <c r="CZ53" s="399"/>
      <c r="DA53" s="400">
        <v>1</v>
      </c>
      <c r="DB53" s="522">
        <v>1</v>
      </c>
    </row>
    <row r="54" spans="1:106" x14ac:dyDescent="0.25">
      <c r="A54" s="468" t="s">
        <v>259</v>
      </c>
      <c r="B54" s="468">
        <v>832</v>
      </c>
      <c r="C54" s="468" t="s">
        <v>3635</v>
      </c>
      <c r="D54" s="468">
        <v>1816</v>
      </c>
      <c r="E54" s="468" t="s">
        <v>981</v>
      </c>
      <c r="F54" s="468" t="s">
        <v>982</v>
      </c>
      <c r="G54" s="468" t="s">
        <v>983</v>
      </c>
      <c r="H54" s="468" t="s">
        <v>984</v>
      </c>
      <c r="I54" s="468" t="s">
        <v>54</v>
      </c>
      <c r="J54" s="468" t="s">
        <v>3636</v>
      </c>
      <c r="K54" s="468" t="s">
        <v>985</v>
      </c>
      <c r="L54" s="468" t="s">
        <v>3766</v>
      </c>
      <c r="M54" s="468" t="s">
        <v>4020</v>
      </c>
      <c r="N54" s="460"/>
      <c r="O54" s="294"/>
      <c r="P54" s="294"/>
      <c r="Q54" s="294"/>
      <c r="R54" s="294"/>
      <c r="S54" s="295"/>
      <c r="T54" s="299"/>
      <c r="U54" s="297"/>
      <c r="V54" s="297"/>
      <c r="W54" s="297"/>
      <c r="X54" s="297"/>
      <c r="Y54" s="297"/>
      <c r="Z54" s="297"/>
      <c r="AA54" s="297">
        <v>2</v>
      </c>
      <c r="AB54" s="293"/>
      <c r="AC54" s="294"/>
      <c r="AD54" s="295"/>
      <c r="AE54" s="298"/>
      <c r="AF54" s="296"/>
      <c r="AG54" s="297"/>
      <c r="AH54" s="297"/>
      <c r="AI54" s="297"/>
      <c r="AJ54" s="297"/>
      <c r="AK54" s="297"/>
      <c r="AL54" s="297"/>
      <c r="AM54" s="297"/>
      <c r="AN54" s="300"/>
      <c r="AO54" s="301"/>
      <c r="AP54" s="301">
        <v>1500</v>
      </c>
      <c r="AQ54" s="301"/>
      <c r="AR54" s="301"/>
      <c r="AS54" s="301"/>
      <c r="AT54" s="301"/>
      <c r="AU54" s="301"/>
      <c r="AV54" s="301"/>
      <c r="AW54" s="301"/>
      <c r="AX54" s="301"/>
      <c r="AY54" s="301"/>
      <c r="AZ54" s="301"/>
      <c r="BA54" s="301"/>
      <c r="BB54" s="301"/>
      <c r="BC54" s="301"/>
      <c r="BD54" s="301"/>
      <c r="BE54" s="301"/>
      <c r="BF54" s="302"/>
      <c r="BG54" s="303"/>
      <c r="BH54" s="304"/>
      <c r="BI54" s="304">
        <v>10</v>
      </c>
      <c r="BJ54" s="304"/>
      <c r="BK54" s="304"/>
      <c r="BL54" s="304"/>
      <c r="BM54" s="304"/>
      <c r="BN54" s="304"/>
      <c r="BO54" s="304"/>
      <c r="BP54" s="304"/>
      <c r="BQ54" s="304"/>
      <c r="BR54" s="304"/>
      <c r="BS54" s="304"/>
      <c r="BT54" s="304"/>
      <c r="BU54" s="304"/>
      <c r="BV54" s="304"/>
      <c r="BW54" s="304"/>
      <c r="BX54" s="304"/>
      <c r="BY54" s="305"/>
      <c r="BZ54" s="306"/>
      <c r="CA54" s="307"/>
      <c r="CB54" s="307"/>
      <c r="CC54" s="307"/>
      <c r="CD54" s="307"/>
      <c r="CE54" s="307"/>
      <c r="CF54" s="307"/>
      <c r="CG54" s="332"/>
      <c r="CH54" s="328"/>
      <c r="CI54" s="328"/>
      <c r="CJ54" s="328"/>
      <c r="CK54" s="328"/>
      <c r="CL54" s="328"/>
      <c r="CM54" s="328">
        <v>2</v>
      </c>
      <c r="CN54" s="370"/>
      <c r="CO54" s="367"/>
      <c r="CP54" s="367"/>
      <c r="CQ54" s="367"/>
      <c r="CR54" s="367"/>
      <c r="CS54" s="387">
        <v>10</v>
      </c>
      <c r="CT54" s="398"/>
      <c r="CU54" s="399"/>
      <c r="CV54" s="399"/>
      <c r="CW54" s="399"/>
      <c r="CX54" s="399"/>
      <c r="CY54" s="399"/>
      <c r="CZ54" s="399"/>
      <c r="DA54" s="400">
        <v>1</v>
      </c>
      <c r="DB54" s="522">
        <v>1</v>
      </c>
    </row>
    <row r="55" spans="1:106" x14ac:dyDescent="0.25">
      <c r="A55" s="468" t="s">
        <v>68</v>
      </c>
      <c r="B55" s="468">
        <v>832</v>
      </c>
      <c r="C55" s="468" t="s">
        <v>3655</v>
      </c>
      <c r="D55" s="468">
        <v>1906</v>
      </c>
      <c r="E55" s="468" t="s">
        <v>999</v>
      </c>
      <c r="F55" s="468" t="s">
        <v>995</v>
      </c>
      <c r="G55" s="468" t="s">
        <v>1001</v>
      </c>
      <c r="H55" s="468" t="s">
        <v>72</v>
      </c>
      <c r="I55" s="468" t="s">
        <v>54</v>
      </c>
      <c r="J55" s="468" t="s">
        <v>3656</v>
      </c>
      <c r="K55" s="468" t="s">
        <v>1002</v>
      </c>
      <c r="L55" s="468" t="s">
        <v>3766</v>
      </c>
      <c r="M55" s="468" t="s">
        <v>4020</v>
      </c>
      <c r="N55" s="460"/>
      <c r="O55" s="294"/>
      <c r="P55" s="294"/>
      <c r="Q55" s="294"/>
      <c r="R55" s="294"/>
      <c r="S55" s="295"/>
      <c r="T55" s="299"/>
      <c r="U55" s="297"/>
      <c r="V55" s="297"/>
      <c r="W55" s="297"/>
      <c r="X55" s="297"/>
      <c r="Y55" s="297"/>
      <c r="Z55" s="297"/>
      <c r="AA55" s="297"/>
      <c r="AB55" s="293">
        <v>2</v>
      </c>
      <c r="AC55" s="294"/>
      <c r="AD55" s="295"/>
      <c r="AE55" s="298"/>
      <c r="AF55" s="296"/>
      <c r="AG55" s="297"/>
      <c r="AH55" s="297"/>
      <c r="AI55" s="297"/>
      <c r="AJ55" s="297"/>
      <c r="AK55" s="297"/>
      <c r="AL55" s="297"/>
      <c r="AM55" s="297"/>
      <c r="AN55" s="300"/>
      <c r="AO55" s="301"/>
      <c r="AP55" s="301">
        <v>1500</v>
      </c>
      <c r="AQ55" s="301"/>
      <c r="AR55" s="301"/>
      <c r="AS55" s="301"/>
      <c r="AT55" s="301"/>
      <c r="AU55" s="301"/>
      <c r="AV55" s="301"/>
      <c r="AW55" s="301"/>
      <c r="AX55" s="301"/>
      <c r="AY55" s="301"/>
      <c r="AZ55" s="301"/>
      <c r="BA55" s="301"/>
      <c r="BB55" s="301"/>
      <c r="BC55" s="301"/>
      <c r="BD55" s="301"/>
      <c r="BE55" s="301"/>
      <c r="BF55" s="302"/>
      <c r="BG55" s="303"/>
      <c r="BH55" s="304"/>
      <c r="BI55" s="304">
        <v>10</v>
      </c>
      <c r="BJ55" s="304"/>
      <c r="BK55" s="304"/>
      <c r="BL55" s="304"/>
      <c r="BM55" s="304"/>
      <c r="BN55" s="304"/>
      <c r="BO55" s="304"/>
      <c r="BP55" s="304"/>
      <c r="BQ55" s="304"/>
      <c r="BR55" s="304"/>
      <c r="BS55" s="304"/>
      <c r="BT55" s="304"/>
      <c r="BU55" s="304"/>
      <c r="BV55" s="304"/>
      <c r="BW55" s="304"/>
      <c r="BX55" s="304"/>
      <c r="BY55" s="305"/>
      <c r="BZ55" s="306"/>
      <c r="CA55" s="307"/>
      <c r="CB55" s="307"/>
      <c r="CC55" s="307"/>
      <c r="CD55" s="307"/>
      <c r="CE55" s="307"/>
      <c r="CF55" s="307"/>
      <c r="CG55" s="332"/>
      <c r="CH55" s="328"/>
      <c r="CI55" s="328"/>
      <c r="CJ55" s="328"/>
      <c r="CK55" s="328"/>
      <c r="CL55" s="328"/>
      <c r="CM55" s="328">
        <v>2</v>
      </c>
      <c r="CN55" s="370"/>
      <c r="CO55" s="367"/>
      <c r="CP55" s="367"/>
      <c r="CQ55" s="367"/>
      <c r="CR55" s="367"/>
      <c r="CS55" s="387">
        <v>10</v>
      </c>
      <c r="CT55" s="398"/>
      <c r="CU55" s="399"/>
      <c r="CV55" s="399"/>
      <c r="CW55" s="399"/>
      <c r="CX55" s="399"/>
      <c r="CY55" s="399"/>
      <c r="CZ55" s="399"/>
      <c r="DA55" s="400">
        <v>1</v>
      </c>
      <c r="DB55" s="522">
        <v>1</v>
      </c>
    </row>
    <row r="56" spans="1:106" x14ac:dyDescent="0.25">
      <c r="A56" s="468" t="s">
        <v>49</v>
      </c>
      <c r="B56" s="468">
        <v>812</v>
      </c>
      <c r="C56" s="468" t="s">
        <v>1174</v>
      </c>
      <c r="D56" s="468">
        <v>233</v>
      </c>
      <c r="E56" s="468" t="s">
        <v>1175</v>
      </c>
      <c r="F56" s="468" t="s">
        <v>3026</v>
      </c>
      <c r="G56" s="468" t="s">
        <v>1177</v>
      </c>
      <c r="H56" s="468" t="s">
        <v>1178</v>
      </c>
      <c r="I56" s="468" t="s">
        <v>54</v>
      </c>
      <c r="J56" s="468" t="s">
        <v>3099</v>
      </c>
      <c r="K56" s="468" t="s">
        <v>1179</v>
      </c>
      <c r="L56" s="468" t="s">
        <v>3766</v>
      </c>
      <c r="M56" s="468" t="s">
        <v>4011</v>
      </c>
      <c r="N56" s="460"/>
      <c r="O56" s="294"/>
      <c r="P56" s="294"/>
      <c r="Q56" s="294"/>
      <c r="R56" s="294"/>
      <c r="S56" s="295"/>
      <c r="T56" s="299"/>
      <c r="U56" s="297"/>
      <c r="V56" s="297"/>
      <c r="W56" s="297"/>
      <c r="X56" s="297"/>
      <c r="Y56" s="297"/>
      <c r="Z56" s="297"/>
      <c r="AA56" s="297">
        <v>1</v>
      </c>
      <c r="AB56" s="293">
        <v>0</v>
      </c>
      <c r="AC56" s="294"/>
      <c r="AD56" s="295"/>
      <c r="AE56" s="298"/>
      <c r="AF56" s="296"/>
      <c r="AG56" s="297"/>
      <c r="AH56" s="297"/>
      <c r="AI56" s="297"/>
      <c r="AJ56" s="297"/>
      <c r="AK56" s="297"/>
      <c r="AL56" s="297"/>
      <c r="AM56" s="297"/>
      <c r="AN56" s="300">
        <v>1500</v>
      </c>
      <c r="AO56" s="301"/>
      <c r="AP56" s="301"/>
      <c r="AQ56" s="301"/>
      <c r="AR56" s="301"/>
      <c r="AS56" s="301"/>
      <c r="AT56" s="301"/>
      <c r="AU56" s="301"/>
      <c r="AV56" s="301"/>
      <c r="AW56" s="301"/>
      <c r="AX56" s="301"/>
      <c r="AY56" s="301"/>
      <c r="AZ56" s="301"/>
      <c r="BA56" s="301"/>
      <c r="BB56" s="301"/>
      <c r="BC56" s="301"/>
      <c r="BD56" s="301"/>
      <c r="BE56" s="301"/>
      <c r="BF56" s="302"/>
      <c r="BG56" s="303">
        <v>10</v>
      </c>
      <c r="BH56" s="304"/>
      <c r="BI56" s="304"/>
      <c r="BJ56" s="304"/>
      <c r="BK56" s="304"/>
      <c r="BL56" s="304"/>
      <c r="BM56" s="304"/>
      <c r="BN56" s="304"/>
      <c r="BO56" s="304"/>
      <c r="BP56" s="304"/>
      <c r="BQ56" s="304"/>
      <c r="BR56" s="304"/>
      <c r="BS56" s="304"/>
      <c r="BT56" s="304"/>
      <c r="BU56" s="304"/>
      <c r="BV56" s="304"/>
      <c r="BW56" s="304"/>
      <c r="BX56" s="304"/>
      <c r="BY56" s="305"/>
      <c r="BZ56" s="306"/>
      <c r="CA56" s="307"/>
      <c r="CB56" s="307"/>
      <c r="CC56" s="307"/>
      <c r="CD56" s="307"/>
      <c r="CE56" s="307"/>
      <c r="CF56" s="307"/>
      <c r="CG56" s="332"/>
      <c r="CH56" s="328"/>
      <c r="CI56" s="328"/>
      <c r="CJ56" s="328"/>
      <c r="CK56" s="328"/>
      <c r="CL56" s="328"/>
      <c r="CM56" s="328">
        <v>2</v>
      </c>
      <c r="CN56" s="370"/>
      <c r="CO56" s="367"/>
      <c r="CP56" s="367"/>
      <c r="CQ56" s="367"/>
      <c r="CR56" s="367"/>
      <c r="CS56" s="387">
        <v>10</v>
      </c>
      <c r="CT56" s="398"/>
      <c r="CU56" s="399"/>
      <c r="CV56" s="399"/>
      <c r="CW56" s="399"/>
      <c r="CX56" s="399"/>
      <c r="CY56" s="399"/>
      <c r="CZ56" s="399"/>
      <c r="DA56" s="400">
        <v>1</v>
      </c>
      <c r="DB56" s="522">
        <v>1</v>
      </c>
    </row>
    <row r="57" spans="1:106" x14ac:dyDescent="0.25">
      <c r="A57" s="468" t="s">
        <v>49</v>
      </c>
      <c r="B57" s="468">
        <v>812</v>
      </c>
      <c r="C57" s="468" t="s">
        <v>1185</v>
      </c>
      <c r="D57" s="468">
        <v>235</v>
      </c>
      <c r="E57" s="468" t="s">
        <v>1186</v>
      </c>
      <c r="F57" s="468" t="s">
        <v>3010</v>
      </c>
      <c r="G57" s="468" t="s">
        <v>1188</v>
      </c>
      <c r="H57" s="468" t="s">
        <v>1074</v>
      </c>
      <c r="I57" s="468" t="s">
        <v>54</v>
      </c>
      <c r="J57" s="468" t="s">
        <v>3100</v>
      </c>
      <c r="K57" s="468" t="s">
        <v>1189</v>
      </c>
      <c r="L57" s="468" t="s">
        <v>3766</v>
      </c>
      <c r="M57" s="468" t="s">
        <v>4011</v>
      </c>
      <c r="N57" s="460"/>
      <c r="O57" s="294"/>
      <c r="P57" s="294"/>
      <c r="Q57" s="294"/>
      <c r="R57" s="294"/>
      <c r="S57" s="295"/>
      <c r="T57" s="299"/>
      <c r="U57" s="297"/>
      <c r="V57" s="297"/>
      <c r="W57" s="297"/>
      <c r="X57" s="297"/>
      <c r="Y57" s="297"/>
      <c r="Z57" s="297"/>
      <c r="AA57" s="297"/>
      <c r="AB57" s="293"/>
      <c r="AC57" s="294"/>
      <c r="AD57" s="295"/>
      <c r="AE57" s="298"/>
      <c r="AF57" s="296"/>
      <c r="AG57" s="297"/>
      <c r="AH57" s="297"/>
      <c r="AI57" s="297"/>
      <c r="AJ57" s="297"/>
      <c r="AK57" s="297"/>
      <c r="AL57" s="297"/>
      <c r="AM57" s="297"/>
      <c r="AN57" s="300">
        <v>1500</v>
      </c>
      <c r="AO57" s="301"/>
      <c r="AP57" s="301"/>
      <c r="AQ57" s="301"/>
      <c r="AR57" s="301"/>
      <c r="AS57" s="301"/>
      <c r="AT57" s="301"/>
      <c r="AU57" s="301"/>
      <c r="AV57" s="301"/>
      <c r="AW57" s="301"/>
      <c r="AX57" s="301"/>
      <c r="AY57" s="301"/>
      <c r="AZ57" s="301"/>
      <c r="BA57" s="301"/>
      <c r="BB57" s="301"/>
      <c r="BC57" s="301"/>
      <c r="BD57" s="301"/>
      <c r="BE57" s="301"/>
      <c r="BF57" s="302"/>
      <c r="BG57" s="303">
        <v>10</v>
      </c>
      <c r="BH57" s="304"/>
      <c r="BI57" s="304"/>
      <c r="BJ57" s="304"/>
      <c r="BK57" s="304"/>
      <c r="BL57" s="304"/>
      <c r="BM57" s="304"/>
      <c r="BN57" s="304"/>
      <c r="BO57" s="304"/>
      <c r="BP57" s="304"/>
      <c r="BQ57" s="304"/>
      <c r="BR57" s="304"/>
      <c r="BS57" s="304"/>
      <c r="BT57" s="304"/>
      <c r="BU57" s="304"/>
      <c r="BV57" s="304"/>
      <c r="BW57" s="304"/>
      <c r="BX57" s="304"/>
      <c r="BY57" s="305"/>
      <c r="BZ57" s="308"/>
      <c r="CA57" s="307"/>
      <c r="CB57" s="307"/>
      <c r="CC57" s="307"/>
      <c r="CD57" s="307"/>
      <c r="CE57" s="307"/>
      <c r="CF57" s="309">
        <v>1</v>
      </c>
      <c r="CG57" s="332"/>
      <c r="CH57" s="328"/>
      <c r="CI57" s="328"/>
      <c r="CJ57" s="328"/>
      <c r="CK57" s="328"/>
      <c r="CL57" s="328"/>
      <c r="CM57" s="328">
        <v>2</v>
      </c>
      <c r="CN57" s="370"/>
      <c r="CO57" s="367"/>
      <c r="CP57" s="367"/>
      <c r="CQ57" s="367"/>
      <c r="CR57" s="367"/>
      <c r="CS57" s="387">
        <v>10</v>
      </c>
      <c r="CT57" s="398"/>
      <c r="CU57" s="399"/>
      <c r="CV57" s="399"/>
      <c r="CW57" s="399"/>
      <c r="CX57" s="399"/>
      <c r="CY57" s="399"/>
      <c r="CZ57" s="399"/>
      <c r="DA57" s="400">
        <v>1</v>
      </c>
      <c r="DB57" s="522">
        <v>1</v>
      </c>
    </row>
    <row r="58" spans="1:106" x14ac:dyDescent="0.25">
      <c r="A58" s="468" t="s">
        <v>49</v>
      </c>
      <c r="B58" s="468">
        <v>812</v>
      </c>
      <c r="C58" s="468" t="s">
        <v>1190</v>
      </c>
      <c r="D58" s="468">
        <v>236</v>
      </c>
      <c r="E58" s="468" t="s">
        <v>1191</v>
      </c>
      <c r="F58" s="468" t="s">
        <v>2965</v>
      </c>
      <c r="G58" s="468" t="s">
        <v>1192</v>
      </c>
      <c r="H58" s="468" t="s">
        <v>1074</v>
      </c>
      <c r="I58" s="468" t="s">
        <v>54</v>
      </c>
      <c r="J58" s="468" t="s">
        <v>3101</v>
      </c>
      <c r="K58" s="468" t="s">
        <v>1193</v>
      </c>
      <c r="L58" s="468" t="s">
        <v>3766</v>
      </c>
      <c r="M58" s="468" t="s">
        <v>4011</v>
      </c>
      <c r="N58" s="460"/>
      <c r="O58" s="294"/>
      <c r="P58" s="294"/>
      <c r="Q58" s="294"/>
      <c r="R58" s="294"/>
      <c r="S58" s="295"/>
      <c r="T58" s="299"/>
      <c r="U58" s="297"/>
      <c r="V58" s="297"/>
      <c r="W58" s="297"/>
      <c r="X58" s="297"/>
      <c r="Y58" s="297"/>
      <c r="Z58" s="297"/>
      <c r="AA58" s="297">
        <v>2</v>
      </c>
      <c r="AB58" s="293">
        <v>0</v>
      </c>
      <c r="AC58" s="294"/>
      <c r="AD58" s="295"/>
      <c r="AE58" s="298"/>
      <c r="AF58" s="296"/>
      <c r="AG58" s="297"/>
      <c r="AH58" s="297"/>
      <c r="AI58" s="297"/>
      <c r="AJ58" s="297"/>
      <c r="AK58" s="297"/>
      <c r="AL58" s="297"/>
      <c r="AM58" s="297"/>
      <c r="AN58" s="300">
        <v>1500</v>
      </c>
      <c r="AO58" s="301"/>
      <c r="AP58" s="301"/>
      <c r="AQ58" s="301"/>
      <c r="AR58" s="301"/>
      <c r="AS58" s="301"/>
      <c r="AT58" s="301"/>
      <c r="AU58" s="301"/>
      <c r="AV58" s="301"/>
      <c r="AW58" s="301"/>
      <c r="AX58" s="301"/>
      <c r="AY58" s="301"/>
      <c r="AZ58" s="301"/>
      <c r="BA58" s="301"/>
      <c r="BB58" s="301"/>
      <c r="BC58" s="301"/>
      <c r="BD58" s="301"/>
      <c r="BE58" s="301"/>
      <c r="BF58" s="302"/>
      <c r="BG58" s="303">
        <v>10</v>
      </c>
      <c r="BH58" s="304"/>
      <c r="BI58" s="304"/>
      <c r="BJ58" s="304"/>
      <c r="BK58" s="304"/>
      <c r="BL58" s="304"/>
      <c r="BM58" s="304"/>
      <c r="BN58" s="304"/>
      <c r="BO58" s="304"/>
      <c r="BP58" s="304"/>
      <c r="BQ58" s="304"/>
      <c r="BR58" s="304"/>
      <c r="BS58" s="304"/>
      <c r="BT58" s="304"/>
      <c r="BU58" s="304"/>
      <c r="BV58" s="304"/>
      <c r="BW58" s="304"/>
      <c r="BX58" s="304"/>
      <c r="BY58" s="305"/>
      <c r="BZ58" s="308"/>
      <c r="CA58" s="307"/>
      <c r="CB58" s="307"/>
      <c r="CC58" s="307"/>
      <c r="CD58" s="307"/>
      <c r="CE58" s="307"/>
      <c r="CF58" s="309"/>
      <c r="CG58" s="332"/>
      <c r="CH58" s="328"/>
      <c r="CI58" s="328"/>
      <c r="CJ58" s="328"/>
      <c r="CK58" s="328"/>
      <c r="CL58" s="328"/>
      <c r="CM58" s="328">
        <v>2</v>
      </c>
      <c r="CN58" s="370"/>
      <c r="CO58" s="367"/>
      <c r="CP58" s="367"/>
      <c r="CQ58" s="367"/>
      <c r="CR58" s="367"/>
      <c r="CS58" s="387">
        <v>10</v>
      </c>
      <c r="CT58" s="398"/>
      <c r="CU58" s="399"/>
      <c r="CV58" s="399"/>
      <c r="CW58" s="399"/>
      <c r="CX58" s="399"/>
      <c r="CY58" s="399"/>
      <c r="CZ58" s="399"/>
      <c r="DA58" s="400">
        <v>1</v>
      </c>
      <c r="DB58" s="522">
        <v>1</v>
      </c>
    </row>
    <row r="59" spans="1:106" x14ac:dyDescent="0.25">
      <c r="A59" s="468" t="s">
        <v>49</v>
      </c>
      <c r="B59" s="468">
        <v>812</v>
      </c>
      <c r="C59" s="468" t="s">
        <v>1194</v>
      </c>
      <c r="D59" s="468">
        <v>243</v>
      </c>
      <c r="E59" s="468" t="s">
        <v>1195</v>
      </c>
      <c r="F59" s="468" t="s">
        <v>1196</v>
      </c>
      <c r="G59" s="468" t="s">
        <v>1197</v>
      </c>
      <c r="H59" s="468" t="s">
        <v>1074</v>
      </c>
      <c r="I59" s="468" t="s">
        <v>54</v>
      </c>
      <c r="J59" s="468" t="s">
        <v>3105</v>
      </c>
      <c r="K59" s="468" t="s">
        <v>1198</v>
      </c>
      <c r="L59" s="468" t="s">
        <v>3766</v>
      </c>
      <c r="M59" s="468" t="s">
        <v>4011</v>
      </c>
      <c r="N59" s="460"/>
      <c r="O59" s="294"/>
      <c r="P59" s="294"/>
      <c r="Q59" s="294"/>
      <c r="R59" s="294"/>
      <c r="S59" s="295"/>
      <c r="T59" s="299"/>
      <c r="U59" s="297"/>
      <c r="V59" s="297"/>
      <c r="W59" s="297"/>
      <c r="X59" s="297"/>
      <c r="Y59" s="297"/>
      <c r="Z59" s="297"/>
      <c r="AA59" s="297">
        <v>1</v>
      </c>
      <c r="AB59" s="293">
        <v>0</v>
      </c>
      <c r="AC59" s="294"/>
      <c r="AD59" s="295"/>
      <c r="AE59" s="298"/>
      <c r="AF59" s="296">
        <v>0</v>
      </c>
      <c r="AG59" s="297"/>
      <c r="AH59" s="297"/>
      <c r="AI59" s="297"/>
      <c r="AJ59" s="297"/>
      <c r="AK59" s="297"/>
      <c r="AL59" s="297"/>
      <c r="AM59" s="297"/>
      <c r="AN59" s="300">
        <v>1500</v>
      </c>
      <c r="AO59" s="301"/>
      <c r="AP59" s="301"/>
      <c r="AQ59" s="301"/>
      <c r="AR59" s="301"/>
      <c r="AS59" s="301"/>
      <c r="AT59" s="301"/>
      <c r="AU59" s="301"/>
      <c r="AV59" s="301"/>
      <c r="AW59" s="301"/>
      <c r="AX59" s="301"/>
      <c r="AY59" s="301"/>
      <c r="AZ59" s="301"/>
      <c r="BA59" s="301"/>
      <c r="BB59" s="301"/>
      <c r="BC59" s="301"/>
      <c r="BD59" s="301"/>
      <c r="BE59" s="301"/>
      <c r="BF59" s="302"/>
      <c r="BG59" s="303">
        <v>10</v>
      </c>
      <c r="BH59" s="304"/>
      <c r="BI59" s="304"/>
      <c r="BJ59" s="304"/>
      <c r="BK59" s="304"/>
      <c r="BL59" s="304"/>
      <c r="BM59" s="304"/>
      <c r="BN59" s="304"/>
      <c r="BO59" s="304"/>
      <c r="BP59" s="304"/>
      <c r="BQ59" s="304"/>
      <c r="BR59" s="304"/>
      <c r="BS59" s="304"/>
      <c r="BT59" s="304"/>
      <c r="BU59" s="304"/>
      <c r="BV59" s="304"/>
      <c r="BW59" s="304"/>
      <c r="BX59" s="304"/>
      <c r="BY59" s="305"/>
      <c r="BZ59" s="308"/>
      <c r="CA59" s="307"/>
      <c r="CB59" s="307"/>
      <c r="CC59" s="307"/>
      <c r="CD59" s="307"/>
      <c r="CE59" s="307"/>
      <c r="CF59" s="309"/>
      <c r="CG59" s="332"/>
      <c r="CH59" s="328"/>
      <c r="CI59" s="328"/>
      <c r="CJ59" s="328"/>
      <c r="CK59" s="328"/>
      <c r="CL59" s="328"/>
      <c r="CM59" s="328">
        <v>2</v>
      </c>
      <c r="CN59" s="370"/>
      <c r="CO59" s="367"/>
      <c r="CP59" s="367"/>
      <c r="CQ59" s="367"/>
      <c r="CR59" s="367"/>
      <c r="CS59" s="387">
        <v>10</v>
      </c>
      <c r="CT59" s="398"/>
      <c r="CU59" s="399"/>
      <c r="CV59" s="399"/>
      <c r="CW59" s="399"/>
      <c r="CX59" s="399"/>
      <c r="CY59" s="399"/>
      <c r="CZ59" s="399"/>
      <c r="DA59" s="400">
        <v>1</v>
      </c>
      <c r="DB59" s="522">
        <v>1</v>
      </c>
    </row>
    <row r="60" spans="1:106" x14ac:dyDescent="0.25">
      <c r="A60" s="468" t="s">
        <v>49</v>
      </c>
      <c r="B60" s="468">
        <v>812</v>
      </c>
      <c r="C60" s="468" t="s">
        <v>1214</v>
      </c>
      <c r="D60" s="468">
        <v>279</v>
      </c>
      <c r="E60" s="468" t="s">
        <v>1215</v>
      </c>
      <c r="F60" s="468" t="s">
        <v>1216</v>
      </c>
      <c r="G60" s="468" t="s">
        <v>1217</v>
      </c>
      <c r="H60" s="468" t="s">
        <v>1074</v>
      </c>
      <c r="I60" s="468" t="s">
        <v>54</v>
      </c>
      <c r="J60" s="468" t="s">
        <v>3126</v>
      </c>
      <c r="K60" s="468" t="s">
        <v>1218</v>
      </c>
      <c r="L60" s="468" t="s">
        <v>3766</v>
      </c>
      <c r="M60" s="468" t="s">
        <v>4011</v>
      </c>
      <c r="N60" s="460"/>
      <c r="O60" s="294"/>
      <c r="P60" s="294"/>
      <c r="Q60" s="294"/>
      <c r="R60" s="294"/>
      <c r="S60" s="295"/>
      <c r="T60" s="299"/>
      <c r="U60" s="297"/>
      <c r="V60" s="297"/>
      <c r="W60" s="297"/>
      <c r="X60" s="297"/>
      <c r="Y60" s="297"/>
      <c r="Z60" s="297"/>
      <c r="AA60" s="297">
        <v>1</v>
      </c>
      <c r="AB60" s="293">
        <v>0</v>
      </c>
      <c r="AC60" s="294"/>
      <c r="AD60" s="295"/>
      <c r="AE60" s="298"/>
      <c r="AF60" s="296">
        <v>0</v>
      </c>
      <c r="AG60" s="297"/>
      <c r="AH60" s="297"/>
      <c r="AI60" s="297"/>
      <c r="AJ60" s="297"/>
      <c r="AK60" s="297"/>
      <c r="AL60" s="297"/>
      <c r="AM60" s="297"/>
      <c r="AN60" s="300">
        <v>1500</v>
      </c>
      <c r="AO60" s="301"/>
      <c r="AP60" s="301"/>
      <c r="AQ60" s="301"/>
      <c r="AR60" s="301"/>
      <c r="AS60" s="301"/>
      <c r="AT60" s="301"/>
      <c r="AU60" s="301"/>
      <c r="AV60" s="301"/>
      <c r="AW60" s="301"/>
      <c r="AX60" s="301"/>
      <c r="AY60" s="301"/>
      <c r="AZ60" s="301"/>
      <c r="BA60" s="301"/>
      <c r="BB60" s="301"/>
      <c r="BC60" s="301"/>
      <c r="BD60" s="301"/>
      <c r="BE60" s="301"/>
      <c r="BF60" s="302"/>
      <c r="BG60" s="303">
        <v>10</v>
      </c>
      <c r="BH60" s="304"/>
      <c r="BI60" s="304"/>
      <c r="BJ60" s="304"/>
      <c r="BK60" s="304"/>
      <c r="BL60" s="304"/>
      <c r="BM60" s="304"/>
      <c r="BN60" s="304"/>
      <c r="BO60" s="304"/>
      <c r="BP60" s="304"/>
      <c r="BQ60" s="304"/>
      <c r="BR60" s="304"/>
      <c r="BS60" s="304"/>
      <c r="BT60" s="304"/>
      <c r="BU60" s="304"/>
      <c r="BV60" s="304"/>
      <c r="BW60" s="304"/>
      <c r="BX60" s="304"/>
      <c r="BY60" s="305"/>
      <c r="BZ60" s="308"/>
      <c r="CA60" s="307"/>
      <c r="CB60" s="307"/>
      <c r="CC60" s="307"/>
      <c r="CD60" s="307"/>
      <c r="CE60" s="307"/>
      <c r="CF60" s="309"/>
      <c r="CG60" s="332"/>
      <c r="CH60" s="328"/>
      <c r="CI60" s="328"/>
      <c r="CJ60" s="328"/>
      <c r="CK60" s="328"/>
      <c r="CL60" s="328"/>
      <c r="CM60" s="328">
        <v>2</v>
      </c>
      <c r="CN60" s="370"/>
      <c r="CO60" s="367"/>
      <c r="CP60" s="367"/>
      <c r="CQ60" s="367"/>
      <c r="CR60" s="367"/>
      <c r="CS60" s="387">
        <v>10</v>
      </c>
      <c r="CT60" s="398"/>
      <c r="CU60" s="399"/>
      <c r="CV60" s="399"/>
      <c r="CW60" s="399"/>
      <c r="CX60" s="399"/>
      <c r="CY60" s="399"/>
      <c r="CZ60" s="399"/>
      <c r="DA60" s="400">
        <v>1</v>
      </c>
      <c r="DB60" s="522">
        <v>1</v>
      </c>
    </row>
    <row r="61" spans="1:106" x14ac:dyDescent="0.25">
      <c r="A61" s="468" t="s">
        <v>49</v>
      </c>
      <c r="B61" s="468">
        <v>812</v>
      </c>
      <c r="C61" s="468" t="s">
        <v>3399</v>
      </c>
      <c r="D61" s="468">
        <v>1205</v>
      </c>
      <c r="E61" s="468" t="s">
        <v>1016</v>
      </c>
      <c r="F61" s="468" t="s">
        <v>1017</v>
      </c>
      <c r="G61" s="468" t="s">
        <v>1018</v>
      </c>
      <c r="H61" s="468" t="s">
        <v>1019</v>
      </c>
      <c r="I61" s="468" t="s">
        <v>54</v>
      </c>
      <c r="J61" s="468" t="s">
        <v>3089</v>
      </c>
      <c r="K61" s="468" t="s">
        <v>1020</v>
      </c>
      <c r="L61" s="468" t="s">
        <v>3766</v>
      </c>
      <c r="M61" s="468" t="s">
        <v>4011</v>
      </c>
      <c r="N61" s="460"/>
      <c r="O61" s="294"/>
      <c r="P61" s="294"/>
      <c r="Q61" s="294"/>
      <c r="R61" s="294"/>
      <c r="S61" s="295"/>
      <c r="T61" s="299"/>
      <c r="U61" s="297"/>
      <c r="V61" s="297"/>
      <c r="W61" s="297"/>
      <c r="X61" s="297"/>
      <c r="Y61" s="297"/>
      <c r="Z61" s="297"/>
      <c r="AA61" s="297">
        <v>2</v>
      </c>
      <c r="AB61" s="293">
        <v>0</v>
      </c>
      <c r="AC61" s="294"/>
      <c r="AD61" s="295"/>
      <c r="AE61" s="298"/>
      <c r="AF61" s="296">
        <v>0</v>
      </c>
      <c r="AG61" s="297"/>
      <c r="AH61" s="297"/>
      <c r="AI61" s="297"/>
      <c r="AJ61" s="297"/>
      <c r="AK61" s="297"/>
      <c r="AL61" s="297"/>
      <c r="AM61" s="297"/>
      <c r="AN61" s="300">
        <v>1500</v>
      </c>
      <c r="AO61" s="301"/>
      <c r="AP61" s="301"/>
      <c r="AQ61" s="301"/>
      <c r="AR61" s="301"/>
      <c r="AS61" s="301"/>
      <c r="AT61" s="301"/>
      <c r="AU61" s="301"/>
      <c r="AV61" s="301"/>
      <c r="AW61" s="301"/>
      <c r="AX61" s="301"/>
      <c r="AY61" s="301"/>
      <c r="AZ61" s="301"/>
      <c r="BA61" s="301"/>
      <c r="BB61" s="301"/>
      <c r="BC61" s="301"/>
      <c r="BD61" s="301"/>
      <c r="BE61" s="301"/>
      <c r="BF61" s="302"/>
      <c r="BG61" s="303">
        <v>10</v>
      </c>
      <c r="BH61" s="304"/>
      <c r="BI61" s="304"/>
      <c r="BJ61" s="304"/>
      <c r="BK61" s="304"/>
      <c r="BL61" s="304"/>
      <c r="BM61" s="304"/>
      <c r="BN61" s="304"/>
      <c r="BO61" s="304"/>
      <c r="BP61" s="304"/>
      <c r="BQ61" s="304"/>
      <c r="BR61" s="304"/>
      <c r="BS61" s="304"/>
      <c r="BT61" s="304"/>
      <c r="BU61" s="304"/>
      <c r="BV61" s="304"/>
      <c r="BW61" s="304"/>
      <c r="BX61" s="304"/>
      <c r="BY61" s="305"/>
      <c r="BZ61" s="308"/>
      <c r="CA61" s="307"/>
      <c r="CB61" s="307"/>
      <c r="CC61" s="307"/>
      <c r="CD61" s="307"/>
      <c r="CE61" s="307"/>
      <c r="CF61" s="309"/>
      <c r="CG61" s="332"/>
      <c r="CH61" s="328"/>
      <c r="CI61" s="328"/>
      <c r="CJ61" s="328"/>
      <c r="CK61" s="328"/>
      <c r="CL61" s="328"/>
      <c r="CM61" s="328">
        <v>2</v>
      </c>
      <c r="CN61" s="370"/>
      <c r="CO61" s="367"/>
      <c r="CP61" s="367"/>
      <c r="CQ61" s="367"/>
      <c r="CR61" s="367"/>
      <c r="CS61" s="387">
        <v>10</v>
      </c>
      <c r="CT61" s="398"/>
      <c r="CU61" s="399"/>
      <c r="CV61" s="399"/>
      <c r="CW61" s="399"/>
      <c r="CX61" s="399"/>
      <c r="CY61" s="399"/>
      <c r="CZ61" s="399"/>
      <c r="DA61" s="400">
        <v>1</v>
      </c>
      <c r="DB61" s="522">
        <v>1</v>
      </c>
    </row>
    <row r="62" spans="1:106" x14ac:dyDescent="0.25">
      <c r="A62" s="468" t="s">
        <v>49</v>
      </c>
      <c r="B62" s="468">
        <v>812</v>
      </c>
      <c r="C62" s="468" t="s">
        <v>3400</v>
      </c>
      <c r="D62" s="468">
        <v>1206</v>
      </c>
      <c r="E62" s="468" t="s">
        <v>1021</v>
      </c>
      <c r="F62" s="468" t="s">
        <v>3015</v>
      </c>
      <c r="G62" s="468" t="s">
        <v>1023</v>
      </c>
      <c r="H62" s="468" t="s">
        <v>1024</v>
      </c>
      <c r="I62" s="468" t="s">
        <v>54</v>
      </c>
      <c r="J62" s="468" t="s">
        <v>3401</v>
      </c>
      <c r="K62" s="468" t="s">
        <v>1025</v>
      </c>
      <c r="L62" s="468" t="s">
        <v>3766</v>
      </c>
      <c r="M62" s="468" t="s">
        <v>4011</v>
      </c>
      <c r="N62" s="460"/>
      <c r="O62" s="294"/>
      <c r="P62" s="294"/>
      <c r="Q62" s="294"/>
      <c r="R62" s="294"/>
      <c r="S62" s="295"/>
      <c r="T62" s="299"/>
      <c r="U62" s="297"/>
      <c r="V62" s="297"/>
      <c r="W62" s="297"/>
      <c r="X62" s="297"/>
      <c r="Y62" s="297"/>
      <c r="Z62" s="297"/>
      <c r="AA62" s="297">
        <v>2</v>
      </c>
      <c r="AB62" s="293">
        <v>0</v>
      </c>
      <c r="AC62" s="294"/>
      <c r="AD62" s="295"/>
      <c r="AE62" s="298"/>
      <c r="AF62" s="296">
        <v>0</v>
      </c>
      <c r="AG62" s="297"/>
      <c r="AH62" s="297"/>
      <c r="AI62" s="297"/>
      <c r="AJ62" s="297"/>
      <c r="AK62" s="297"/>
      <c r="AL62" s="297"/>
      <c r="AM62" s="297"/>
      <c r="AN62" s="300">
        <v>1500</v>
      </c>
      <c r="AO62" s="301"/>
      <c r="AP62" s="301"/>
      <c r="AQ62" s="301"/>
      <c r="AR62" s="301"/>
      <c r="AS62" s="301"/>
      <c r="AT62" s="301"/>
      <c r="AU62" s="301"/>
      <c r="AV62" s="301"/>
      <c r="AW62" s="301"/>
      <c r="AX62" s="301"/>
      <c r="AY62" s="301"/>
      <c r="AZ62" s="301"/>
      <c r="BA62" s="301"/>
      <c r="BB62" s="301"/>
      <c r="BC62" s="301"/>
      <c r="BD62" s="301"/>
      <c r="BE62" s="301"/>
      <c r="BF62" s="302"/>
      <c r="BG62" s="303">
        <v>10</v>
      </c>
      <c r="BH62" s="304"/>
      <c r="BI62" s="304"/>
      <c r="BJ62" s="304"/>
      <c r="BK62" s="304"/>
      <c r="BL62" s="304"/>
      <c r="BM62" s="304"/>
      <c r="BN62" s="304"/>
      <c r="BO62" s="304"/>
      <c r="BP62" s="304"/>
      <c r="BQ62" s="304"/>
      <c r="BR62" s="304"/>
      <c r="BS62" s="304"/>
      <c r="BT62" s="304"/>
      <c r="BU62" s="304"/>
      <c r="BV62" s="304"/>
      <c r="BW62" s="304"/>
      <c r="BX62" s="304"/>
      <c r="BY62" s="305"/>
      <c r="BZ62" s="308"/>
      <c r="CA62" s="307"/>
      <c r="CB62" s="307"/>
      <c r="CC62" s="307"/>
      <c r="CD62" s="307"/>
      <c r="CE62" s="307"/>
      <c r="CF62" s="309"/>
      <c r="CG62" s="332"/>
      <c r="CH62" s="328"/>
      <c r="CI62" s="328"/>
      <c r="CJ62" s="328"/>
      <c r="CK62" s="328"/>
      <c r="CL62" s="328"/>
      <c r="CM62" s="328">
        <v>2</v>
      </c>
      <c r="CN62" s="370"/>
      <c r="CO62" s="367"/>
      <c r="CP62" s="367"/>
      <c r="CQ62" s="367"/>
      <c r="CR62" s="367"/>
      <c r="CS62" s="387">
        <v>10</v>
      </c>
      <c r="CT62" s="398"/>
      <c r="CU62" s="399"/>
      <c r="CV62" s="399"/>
      <c r="CW62" s="399"/>
      <c r="CX62" s="399"/>
      <c r="CY62" s="399"/>
      <c r="CZ62" s="399"/>
      <c r="DA62" s="400">
        <v>1</v>
      </c>
      <c r="DB62" s="522">
        <v>1</v>
      </c>
    </row>
    <row r="63" spans="1:106" x14ac:dyDescent="0.25">
      <c r="A63" s="468" t="s">
        <v>49</v>
      </c>
      <c r="B63" s="468">
        <v>812</v>
      </c>
      <c r="C63" s="468" t="s">
        <v>3404</v>
      </c>
      <c r="D63" s="468">
        <v>1208</v>
      </c>
      <c r="E63" s="468" t="s">
        <v>1031</v>
      </c>
      <c r="F63" s="468" t="s">
        <v>1032</v>
      </c>
      <c r="G63" s="468" t="s">
        <v>1033</v>
      </c>
      <c r="H63" s="468" t="s">
        <v>1024</v>
      </c>
      <c r="I63" s="468" t="s">
        <v>54</v>
      </c>
      <c r="J63" s="468" t="s">
        <v>3401</v>
      </c>
      <c r="K63" s="468" t="s">
        <v>1034</v>
      </c>
      <c r="L63" s="468" t="s">
        <v>3766</v>
      </c>
      <c r="M63" s="468" t="s">
        <v>4011</v>
      </c>
      <c r="N63" s="460"/>
      <c r="O63" s="294"/>
      <c r="P63" s="294"/>
      <c r="Q63" s="294"/>
      <c r="R63" s="294"/>
      <c r="S63" s="295"/>
      <c r="T63" s="299"/>
      <c r="U63" s="297"/>
      <c r="V63" s="297"/>
      <c r="W63" s="297"/>
      <c r="X63" s="297"/>
      <c r="Y63" s="297"/>
      <c r="Z63" s="297"/>
      <c r="AA63" s="297">
        <v>2</v>
      </c>
      <c r="AB63" s="293">
        <v>0</v>
      </c>
      <c r="AC63" s="294"/>
      <c r="AD63" s="295"/>
      <c r="AE63" s="298"/>
      <c r="AF63" s="296">
        <v>0</v>
      </c>
      <c r="AG63" s="297"/>
      <c r="AH63" s="297"/>
      <c r="AI63" s="297"/>
      <c r="AJ63" s="297"/>
      <c r="AK63" s="297"/>
      <c r="AL63" s="297"/>
      <c r="AM63" s="297"/>
      <c r="AN63" s="300">
        <v>1500</v>
      </c>
      <c r="AO63" s="301"/>
      <c r="AP63" s="301"/>
      <c r="AQ63" s="301"/>
      <c r="AR63" s="301"/>
      <c r="AS63" s="301"/>
      <c r="AT63" s="301"/>
      <c r="AU63" s="301"/>
      <c r="AV63" s="301"/>
      <c r="AW63" s="301"/>
      <c r="AX63" s="301"/>
      <c r="AY63" s="301"/>
      <c r="AZ63" s="301"/>
      <c r="BA63" s="301"/>
      <c r="BB63" s="301"/>
      <c r="BC63" s="301"/>
      <c r="BD63" s="301"/>
      <c r="BE63" s="301"/>
      <c r="BF63" s="302"/>
      <c r="BG63" s="303">
        <v>10</v>
      </c>
      <c r="BH63" s="304"/>
      <c r="BI63" s="304"/>
      <c r="BJ63" s="304"/>
      <c r="BK63" s="304"/>
      <c r="BL63" s="304"/>
      <c r="BM63" s="304"/>
      <c r="BN63" s="304"/>
      <c r="BO63" s="304"/>
      <c r="BP63" s="304"/>
      <c r="BQ63" s="304"/>
      <c r="BR63" s="304"/>
      <c r="BS63" s="304"/>
      <c r="BT63" s="304"/>
      <c r="BU63" s="304"/>
      <c r="BV63" s="304"/>
      <c r="BW63" s="304"/>
      <c r="BX63" s="304"/>
      <c r="BY63" s="305"/>
      <c r="BZ63" s="308"/>
      <c r="CA63" s="307"/>
      <c r="CB63" s="307"/>
      <c r="CC63" s="307"/>
      <c r="CD63" s="307"/>
      <c r="CE63" s="307"/>
      <c r="CF63" s="309"/>
      <c r="CG63" s="332"/>
      <c r="CH63" s="328"/>
      <c r="CI63" s="328"/>
      <c r="CJ63" s="328"/>
      <c r="CK63" s="328"/>
      <c r="CL63" s="328"/>
      <c r="CM63" s="328">
        <v>2</v>
      </c>
      <c r="CN63" s="370"/>
      <c r="CO63" s="367"/>
      <c r="CP63" s="367"/>
      <c r="CQ63" s="367"/>
      <c r="CR63" s="367"/>
      <c r="CS63" s="387">
        <v>10</v>
      </c>
      <c r="CT63" s="398"/>
      <c r="CU63" s="399"/>
      <c r="CV63" s="399"/>
      <c r="CW63" s="399"/>
      <c r="CX63" s="399"/>
      <c r="CY63" s="399"/>
      <c r="CZ63" s="399"/>
      <c r="DA63" s="400">
        <v>1</v>
      </c>
      <c r="DB63" s="522">
        <v>1</v>
      </c>
    </row>
    <row r="64" spans="1:106" x14ac:dyDescent="0.25">
      <c r="A64" s="468" t="s">
        <v>49</v>
      </c>
      <c r="B64" s="468">
        <v>812</v>
      </c>
      <c r="C64" s="468" t="s">
        <v>3413</v>
      </c>
      <c r="D64" s="468">
        <v>1215</v>
      </c>
      <c r="E64" s="468" t="s">
        <v>1053</v>
      </c>
      <c r="F64" s="468" t="s">
        <v>1182</v>
      </c>
      <c r="G64" s="468" t="s">
        <v>1054</v>
      </c>
      <c r="H64" s="468" t="s">
        <v>1055</v>
      </c>
      <c r="I64" s="468" t="s">
        <v>54</v>
      </c>
      <c r="J64" s="468" t="s">
        <v>3414</v>
      </c>
      <c r="K64" s="468" t="s">
        <v>1056</v>
      </c>
      <c r="L64" s="468" t="s">
        <v>3766</v>
      </c>
      <c r="M64" s="468" t="s">
        <v>4011</v>
      </c>
      <c r="N64" s="460"/>
      <c r="O64" s="294"/>
      <c r="P64" s="294"/>
      <c r="Q64" s="294"/>
      <c r="R64" s="294"/>
      <c r="S64" s="295"/>
      <c r="T64" s="299"/>
      <c r="U64" s="297"/>
      <c r="V64" s="297"/>
      <c r="W64" s="297"/>
      <c r="X64" s="297"/>
      <c r="Y64" s="297"/>
      <c r="Z64" s="297"/>
      <c r="AA64" s="297">
        <v>1</v>
      </c>
      <c r="AB64" s="293">
        <v>0</v>
      </c>
      <c r="AC64" s="294"/>
      <c r="AD64" s="295"/>
      <c r="AE64" s="298"/>
      <c r="AF64" s="296">
        <v>0</v>
      </c>
      <c r="AG64" s="297"/>
      <c r="AH64" s="297"/>
      <c r="AI64" s="297"/>
      <c r="AJ64" s="297"/>
      <c r="AK64" s="297"/>
      <c r="AL64" s="297"/>
      <c r="AM64" s="297"/>
      <c r="AN64" s="300">
        <v>1500</v>
      </c>
      <c r="AO64" s="301"/>
      <c r="AP64" s="301"/>
      <c r="AQ64" s="301"/>
      <c r="AR64" s="301"/>
      <c r="AS64" s="301"/>
      <c r="AT64" s="301"/>
      <c r="AU64" s="301"/>
      <c r="AV64" s="301"/>
      <c r="AW64" s="301"/>
      <c r="AX64" s="301"/>
      <c r="AY64" s="301"/>
      <c r="AZ64" s="301"/>
      <c r="BA64" s="301"/>
      <c r="BB64" s="301"/>
      <c r="BC64" s="301"/>
      <c r="BD64" s="301"/>
      <c r="BE64" s="301"/>
      <c r="BF64" s="302"/>
      <c r="BG64" s="303">
        <v>10</v>
      </c>
      <c r="BH64" s="304"/>
      <c r="BI64" s="304"/>
      <c r="BJ64" s="304"/>
      <c r="BK64" s="304"/>
      <c r="BL64" s="304"/>
      <c r="BM64" s="304"/>
      <c r="BN64" s="304"/>
      <c r="BO64" s="304"/>
      <c r="BP64" s="304"/>
      <c r="BQ64" s="304"/>
      <c r="BR64" s="304"/>
      <c r="BS64" s="304"/>
      <c r="BT64" s="304"/>
      <c r="BU64" s="304"/>
      <c r="BV64" s="304"/>
      <c r="BW64" s="304"/>
      <c r="BX64" s="304"/>
      <c r="BY64" s="305"/>
      <c r="BZ64" s="308"/>
      <c r="CA64" s="307"/>
      <c r="CB64" s="307"/>
      <c r="CC64" s="307"/>
      <c r="CD64" s="307"/>
      <c r="CE64" s="307"/>
      <c r="CF64" s="309"/>
      <c r="CG64" s="332"/>
      <c r="CH64" s="328"/>
      <c r="CI64" s="328"/>
      <c r="CJ64" s="328"/>
      <c r="CK64" s="328"/>
      <c r="CL64" s="328"/>
      <c r="CM64" s="328">
        <v>2</v>
      </c>
      <c r="CN64" s="370"/>
      <c r="CO64" s="367"/>
      <c r="CP64" s="367"/>
      <c r="CQ64" s="367"/>
      <c r="CR64" s="367"/>
      <c r="CS64" s="387">
        <v>10</v>
      </c>
      <c r="CT64" s="398"/>
      <c r="CU64" s="399"/>
      <c r="CV64" s="399"/>
      <c r="CW64" s="399"/>
      <c r="CX64" s="399"/>
      <c r="CY64" s="399"/>
      <c r="CZ64" s="399"/>
      <c r="DA64" s="400">
        <v>1</v>
      </c>
      <c r="DB64" s="522">
        <v>1</v>
      </c>
    </row>
    <row r="65" spans="1:106" x14ac:dyDescent="0.25">
      <c r="A65" s="468" t="s">
        <v>49</v>
      </c>
      <c r="B65" s="468">
        <v>832</v>
      </c>
      <c r="C65" s="468" t="s">
        <v>3429</v>
      </c>
      <c r="D65" s="468">
        <v>1236</v>
      </c>
      <c r="E65" s="468" t="s">
        <v>1076</v>
      </c>
      <c r="F65" s="468" t="s">
        <v>1077</v>
      </c>
      <c r="G65" s="468" t="s">
        <v>1078</v>
      </c>
      <c r="H65" s="468" t="s">
        <v>1079</v>
      </c>
      <c r="I65" s="468" t="s">
        <v>54</v>
      </c>
      <c r="J65" s="468" t="s">
        <v>3430</v>
      </c>
      <c r="K65" s="468" t="s">
        <v>1080</v>
      </c>
      <c r="L65" s="468" t="s">
        <v>3766</v>
      </c>
      <c r="M65" s="468" t="s">
        <v>4011</v>
      </c>
      <c r="N65" s="460"/>
      <c r="O65" s="294"/>
      <c r="P65" s="294"/>
      <c r="Q65" s="294"/>
      <c r="R65" s="294"/>
      <c r="S65" s="295"/>
      <c r="T65" s="299"/>
      <c r="U65" s="297"/>
      <c r="V65" s="297"/>
      <c r="W65" s="297"/>
      <c r="X65" s="297"/>
      <c r="Y65" s="297"/>
      <c r="Z65" s="297"/>
      <c r="AA65" s="297">
        <v>2</v>
      </c>
      <c r="AB65" s="293">
        <v>0</v>
      </c>
      <c r="AC65" s="294"/>
      <c r="AD65" s="295"/>
      <c r="AE65" s="298"/>
      <c r="AF65" s="296">
        <v>0</v>
      </c>
      <c r="AG65" s="297"/>
      <c r="AH65" s="297"/>
      <c r="AI65" s="297"/>
      <c r="AJ65" s="297"/>
      <c r="AK65" s="297"/>
      <c r="AL65" s="297"/>
      <c r="AM65" s="297"/>
      <c r="AN65" s="300">
        <v>1500</v>
      </c>
      <c r="AO65" s="301"/>
      <c r="AP65" s="301"/>
      <c r="AQ65" s="301"/>
      <c r="AR65" s="301"/>
      <c r="AS65" s="301"/>
      <c r="AT65" s="301"/>
      <c r="AU65" s="301"/>
      <c r="AV65" s="301"/>
      <c r="AW65" s="301"/>
      <c r="AX65" s="301"/>
      <c r="AY65" s="301"/>
      <c r="AZ65" s="301"/>
      <c r="BA65" s="301"/>
      <c r="BB65" s="301"/>
      <c r="BC65" s="301"/>
      <c r="BD65" s="301"/>
      <c r="BE65" s="301"/>
      <c r="BF65" s="302"/>
      <c r="BG65" s="303">
        <v>10</v>
      </c>
      <c r="BH65" s="304"/>
      <c r="BI65" s="304"/>
      <c r="BJ65" s="304"/>
      <c r="BK65" s="304"/>
      <c r="BL65" s="304"/>
      <c r="BM65" s="304"/>
      <c r="BN65" s="304"/>
      <c r="BO65" s="304"/>
      <c r="BP65" s="304"/>
      <c r="BQ65" s="304"/>
      <c r="BR65" s="304"/>
      <c r="BS65" s="304"/>
      <c r="BT65" s="304"/>
      <c r="BU65" s="304"/>
      <c r="BV65" s="304"/>
      <c r="BW65" s="304"/>
      <c r="BX65" s="304"/>
      <c r="BY65" s="305"/>
      <c r="BZ65" s="308"/>
      <c r="CA65" s="307"/>
      <c r="CB65" s="307"/>
      <c r="CC65" s="307"/>
      <c r="CD65" s="307"/>
      <c r="CE65" s="307"/>
      <c r="CF65" s="309"/>
      <c r="CG65" s="332"/>
      <c r="CH65" s="328"/>
      <c r="CI65" s="328"/>
      <c r="CJ65" s="328"/>
      <c r="CK65" s="328"/>
      <c r="CL65" s="328"/>
      <c r="CM65" s="328">
        <v>2</v>
      </c>
      <c r="CN65" s="370"/>
      <c r="CO65" s="367"/>
      <c r="CP65" s="367"/>
      <c r="CQ65" s="367"/>
      <c r="CR65" s="367"/>
      <c r="CS65" s="387">
        <v>10</v>
      </c>
      <c r="CT65" s="398"/>
      <c r="CU65" s="399"/>
      <c r="CV65" s="399"/>
      <c r="CW65" s="399"/>
      <c r="CX65" s="399"/>
      <c r="CY65" s="399"/>
      <c r="CZ65" s="399"/>
      <c r="DA65" s="400">
        <v>1</v>
      </c>
      <c r="DB65" s="522">
        <v>1</v>
      </c>
    </row>
    <row r="66" spans="1:106" x14ac:dyDescent="0.25">
      <c r="A66" s="468" t="s">
        <v>49</v>
      </c>
      <c r="B66" s="468">
        <v>832</v>
      </c>
      <c r="C66" s="468" t="s">
        <v>3438</v>
      </c>
      <c r="D66" s="468">
        <v>1242</v>
      </c>
      <c r="E66" s="468" t="s">
        <v>1098</v>
      </c>
      <c r="F66" s="468" t="s">
        <v>1099</v>
      </c>
      <c r="G66" s="468" t="s">
        <v>1100</v>
      </c>
      <c r="H66" s="468" t="s">
        <v>1074</v>
      </c>
      <c r="I66" s="468" t="s">
        <v>54</v>
      </c>
      <c r="J66" s="468" t="s">
        <v>3101</v>
      </c>
      <c r="K66" s="468" t="s">
        <v>1101</v>
      </c>
      <c r="L66" s="468" t="s">
        <v>3766</v>
      </c>
      <c r="M66" s="468" t="s">
        <v>4011</v>
      </c>
      <c r="N66" s="460"/>
      <c r="O66" s="294"/>
      <c r="P66" s="294"/>
      <c r="Q66" s="294"/>
      <c r="R66" s="294"/>
      <c r="S66" s="295"/>
      <c r="T66" s="299"/>
      <c r="U66" s="297"/>
      <c r="V66" s="297"/>
      <c r="W66" s="297"/>
      <c r="X66" s="297"/>
      <c r="Y66" s="297"/>
      <c r="Z66" s="297"/>
      <c r="AA66" s="297">
        <v>2</v>
      </c>
      <c r="AB66" s="293">
        <v>0</v>
      </c>
      <c r="AC66" s="294"/>
      <c r="AD66" s="295"/>
      <c r="AE66" s="298"/>
      <c r="AF66" s="296">
        <v>0</v>
      </c>
      <c r="AG66" s="297"/>
      <c r="AH66" s="297"/>
      <c r="AI66" s="297"/>
      <c r="AJ66" s="297"/>
      <c r="AK66" s="297"/>
      <c r="AL66" s="297"/>
      <c r="AM66" s="297"/>
      <c r="AN66" s="300">
        <v>1500</v>
      </c>
      <c r="AO66" s="301"/>
      <c r="AP66" s="301"/>
      <c r="AQ66" s="301"/>
      <c r="AR66" s="301"/>
      <c r="AS66" s="301"/>
      <c r="AT66" s="301"/>
      <c r="AU66" s="301"/>
      <c r="AV66" s="301"/>
      <c r="AW66" s="301"/>
      <c r="AX66" s="301"/>
      <c r="AY66" s="301"/>
      <c r="AZ66" s="301"/>
      <c r="BA66" s="301"/>
      <c r="BB66" s="301"/>
      <c r="BC66" s="301"/>
      <c r="BD66" s="301"/>
      <c r="BE66" s="301"/>
      <c r="BF66" s="302"/>
      <c r="BG66" s="303">
        <v>10</v>
      </c>
      <c r="BH66" s="304"/>
      <c r="BI66" s="304"/>
      <c r="BJ66" s="304"/>
      <c r="BK66" s="304"/>
      <c r="BL66" s="304"/>
      <c r="BM66" s="304"/>
      <c r="BN66" s="304"/>
      <c r="BO66" s="304"/>
      <c r="BP66" s="304"/>
      <c r="BQ66" s="304"/>
      <c r="BR66" s="304"/>
      <c r="BS66" s="304"/>
      <c r="BT66" s="304"/>
      <c r="BU66" s="304"/>
      <c r="BV66" s="304"/>
      <c r="BW66" s="304"/>
      <c r="BX66" s="304"/>
      <c r="BY66" s="305"/>
      <c r="BZ66" s="308"/>
      <c r="CA66" s="307"/>
      <c r="CB66" s="307"/>
      <c r="CC66" s="307"/>
      <c r="CD66" s="307"/>
      <c r="CE66" s="307"/>
      <c r="CF66" s="309"/>
      <c r="CG66" s="332"/>
      <c r="CH66" s="328"/>
      <c r="CI66" s="328"/>
      <c r="CJ66" s="328"/>
      <c r="CK66" s="328"/>
      <c r="CL66" s="328"/>
      <c r="CM66" s="328">
        <v>2</v>
      </c>
      <c r="CN66" s="370"/>
      <c r="CO66" s="367"/>
      <c r="CP66" s="367"/>
      <c r="CQ66" s="367"/>
      <c r="CR66" s="367"/>
      <c r="CS66" s="387">
        <v>10</v>
      </c>
      <c r="CT66" s="398"/>
      <c r="CU66" s="399"/>
      <c r="CV66" s="399"/>
      <c r="CW66" s="399"/>
      <c r="CX66" s="399"/>
      <c r="CY66" s="399"/>
      <c r="CZ66" s="399"/>
      <c r="DA66" s="400">
        <v>1</v>
      </c>
      <c r="DB66" s="522">
        <v>1</v>
      </c>
    </row>
    <row r="67" spans="1:106" x14ac:dyDescent="0.25">
      <c r="A67" s="468" t="s">
        <v>49</v>
      </c>
      <c r="B67" s="468">
        <v>832</v>
      </c>
      <c r="C67" s="468" t="s">
        <v>3440</v>
      </c>
      <c r="D67" s="468">
        <v>1245</v>
      </c>
      <c r="E67" s="468" t="s">
        <v>1106</v>
      </c>
      <c r="F67" s="468" t="s">
        <v>3016</v>
      </c>
      <c r="G67" s="468" t="s">
        <v>1108</v>
      </c>
      <c r="H67" s="468" t="s">
        <v>1037</v>
      </c>
      <c r="I67" s="468" t="s">
        <v>54</v>
      </c>
      <c r="J67" s="468" t="s">
        <v>3441</v>
      </c>
      <c r="K67" s="468" t="s">
        <v>1109</v>
      </c>
      <c r="L67" s="468" t="s">
        <v>3766</v>
      </c>
      <c r="M67" s="468" t="s">
        <v>4011</v>
      </c>
      <c r="N67" s="460">
        <v>2</v>
      </c>
      <c r="O67" s="294"/>
      <c r="P67" s="294"/>
      <c r="Q67" s="294"/>
      <c r="R67" s="294"/>
      <c r="S67" s="295"/>
      <c r="T67" s="299"/>
      <c r="U67" s="297"/>
      <c r="V67" s="297"/>
      <c r="W67" s="297"/>
      <c r="X67" s="297"/>
      <c r="Y67" s="297"/>
      <c r="Z67" s="297"/>
      <c r="AA67" s="297">
        <v>0</v>
      </c>
      <c r="AB67" s="293">
        <v>0</v>
      </c>
      <c r="AC67" s="294"/>
      <c r="AD67" s="295"/>
      <c r="AE67" s="298"/>
      <c r="AF67" s="296">
        <v>0</v>
      </c>
      <c r="AG67" s="297"/>
      <c r="AH67" s="297"/>
      <c r="AI67" s="297"/>
      <c r="AJ67" s="297"/>
      <c r="AK67" s="297"/>
      <c r="AL67" s="297"/>
      <c r="AM67" s="297"/>
      <c r="AN67" s="300">
        <v>1500</v>
      </c>
      <c r="AO67" s="301"/>
      <c r="AP67" s="301"/>
      <c r="AQ67" s="301"/>
      <c r="AR67" s="301"/>
      <c r="AS67" s="301"/>
      <c r="AT67" s="301"/>
      <c r="AU67" s="301"/>
      <c r="AV67" s="301"/>
      <c r="AW67" s="301"/>
      <c r="AX67" s="301"/>
      <c r="AY67" s="301"/>
      <c r="AZ67" s="301"/>
      <c r="BA67" s="301"/>
      <c r="BB67" s="301"/>
      <c r="BC67" s="301"/>
      <c r="BD67" s="301"/>
      <c r="BE67" s="301"/>
      <c r="BF67" s="302"/>
      <c r="BG67" s="303">
        <v>10</v>
      </c>
      <c r="BH67" s="304"/>
      <c r="BI67" s="304"/>
      <c r="BJ67" s="304"/>
      <c r="BK67" s="304"/>
      <c r="BL67" s="304"/>
      <c r="BM67" s="304"/>
      <c r="BN67" s="304"/>
      <c r="BO67" s="304"/>
      <c r="BP67" s="304"/>
      <c r="BQ67" s="304"/>
      <c r="BR67" s="304"/>
      <c r="BS67" s="304"/>
      <c r="BT67" s="304"/>
      <c r="BU67" s="304"/>
      <c r="BV67" s="304"/>
      <c r="BW67" s="304"/>
      <c r="BX67" s="304"/>
      <c r="BY67" s="305"/>
      <c r="BZ67" s="308"/>
      <c r="CA67" s="307"/>
      <c r="CB67" s="307"/>
      <c r="CC67" s="307"/>
      <c r="CD67" s="307"/>
      <c r="CE67" s="307"/>
      <c r="CF67" s="309"/>
      <c r="CG67" s="332"/>
      <c r="CH67" s="328"/>
      <c r="CI67" s="328"/>
      <c r="CJ67" s="328"/>
      <c r="CK67" s="328"/>
      <c r="CL67" s="328"/>
      <c r="CM67" s="328">
        <v>2</v>
      </c>
      <c r="CN67" s="370"/>
      <c r="CO67" s="367"/>
      <c r="CP67" s="367"/>
      <c r="CQ67" s="367"/>
      <c r="CR67" s="367"/>
      <c r="CS67" s="387">
        <v>10</v>
      </c>
      <c r="CT67" s="398"/>
      <c r="CU67" s="399"/>
      <c r="CV67" s="399"/>
      <c r="CW67" s="399"/>
      <c r="CX67" s="399"/>
      <c r="CY67" s="399"/>
      <c r="CZ67" s="399"/>
      <c r="DA67" s="400">
        <v>1</v>
      </c>
      <c r="DB67" s="522">
        <v>1</v>
      </c>
    </row>
    <row r="68" spans="1:106" x14ac:dyDescent="0.25">
      <c r="A68" s="468" t="s">
        <v>49</v>
      </c>
      <c r="B68" s="468">
        <v>812</v>
      </c>
      <c r="C68" s="468" t="s">
        <v>3448</v>
      </c>
      <c r="D68" s="468">
        <v>1249</v>
      </c>
      <c r="E68" s="468" t="s">
        <v>1110</v>
      </c>
      <c r="F68" s="468" t="s">
        <v>1111</v>
      </c>
      <c r="G68" s="468" t="s">
        <v>1112</v>
      </c>
      <c r="H68" s="468" t="s">
        <v>1113</v>
      </c>
      <c r="I68" s="468" t="s">
        <v>54</v>
      </c>
      <c r="J68" s="468" t="s">
        <v>3449</v>
      </c>
      <c r="K68" s="468" t="s">
        <v>1114</v>
      </c>
      <c r="L68" s="468" t="s">
        <v>3766</v>
      </c>
      <c r="M68" s="468" t="s">
        <v>4011</v>
      </c>
      <c r="N68" s="460">
        <v>2</v>
      </c>
      <c r="O68" s="294"/>
      <c r="P68" s="294"/>
      <c r="Q68" s="294"/>
      <c r="R68" s="294"/>
      <c r="S68" s="295"/>
      <c r="T68" s="299"/>
      <c r="U68" s="297"/>
      <c r="V68" s="297"/>
      <c r="W68" s="297"/>
      <c r="X68" s="297"/>
      <c r="Y68" s="297"/>
      <c r="Z68" s="297"/>
      <c r="AA68" s="297">
        <v>0</v>
      </c>
      <c r="AB68" s="293">
        <v>0</v>
      </c>
      <c r="AC68" s="294"/>
      <c r="AD68" s="295"/>
      <c r="AE68" s="298"/>
      <c r="AF68" s="296">
        <v>0</v>
      </c>
      <c r="AG68" s="297"/>
      <c r="AH68" s="297"/>
      <c r="AI68" s="297"/>
      <c r="AJ68" s="297"/>
      <c r="AK68" s="297"/>
      <c r="AL68" s="297"/>
      <c r="AM68" s="297"/>
      <c r="AN68" s="300">
        <v>1500</v>
      </c>
      <c r="AO68" s="301"/>
      <c r="AP68" s="301"/>
      <c r="AQ68" s="301"/>
      <c r="AR68" s="301"/>
      <c r="AS68" s="301"/>
      <c r="AT68" s="301"/>
      <c r="AU68" s="301"/>
      <c r="AV68" s="301"/>
      <c r="AW68" s="301"/>
      <c r="AX68" s="301"/>
      <c r="AY68" s="301"/>
      <c r="AZ68" s="301"/>
      <c r="BA68" s="301"/>
      <c r="BB68" s="301"/>
      <c r="BC68" s="301"/>
      <c r="BD68" s="301"/>
      <c r="BE68" s="301"/>
      <c r="BF68" s="302"/>
      <c r="BG68" s="303">
        <v>10</v>
      </c>
      <c r="BH68" s="304"/>
      <c r="BI68" s="304"/>
      <c r="BJ68" s="304"/>
      <c r="BK68" s="304"/>
      <c r="BL68" s="304"/>
      <c r="BM68" s="304"/>
      <c r="BN68" s="304"/>
      <c r="BO68" s="304"/>
      <c r="BP68" s="304"/>
      <c r="BQ68" s="304"/>
      <c r="BR68" s="304"/>
      <c r="BS68" s="304"/>
      <c r="BT68" s="304"/>
      <c r="BU68" s="304"/>
      <c r="BV68" s="304"/>
      <c r="BW68" s="304"/>
      <c r="BX68" s="304"/>
      <c r="BY68" s="305"/>
      <c r="BZ68" s="308"/>
      <c r="CA68" s="307"/>
      <c r="CB68" s="307"/>
      <c r="CC68" s="307"/>
      <c r="CD68" s="307"/>
      <c r="CE68" s="307"/>
      <c r="CF68" s="309"/>
      <c r="CG68" s="332"/>
      <c r="CH68" s="328"/>
      <c r="CI68" s="328"/>
      <c r="CJ68" s="328"/>
      <c r="CK68" s="328"/>
      <c r="CL68" s="328"/>
      <c r="CM68" s="328">
        <v>2</v>
      </c>
      <c r="CN68" s="370"/>
      <c r="CO68" s="367"/>
      <c r="CP68" s="367"/>
      <c r="CQ68" s="367"/>
      <c r="CR68" s="367"/>
      <c r="CS68" s="387">
        <v>10</v>
      </c>
      <c r="CT68" s="398"/>
      <c r="CU68" s="399"/>
      <c r="CV68" s="399"/>
      <c r="CW68" s="399"/>
      <c r="CX68" s="399"/>
      <c r="CY68" s="399"/>
      <c r="CZ68" s="399"/>
      <c r="DA68" s="400">
        <v>1</v>
      </c>
      <c r="DB68" s="522">
        <v>1</v>
      </c>
    </row>
    <row r="69" spans="1:106" x14ac:dyDescent="0.25">
      <c r="A69" s="468" t="s">
        <v>49</v>
      </c>
      <c r="B69" s="468">
        <v>812</v>
      </c>
      <c r="C69" s="468" t="s">
        <v>3454</v>
      </c>
      <c r="D69" s="468">
        <v>1254</v>
      </c>
      <c r="E69" s="468" t="s">
        <v>1120</v>
      </c>
      <c r="F69" s="468" t="s">
        <v>1121</v>
      </c>
      <c r="G69" s="468" t="s">
        <v>1122</v>
      </c>
      <c r="H69" s="468" t="s">
        <v>1074</v>
      </c>
      <c r="I69" s="468" t="s">
        <v>54</v>
      </c>
      <c r="J69" s="468" t="s">
        <v>3126</v>
      </c>
      <c r="K69" s="468" t="s">
        <v>1123</v>
      </c>
      <c r="L69" s="468" t="s">
        <v>3766</v>
      </c>
      <c r="M69" s="468" t="s">
        <v>4011</v>
      </c>
      <c r="N69" s="460"/>
      <c r="O69" s="294"/>
      <c r="P69" s="294"/>
      <c r="Q69" s="294"/>
      <c r="R69" s="294"/>
      <c r="S69" s="295"/>
      <c r="T69" s="299"/>
      <c r="U69" s="297"/>
      <c r="V69" s="297"/>
      <c r="W69" s="297"/>
      <c r="X69" s="297"/>
      <c r="Y69" s="297"/>
      <c r="Z69" s="297"/>
      <c r="AA69" s="297">
        <v>2</v>
      </c>
      <c r="AB69" s="293">
        <v>0</v>
      </c>
      <c r="AC69" s="294"/>
      <c r="AD69" s="295"/>
      <c r="AE69" s="298"/>
      <c r="AF69" s="296">
        <v>0</v>
      </c>
      <c r="AG69" s="297"/>
      <c r="AH69" s="297"/>
      <c r="AI69" s="297"/>
      <c r="AJ69" s="297"/>
      <c r="AK69" s="297"/>
      <c r="AL69" s="297"/>
      <c r="AM69" s="297"/>
      <c r="AN69" s="300">
        <v>1500</v>
      </c>
      <c r="AO69" s="301"/>
      <c r="AP69" s="301"/>
      <c r="AQ69" s="301"/>
      <c r="AR69" s="301"/>
      <c r="AS69" s="301"/>
      <c r="AT69" s="301"/>
      <c r="AU69" s="301"/>
      <c r="AV69" s="301"/>
      <c r="AW69" s="301"/>
      <c r="AX69" s="301"/>
      <c r="AY69" s="301"/>
      <c r="AZ69" s="301"/>
      <c r="BA69" s="301"/>
      <c r="BB69" s="301"/>
      <c r="BC69" s="301"/>
      <c r="BD69" s="301"/>
      <c r="BE69" s="301"/>
      <c r="BF69" s="302"/>
      <c r="BG69" s="303">
        <v>10</v>
      </c>
      <c r="BH69" s="304"/>
      <c r="BI69" s="304"/>
      <c r="BJ69" s="304"/>
      <c r="BK69" s="304"/>
      <c r="BL69" s="304"/>
      <c r="BM69" s="304"/>
      <c r="BN69" s="304"/>
      <c r="BO69" s="304"/>
      <c r="BP69" s="304"/>
      <c r="BQ69" s="304"/>
      <c r="BR69" s="304"/>
      <c r="BS69" s="304"/>
      <c r="BT69" s="304"/>
      <c r="BU69" s="304"/>
      <c r="BV69" s="304"/>
      <c r="BW69" s="304"/>
      <c r="BX69" s="304"/>
      <c r="BY69" s="305"/>
      <c r="BZ69" s="308"/>
      <c r="CA69" s="307"/>
      <c r="CB69" s="307"/>
      <c r="CC69" s="307"/>
      <c r="CD69" s="307"/>
      <c r="CE69" s="307"/>
      <c r="CF69" s="309"/>
      <c r="CG69" s="332"/>
      <c r="CH69" s="328"/>
      <c r="CI69" s="328"/>
      <c r="CJ69" s="328"/>
      <c r="CK69" s="328"/>
      <c r="CL69" s="328"/>
      <c r="CM69" s="328">
        <v>2</v>
      </c>
      <c r="CN69" s="370"/>
      <c r="CO69" s="367"/>
      <c r="CP69" s="367"/>
      <c r="CQ69" s="367"/>
      <c r="CR69" s="367"/>
      <c r="CS69" s="387">
        <v>10</v>
      </c>
      <c r="CT69" s="398"/>
      <c r="CU69" s="399"/>
      <c r="CV69" s="399"/>
      <c r="CW69" s="399"/>
      <c r="CX69" s="399"/>
      <c r="CY69" s="399"/>
      <c r="CZ69" s="399"/>
      <c r="DA69" s="400">
        <v>1</v>
      </c>
      <c r="DB69" s="522">
        <v>1</v>
      </c>
    </row>
    <row r="70" spans="1:106" x14ac:dyDescent="0.25">
      <c r="A70" s="468" t="s">
        <v>49</v>
      </c>
      <c r="B70" s="468">
        <v>812</v>
      </c>
      <c r="C70" s="468" t="s">
        <v>3647</v>
      </c>
      <c r="D70" s="468">
        <v>1856</v>
      </c>
      <c r="E70" s="468" t="s">
        <v>1124</v>
      </c>
      <c r="F70" s="468" t="s">
        <v>1125</v>
      </c>
      <c r="G70" s="468" t="s">
        <v>1126</v>
      </c>
      <c r="H70" s="468" t="s">
        <v>1127</v>
      </c>
      <c r="I70" s="468" t="s">
        <v>54</v>
      </c>
      <c r="J70" s="468" t="s">
        <v>3648</v>
      </c>
      <c r="K70" s="468" t="s">
        <v>1128</v>
      </c>
      <c r="L70" s="468" t="s">
        <v>3766</v>
      </c>
      <c r="M70" s="468" t="s">
        <v>4011</v>
      </c>
      <c r="N70" s="460"/>
      <c r="O70" s="294"/>
      <c r="P70" s="294"/>
      <c r="Q70" s="294"/>
      <c r="R70" s="294"/>
      <c r="S70" s="295"/>
      <c r="T70" s="299"/>
      <c r="U70" s="297"/>
      <c r="V70" s="297"/>
      <c r="W70" s="297"/>
      <c r="X70" s="297"/>
      <c r="Y70" s="297"/>
      <c r="Z70" s="297"/>
      <c r="AA70" s="297">
        <v>2</v>
      </c>
      <c r="AB70" s="293">
        <v>0</v>
      </c>
      <c r="AC70" s="294"/>
      <c r="AD70" s="295"/>
      <c r="AE70" s="298"/>
      <c r="AF70" s="296">
        <v>0</v>
      </c>
      <c r="AG70" s="297"/>
      <c r="AH70" s="297"/>
      <c r="AI70" s="297"/>
      <c r="AJ70" s="297"/>
      <c r="AK70" s="297"/>
      <c r="AL70" s="297"/>
      <c r="AM70" s="297"/>
      <c r="AN70" s="300">
        <v>1500</v>
      </c>
      <c r="AO70" s="301"/>
      <c r="AP70" s="301"/>
      <c r="AQ70" s="301"/>
      <c r="AR70" s="301"/>
      <c r="AS70" s="301"/>
      <c r="AT70" s="301"/>
      <c r="AU70" s="301"/>
      <c r="AV70" s="301"/>
      <c r="AW70" s="301"/>
      <c r="AX70" s="301"/>
      <c r="AY70" s="301"/>
      <c r="AZ70" s="301"/>
      <c r="BA70" s="301"/>
      <c r="BB70" s="301"/>
      <c r="BC70" s="301"/>
      <c r="BD70" s="301"/>
      <c r="BE70" s="301"/>
      <c r="BF70" s="302"/>
      <c r="BG70" s="303">
        <v>10</v>
      </c>
      <c r="BH70" s="304"/>
      <c r="BI70" s="304"/>
      <c r="BJ70" s="304"/>
      <c r="BK70" s="304"/>
      <c r="BL70" s="304"/>
      <c r="BM70" s="304"/>
      <c r="BN70" s="304"/>
      <c r="BO70" s="304"/>
      <c r="BP70" s="304"/>
      <c r="BQ70" s="304"/>
      <c r="BR70" s="304"/>
      <c r="BS70" s="304"/>
      <c r="BT70" s="304"/>
      <c r="BU70" s="304"/>
      <c r="BV70" s="304"/>
      <c r="BW70" s="304"/>
      <c r="BX70" s="304"/>
      <c r="BY70" s="305"/>
      <c r="BZ70" s="308"/>
      <c r="CA70" s="307"/>
      <c r="CB70" s="307"/>
      <c r="CC70" s="307"/>
      <c r="CD70" s="307"/>
      <c r="CE70" s="307"/>
      <c r="CF70" s="309"/>
      <c r="CG70" s="332"/>
      <c r="CH70" s="328"/>
      <c r="CI70" s="328"/>
      <c r="CJ70" s="328"/>
      <c r="CK70" s="328"/>
      <c r="CL70" s="328"/>
      <c r="CM70" s="328">
        <v>2</v>
      </c>
      <c r="CN70" s="370"/>
      <c r="CO70" s="367"/>
      <c r="CP70" s="367"/>
      <c r="CQ70" s="367"/>
      <c r="CR70" s="367"/>
      <c r="CS70" s="387">
        <v>10</v>
      </c>
      <c r="CT70" s="398"/>
      <c r="CU70" s="399"/>
      <c r="CV70" s="399"/>
      <c r="CW70" s="399"/>
      <c r="CX70" s="399"/>
      <c r="CY70" s="399"/>
      <c r="CZ70" s="399"/>
      <c r="DA70" s="400">
        <v>1</v>
      </c>
      <c r="DB70" s="522">
        <v>1</v>
      </c>
    </row>
    <row r="71" spans="1:106" x14ac:dyDescent="0.25">
      <c r="A71" s="468" t="s">
        <v>264</v>
      </c>
      <c r="B71" s="468">
        <v>832</v>
      </c>
      <c r="C71" s="468" t="s">
        <v>3643</v>
      </c>
      <c r="D71" s="468">
        <v>1854</v>
      </c>
      <c r="E71" s="468" t="s">
        <v>265</v>
      </c>
      <c r="F71" s="468" t="s">
        <v>1231</v>
      </c>
      <c r="G71" s="468" t="s">
        <v>266</v>
      </c>
      <c r="H71" s="468" t="s">
        <v>267</v>
      </c>
      <c r="I71" s="468" t="s">
        <v>54</v>
      </c>
      <c r="J71" s="468" t="s">
        <v>3644</v>
      </c>
      <c r="K71" s="468" t="s">
        <v>268</v>
      </c>
      <c r="L71" s="468" t="s">
        <v>3766</v>
      </c>
      <c r="M71" s="468" t="s">
        <v>4020</v>
      </c>
      <c r="N71" s="460"/>
      <c r="O71" s="294"/>
      <c r="P71" s="294"/>
      <c r="Q71" s="294"/>
      <c r="R71" s="294"/>
      <c r="S71" s="295"/>
      <c r="T71" s="299"/>
      <c r="U71" s="297"/>
      <c r="V71" s="297"/>
      <c r="W71" s="297"/>
      <c r="X71" s="297"/>
      <c r="Y71" s="297"/>
      <c r="Z71" s="297"/>
      <c r="AA71" s="297">
        <v>1</v>
      </c>
      <c r="AB71" s="293">
        <v>0</v>
      </c>
      <c r="AC71" s="294"/>
      <c r="AD71" s="295"/>
      <c r="AE71" s="298"/>
      <c r="AF71" s="296">
        <v>0</v>
      </c>
      <c r="AG71" s="297"/>
      <c r="AH71" s="297"/>
      <c r="AI71" s="297"/>
      <c r="AJ71" s="297"/>
      <c r="AK71" s="297"/>
      <c r="AL71" s="297"/>
      <c r="AM71" s="297"/>
      <c r="AN71" s="300"/>
      <c r="AO71" s="301"/>
      <c r="AP71" s="301">
        <v>1500</v>
      </c>
      <c r="AQ71" s="301"/>
      <c r="AR71" s="301"/>
      <c r="AS71" s="301"/>
      <c r="AT71" s="301"/>
      <c r="AU71" s="301"/>
      <c r="AV71" s="301"/>
      <c r="AW71" s="301"/>
      <c r="AX71" s="301"/>
      <c r="AY71" s="301"/>
      <c r="AZ71" s="301"/>
      <c r="BA71" s="301"/>
      <c r="BB71" s="301"/>
      <c r="BC71" s="301"/>
      <c r="BD71" s="301"/>
      <c r="BE71" s="301"/>
      <c r="BF71" s="302"/>
      <c r="BG71" s="303"/>
      <c r="BH71" s="304"/>
      <c r="BI71" s="304">
        <v>10</v>
      </c>
      <c r="BJ71" s="304"/>
      <c r="BK71" s="304"/>
      <c r="BL71" s="304"/>
      <c r="BM71" s="304"/>
      <c r="BN71" s="304"/>
      <c r="BO71" s="304"/>
      <c r="BP71" s="304"/>
      <c r="BQ71" s="304"/>
      <c r="BR71" s="304"/>
      <c r="BS71" s="304"/>
      <c r="BT71" s="304"/>
      <c r="BU71" s="304"/>
      <c r="BV71" s="304"/>
      <c r="BW71" s="304"/>
      <c r="BX71" s="304"/>
      <c r="BY71" s="305"/>
      <c r="BZ71" s="308"/>
      <c r="CA71" s="307"/>
      <c r="CB71" s="307"/>
      <c r="CC71" s="307"/>
      <c r="CD71" s="307"/>
      <c r="CE71" s="307"/>
      <c r="CF71" s="309"/>
      <c r="CG71" s="332"/>
      <c r="CH71" s="328"/>
      <c r="CI71" s="328"/>
      <c r="CJ71" s="328"/>
      <c r="CK71" s="328"/>
      <c r="CL71" s="328"/>
      <c r="CM71" s="328">
        <v>2</v>
      </c>
      <c r="CN71" s="370"/>
      <c r="CO71" s="367"/>
      <c r="CP71" s="367"/>
      <c r="CQ71" s="367"/>
      <c r="CR71" s="367"/>
      <c r="CS71" s="387">
        <v>10</v>
      </c>
      <c r="CT71" s="398"/>
      <c r="CU71" s="399"/>
      <c r="CV71" s="399"/>
      <c r="CW71" s="399"/>
      <c r="CX71" s="399"/>
      <c r="CY71" s="399"/>
      <c r="CZ71" s="399"/>
      <c r="DA71" s="400">
        <v>1</v>
      </c>
      <c r="DB71" s="522">
        <v>1</v>
      </c>
    </row>
    <row r="72" spans="1:106" x14ac:dyDescent="0.25">
      <c r="A72" s="468" t="s">
        <v>264</v>
      </c>
      <c r="B72" s="468">
        <v>812</v>
      </c>
      <c r="C72" s="468" t="s">
        <v>3645</v>
      </c>
      <c r="D72" s="468">
        <v>1855</v>
      </c>
      <c r="E72" s="468" t="s">
        <v>1232</v>
      </c>
      <c r="F72" s="468" t="s">
        <v>1058</v>
      </c>
      <c r="G72" s="468" t="s">
        <v>1234</v>
      </c>
      <c r="H72" s="468" t="s">
        <v>1235</v>
      </c>
      <c r="I72" s="468" t="s">
        <v>54</v>
      </c>
      <c r="J72" s="468" t="s">
        <v>3646</v>
      </c>
      <c r="K72" s="468" t="s">
        <v>1236</v>
      </c>
      <c r="L72" s="468" t="s">
        <v>3766</v>
      </c>
      <c r="M72" s="468" t="s">
        <v>4020</v>
      </c>
      <c r="N72" s="460">
        <v>2</v>
      </c>
      <c r="O72" s="294"/>
      <c r="P72" s="294"/>
      <c r="Q72" s="294"/>
      <c r="R72" s="294"/>
      <c r="S72" s="295"/>
      <c r="T72" s="299"/>
      <c r="U72" s="297"/>
      <c r="V72" s="297"/>
      <c r="W72" s="297"/>
      <c r="X72" s="297"/>
      <c r="Y72" s="297"/>
      <c r="Z72" s="297"/>
      <c r="AA72" s="297">
        <v>0</v>
      </c>
      <c r="AB72" s="293">
        <v>0</v>
      </c>
      <c r="AC72" s="294"/>
      <c r="AD72" s="295"/>
      <c r="AE72" s="298"/>
      <c r="AF72" s="296">
        <v>0</v>
      </c>
      <c r="AG72" s="297"/>
      <c r="AH72" s="297"/>
      <c r="AI72" s="297"/>
      <c r="AJ72" s="297"/>
      <c r="AK72" s="297"/>
      <c r="AL72" s="297"/>
      <c r="AM72" s="297"/>
      <c r="AN72" s="300"/>
      <c r="AO72" s="301"/>
      <c r="AP72" s="301">
        <v>1500</v>
      </c>
      <c r="AQ72" s="301"/>
      <c r="AR72" s="301"/>
      <c r="AS72" s="301"/>
      <c r="AT72" s="301"/>
      <c r="AU72" s="301"/>
      <c r="AV72" s="301"/>
      <c r="AW72" s="301"/>
      <c r="AX72" s="301"/>
      <c r="AY72" s="301"/>
      <c r="AZ72" s="301"/>
      <c r="BA72" s="301"/>
      <c r="BB72" s="301"/>
      <c r="BC72" s="301"/>
      <c r="BD72" s="301"/>
      <c r="BE72" s="301"/>
      <c r="BF72" s="302"/>
      <c r="BG72" s="303"/>
      <c r="BH72" s="304"/>
      <c r="BI72" s="304">
        <v>10</v>
      </c>
      <c r="BJ72" s="304"/>
      <c r="BK72" s="304"/>
      <c r="BL72" s="304"/>
      <c r="BM72" s="304"/>
      <c r="BN72" s="304"/>
      <c r="BO72" s="304"/>
      <c r="BP72" s="304"/>
      <c r="BQ72" s="304"/>
      <c r="BR72" s="304"/>
      <c r="BS72" s="304"/>
      <c r="BT72" s="304"/>
      <c r="BU72" s="304"/>
      <c r="BV72" s="304"/>
      <c r="BW72" s="304"/>
      <c r="BX72" s="304"/>
      <c r="BY72" s="305"/>
      <c r="BZ72" s="308"/>
      <c r="CA72" s="307"/>
      <c r="CB72" s="307"/>
      <c r="CC72" s="307"/>
      <c r="CD72" s="307"/>
      <c r="CE72" s="307"/>
      <c r="CF72" s="309"/>
      <c r="CG72" s="332"/>
      <c r="CH72" s="328"/>
      <c r="CI72" s="328"/>
      <c r="CJ72" s="328"/>
      <c r="CK72" s="328"/>
      <c r="CL72" s="328"/>
      <c r="CM72" s="328">
        <v>2</v>
      </c>
      <c r="CN72" s="370"/>
      <c r="CO72" s="367"/>
      <c r="CP72" s="367"/>
      <c r="CQ72" s="367"/>
      <c r="CR72" s="367"/>
      <c r="CS72" s="387">
        <v>10</v>
      </c>
      <c r="CT72" s="398"/>
      <c r="CU72" s="399"/>
      <c r="CV72" s="399"/>
      <c r="CW72" s="399"/>
      <c r="CX72" s="399"/>
      <c r="CY72" s="399"/>
      <c r="CZ72" s="399"/>
      <c r="DA72" s="400">
        <v>1</v>
      </c>
      <c r="DB72" s="522">
        <v>1</v>
      </c>
    </row>
    <row r="73" spans="1:106" x14ac:dyDescent="0.25">
      <c r="A73" s="468" t="s">
        <v>62</v>
      </c>
      <c r="B73" s="468">
        <v>812</v>
      </c>
      <c r="C73" s="468" t="s">
        <v>1282</v>
      </c>
      <c r="D73" s="468">
        <v>226</v>
      </c>
      <c r="E73" s="468" t="s">
        <v>1283</v>
      </c>
      <c r="F73" s="468" t="s">
        <v>1284</v>
      </c>
      <c r="G73" s="468" t="s">
        <v>1285</v>
      </c>
      <c r="H73" s="468" t="s">
        <v>289</v>
      </c>
      <c r="I73" s="468" t="s">
        <v>54</v>
      </c>
      <c r="J73" s="468" t="s">
        <v>3095</v>
      </c>
      <c r="K73" s="468" t="s">
        <v>1286</v>
      </c>
      <c r="L73" s="468" t="s">
        <v>3766</v>
      </c>
      <c r="M73" s="468" t="s">
        <v>4020</v>
      </c>
      <c r="N73" s="460">
        <v>0</v>
      </c>
      <c r="O73" s="294"/>
      <c r="P73" s="294"/>
      <c r="Q73" s="294"/>
      <c r="R73" s="294"/>
      <c r="S73" s="295"/>
      <c r="T73" s="299"/>
      <c r="U73" s="297"/>
      <c r="V73" s="297"/>
      <c r="W73" s="297"/>
      <c r="X73" s="297"/>
      <c r="Y73" s="297"/>
      <c r="Z73" s="297"/>
      <c r="AA73" s="297">
        <v>0</v>
      </c>
      <c r="AB73" s="293">
        <v>0</v>
      </c>
      <c r="AC73" s="294"/>
      <c r="AD73" s="295"/>
      <c r="AE73" s="298"/>
      <c r="AF73" s="299"/>
      <c r="AG73" s="297"/>
      <c r="AH73" s="297"/>
      <c r="AI73" s="297"/>
      <c r="AJ73" s="297"/>
      <c r="AK73" s="297">
        <v>1</v>
      </c>
      <c r="AL73" s="297"/>
      <c r="AM73" s="297"/>
      <c r="AN73" s="300"/>
      <c r="AO73" s="301"/>
      <c r="AP73" s="301">
        <v>1500</v>
      </c>
      <c r="AQ73" s="301"/>
      <c r="AR73" s="301"/>
      <c r="AS73" s="301"/>
      <c r="AT73" s="301"/>
      <c r="AU73" s="301"/>
      <c r="AV73" s="301"/>
      <c r="AW73" s="301"/>
      <c r="AX73" s="301"/>
      <c r="AY73" s="301"/>
      <c r="AZ73" s="301"/>
      <c r="BA73" s="301"/>
      <c r="BB73" s="301"/>
      <c r="BC73" s="301"/>
      <c r="BD73" s="301"/>
      <c r="BE73" s="301"/>
      <c r="BF73" s="302"/>
      <c r="BG73" s="303"/>
      <c r="BH73" s="304"/>
      <c r="BI73" s="304">
        <v>10</v>
      </c>
      <c r="BJ73" s="304"/>
      <c r="BK73" s="304"/>
      <c r="BL73" s="304"/>
      <c r="BM73" s="304"/>
      <c r="BN73" s="304"/>
      <c r="BO73" s="304"/>
      <c r="BP73" s="304"/>
      <c r="BQ73" s="304"/>
      <c r="BR73" s="304"/>
      <c r="BS73" s="304"/>
      <c r="BT73" s="304"/>
      <c r="BU73" s="304"/>
      <c r="BV73" s="304"/>
      <c r="BW73" s="304"/>
      <c r="BX73" s="304"/>
      <c r="BY73" s="305"/>
      <c r="BZ73" s="308"/>
      <c r="CA73" s="307"/>
      <c r="CB73" s="307"/>
      <c r="CC73" s="307"/>
      <c r="CD73" s="307"/>
      <c r="CE73" s="307"/>
      <c r="CF73" s="309"/>
      <c r="CG73" s="332"/>
      <c r="CH73" s="328"/>
      <c r="CI73" s="328"/>
      <c r="CJ73" s="328"/>
      <c r="CK73" s="328"/>
      <c r="CL73" s="328"/>
      <c r="CM73" s="328">
        <v>2</v>
      </c>
      <c r="CN73" s="370"/>
      <c r="CO73" s="367"/>
      <c r="CP73" s="367"/>
      <c r="CQ73" s="367"/>
      <c r="CR73" s="367"/>
      <c r="CS73" s="387">
        <v>10</v>
      </c>
      <c r="CT73" s="398"/>
      <c r="CU73" s="399"/>
      <c r="CV73" s="399"/>
      <c r="CW73" s="399"/>
      <c r="CX73" s="399"/>
      <c r="CY73" s="399"/>
      <c r="CZ73" s="399"/>
      <c r="DA73" s="400">
        <v>1</v>
      </c>
      <c r="DB73" s="522">
        <v>1</v>
      </c>
    </row>
    <row r="74" spans="1:106" x14ac:dyDescent="0.25">
      <c r="A74" s="468" t="s">
        <v>62</v>
      </c>
      <c r="B74" s="468">
        <v>812</v>
      </c>
      <c r="C74" s="468" t="s">
        <v>1288</v>
      </c>
      <c r="D74" s="468">
        <v>273</v>
      </c>
      <c r="E74" s="468" t="s">
        <v>1289</v>
      </c>
      <c r="F74" s="468" t="s">
        <v>1290</v>
      </c>
      <c r="G74" s="468" t="s">
        <v>1291</v>
      </c>
      <c r="H74" s="468" t="s">
        <v>1239</v>
      </c>
      <c r="I74" s="468" t="s">
        <v>54</v>
      </c>
      <c r="J74" s="468" t="s">
        <v>1292</v>
      </c>
      <c r="K74" s="468" t="s">
        <v>1293</v>
      </c>
      <c r="L74" s="468" t="s">
        <v>3766</v>
      </c>
      <c r="M74" s="468" t="s">
        <v>4020</v>
      </c>
      <c r="N74" s="460">
        <v>0</v>
      </c>
      <c r="O74" s="294"/>
      <c r="P74" s="294"/>
      <c r="Q74" s="294"/>
      <c r="R74" s="294"/>
      <c r="S74" s="295"/>
      <c r="T74" s="299"/>
      <c r="U74" s="297"/>
      <c r="V74" s="297"/>
      <c r="W74" s="297"/>
      <c r="X74" s="297"/>
      <c r="Y74" s="297"/>
      <c r="Z74" s="297"/>
      <c r="AA74" s="297">
        <v>0</v>
      </c>
      <c r="AB74" s="293">
        <v>0</v>
      </c>
      <c r="AC74" s="294"/>
      <c r="AD74" s="295"/>
      <c r="AE74" s="298"/>
      <c r="AF74" s="299"/>
      <c r="AG74" s="297"/>
      <c r="AH74" s="297"/>
      <c r="AI74" s="297"/>
      <c r="AJ74" s="297"/>
      <c r="AK74" s="297">
        <v>0</v>
      </c>
      <c r="AL74" s="297"/>
      <c r="AM74" s="297"/>
      <c r="AN74" s="300"/>
      <c r="AO74" s="301"/>
      <c r="AP74" s="301">
        <v>1500</v>
      </c>
      <c r="AQ74" s="301"/>
      <c r="AR74" s="301"/>
      <c r="AS74" s="301"/>
      <c r="AT74" s="301"/>
      <c r="AU74" s="301"/>
      <c r="AV74" s="301"/>
      <c r="AW74" s="301"/>
      <c r="AX74" s="301"/>
      <c r="AY74" s="301"/>
      <c r="AZ74" s="301"/>
      <c r="BA74" s="301"/>
      <c r="BB74" s="301"/>
      <c r="BC74" s="301"/>
      <c r="BD74" s="301"/>
      <c r="BE74" s="301"/>
      <c r="BF74" s="302"/>
      <c r="BG74" s="303"/>
      <c r="BH74" s="304"/>
      <c r="BI74" s="304">
        <v>10</v>
      </c>
      <c r="BJ74" s="304"/>
      <c r="BK74" s="304"/>
      <c r="BL74" s="304"/>
      <c r="BM74" s="304"/>
      <c r="BN74" s="304"/>
      <c r="BO74" s="304"/>
      <c r="BP74" s="304"/>
      <c r="BQ74" s="304"/>
      <c r="BR74" s="304"/>
      <c r="BS74" s="304"/>
      <c r="BT74" s="304"/>
      <c r="BU74" s="304"/>
      <c r="BV74" s="304"/>
      <c r="BW74" s="304"/>
      <c r="BX74" s="304"/>
      <c r="BY74" s="305"/>
      <c r="BZ74" s="308"/>
      <c r="CA74" s="307"/>
      <c r="CB74" s="307"/>
      <c r="CC74" s="307"/>
      <c r="CD74" s="307"/>
      <c r="CE74" s="307"/>
      <c r="CF74" s="309">
        <v>1</v>
      </c>
      <c r="CG74" s="332"/>
      <c r="CH74" s="328"/>
      <c r="CI74" s="328"/>
      <c r="CJ74" s="328"/>
      <c r="CK74" s="328"/>
      <c r="CL74" s="328"/>
      <c r="CM74" s="328">
        <v>2</v>
      </c>
      <c r="CN74" s="370"/>
      <c r="CO74" s="367"/>
      <c r="CP74" s="367"/>
      <c r="CQ74" s="367"/>
      <c r="CR74" s="367"/>
      <c r="CS74" s="387">
        <v>10</v>
      </c>
      <c r="CT74" s="398"/>
      <c r="CU74" s="399"/>
      <c r="CV74" s="399"/>
      <c r="CW74" s="399"/>
      <c r="CX74" s="399"/>
      <c r="CY74" s="399"/>
      <c r="CZ74" s="399"/>
      <c r="DA74" s="400">
        <v>1</v>
      </c>
      <c r="DB74" s="522">
        <v>1</v>
      </c>
    </row>
    <row r="75" spans="1:106" x14ac:dyDescent="0.25">
      <c r="A75" s="468" t="s">
        <v>62</v>
      </c>
      <c r="B75" s="468">
        <v>812</v>
      </c>
      <c r="C75" s="468" t="s">
        <v>1294</v>
      </c>
      <c r="D75" s="468">
        <v>274</v>
      </c>
      <c r="E75" s="468" t="s">
        <v>1295</v>
      </c>
      <c r="F75" s="468" t="s">
        <v>3029</v>
      </c>
      <c r="G75" s="468" t="s">
        <v>1297</v>
      </c>
      <c r="H75" s="468" t="s">
        <v>1298</v>
      </c>
      <c r="I75" s="468" t="s">
        <v>54</v>
      </c>
      <c r="J75" s="468" t="s">
        <v>3122</v>
      </c>
      <c r="K75" s="468" t="s">
        <v>1299</v>
      </c>
      <c r="L75" s="468" t="s">
        <v>3766</v>
      </c>
      <c r="M75" s="468" t="s">
        <v>4020</v>
      </c>
      <c r="N75" s="460">
        <v>0</v>
      </c>
      <c r="O75" s="294"/>
      <c r="P75" s="294"/>
      <c r="Q75" s="294"/>
      <c r="R75" s="294"/>
      <c r="S75" s="295"/>
      <c r="T75" s="299"/>
      <c r="U75" s="297"/>
      <c r="V75" s="297"/>
      <c r="W75" s="297"/>
      <c r="X75" s="297"/>
      <c r="Y75" s="297"/>
      <c r="Z75" s="297"/>
      <c r="AA75" s="297">
        <v>0</v>
      </c>
      <c r="AB75" s="293">
        <v>1</v>
      </c>
      <c r="AC75" s="294"/>
      <c r="AD75" s="295"/>
      <c r="AE75" s="298"/>
      <c r="AF75" s="299"/>
      <c r="AG75" s="297"/>
      <c r="AH75" s="297"/>
      <c r="AI75" s="297"/>
      <c r="AJ75" s="297"/>
      <c r="AK75" s="297">
        <v>1</v>
      </c>
      <c r="AL75" s="297"/>
      <c r="AM75" s="297"/>
      <c r="AN75" s="300"/>
      <c r="AO75" s="301"/>
      <c r="AP75" s="301">
        <v>1500</v>
      </c>
      <c r="AQ75" s="301"/>
      <c r="AR75" s="301"/>
      <c r="AS75" s="301"/>
      <c r="AT75" s="301"/>
      <c r="AU75" s="301"/>
      <c r="AV75" s="301"/>
      <c r="AW75" s="301"/>
      <c r="AX75" s="301"/>
      <c r="AY75" s="301"/>
      <c r="AZ75" s="301"/>
      <c r="BA75" s="301"/>
      <c r="BB75" s="301"/>
      <c r="BC75" s="301"/>
      <c r="BD75" s="301"/>
      <c r="BE75" s="301"/>
      <c r="BF75" s="302"/>
      <c r="BG75" s="303"/>
      <c r="BH75" s="304"/>
      <c r="BI75" s="304">
        <v>10</v>
      </c>
      <c r="BJ75" s="304"/>
      <c r="BK75" s="304"/>
      <c r="BL75" s="304"/>
      <c r="BM75" s="304"/>
      <c r="BN75" s="304"/>
      <c r="BO75" s="304"/>
      <c r="BP75" s="304"/>
      <c r="BQ75" s="304"/>
      <c r="BR75" s="304"/>
      <c r="BS75" s="304"/>
      <c r="BT75" s="304"/>
      <c r="BU75" s="304"/>
      <c r="BV75" s="304"/>
      <c r="BW75" s="304"/>
      <c r="BX75" s="304"/>
      <c r="BY75" s="305"/>
      <c r="BZ75" s="308"/>
      <c r="CA75" s="307"/>
      <c r="CB75" s="307"/>
      <c r="CC75" s="307"/>
      <c r="CD75" s="307"/>
      <c r="CE75" s="307"/>
      <c r="CF75" s="309"/>
      <c r="CG75" s="332"/>
      <c r="CH75" s="328"/>
      <c r="CI75" s="328"/>
      <c r="CJ75" s="328"/>
      <c r="CK75" s="328"/>
      <c r="CL75" s="328"/>
      <c r="CM75" s="328">
        <v>2</v>
      </c>
      <c r="CN75" s="370"/>
      <c r="CO75" s="367"/>
      <c r="CP75" s="367"/>
      <c r="CQ75" s="367"/>
      <c r="CR75" s="367"/>
      <c r="CS75" s="387">
        <v>10</v>
      </c>
      <c r="CT75" s="398"/>
      <c r="CU75" s="399"/>
      <c r="CV75" s="399"/>
      <c r="CW75" s="399"/>
      <c r="CX75" s="399"/>
      <c r="CY75" s="399"/>
      <c r="CZ75" s="399"/>
      <c r="DA75" s="400">
        <v>1</v>
      </c>
      <c r="DB75" s="522">
        <v>1</v>
      </c>
    </row>
    <row r="76" spans="1:106" x14ac:dyDescent="0.25">
      <c r="A76" s="468" t="s">
        <v>62</v>
      </c>
      <c r="B76" s="468">
        <v>812</v>
      </c>
      <c r="C76" s="468" t="s">
        <v>3415</v>
      </c>
      <c r="D76" s="468">
        <v>1221</v>
      </c>
      <c r="E76" s="468" t="s">
        <v>1237</v>
      </c>
      <c r="F76" s="468" t="s">
        <v>3041</v>
      </c>
      <c r="G76" s="468" t="s">
        <v>1238</v>
      </c>
      <c r="H76" s="468" t="s">
        <v>1239</v>
      </c>
      <c r="I76" s="468" t="s">
        <v>54</v>
      </c>
      <c r="J76" s="468" t="s">
        <v>3416</v>
      </c>
      <c r="K76" s="468" t="s">
        <v>1240</v>
      </c>
      <c r="L76" s="468" t="s">
        <v>3766</v>
      </c>
      <c r="M76" s="468" t="s">
        <v>4020</v>
      </c>
      <c r="N76" s="460">
        <v>0</v>
      </c>
      <c r="O76" s="294"/>
      <c r="P76" s="294"/>
      <c r="Q76" s="294"/>
      <c r="R76" s="294"/>
      <c r="S76" s="295"/>
      <c r="T76" s="299"/>
      <c r="U76" s="297"/>
      <c r="V76" s="297"/>
      <c r="W76" s="297"/>
      <c r="X76" s="297"/>
      <c r="Y76" s="297"/>
      <c r="Z76" s="297"/>
      <c r="AA76" s="297">
        <v>1</v>
      </c>
      <c r="AB76" s="293">
        <v>0</v>
      </c>
      <c r="AC76" s="294"/>
      <c r="AD76" s="295"/>
      <c r="AE76" s="298"/>
      <c r="AF76" s="296">
        <v>0</v>
      </c>
      <c r="AG76" s="297"/>
      <c r="AH76" s="297"/>
      <c r="AI76" s="297"/>
      <c r="AJ76" s="297"/>
      <c r="AK76" s="297"/>
      <c r="AL76" s="297"/>
      <c r="AM76" s="297"/>
      <c r="AN76" s="300"/>
      <c r="AO76" s="301"/>
      <c r="AP76" s="301">
        <v>1500</v>
      </c>
      <c r="AQ76" s="301"/>
      <c r="AR76" s="301"/>
      <c r="AS76" s="301"/>
      <c r="AT76" s="301"/>
      <c r="AU76" s="301"/>
      <c r="AV76" s="301"/>
      <c r="AW76" s="301"/>
      <c r="AX76" s="301"/>
      <c r="AY76" s="301"/>
      <c r="AZ76" s="301"/>
      <c r="BA76" s="301"/>
      <c r="BB76" s="301"/>
      <c r="BC76" s="301"/>
      <c r="BD76" s="301"/>
      <c r="BE76" s="301"/>
      <c r="BF76" s="302"/>
      <c r="BG76" s="303"/>
      <c r="BH76" s="304"/>
      <c r="BI76" s="304">
        <v>10</v>
      </c>
      <c r="BJ76" s="304"/>
      <c r="BK76" s="304"/>
      <c r="BL76" s="304"/>
      <c r="BM76" s="304"/>
      <c r="BN76" s="304"/>
      <c r="BO76" s="304"/>
      <c r="BP76" s="304"/>
      <c r="BQ76" s="304"/>
      <c r="BR76" s="304"/>
      <c r="BS76" s="304"/>
      <c r="BT76" s="304"/>
      <c r="BU76" s="304"/>
      <c r="BV76" s="304"/>
      <c r="BW76" s="304"/>
      <c r="BX76" s="304"/>
      <c r="BY76" s="305"/>
      <c r="BZ76" s="308"/>
      <c r="CA76" s="307"/>
      <c r="CB76" s="307"/>
      <c r="CC76" s="307"/>
      <c r="CD76" s="307"/>
      <c r="CE76" s="307"/>
      <c r="CF76" s="309"/>
      <c r="CG76" s="332"/>
      <c r="CH76" s="328"/>
      <c r="CI76" s="328"/>
      <c r="CJ76" s="328"/>
      <c r="CK76" s="328"/>
      <c r="CL76" s="328"/>
      <c r="CM76" s="328">
        <v>2</v>
      </c>
      <c r="CN76" s="370"/>
      <c r="CO76" s="367"/>
      <c r="CP76" s="367"/>
      <c r="CQ76" s="367"/>
      <c r="CR76" s="367"/>
      <c r="CS76" s="387">
        <v>10</v>
      </c>
      <c r="CT76" s="398"/>
      <c r="CU76" s="399"/>
      <c r="CV76" s="399"/>
      <c r="CW76" s="399"/>
      <c r="CX76" s="399"/>
      <c r="CY76" s="399"/>
      <c r="CZ76" s="399"/>
      <c r="DA76" s="400">
        <v>1</v>
      </c>
      <c r="DB76" s="522">
        <v>1</v>
      </c>
    </row>
    <row r="77" spans="1:106" x14ac:dyDescent="0.25">
      <c r="A77" s="468" t="s">
        <v>62</v>
      </c>
      <c r="B77" s="468">
        <v>812</v>
      </c>
      <c r="C77" s="468" t="s">
        <v>3450</v>
      </c>
      <c r="D77" s="468">
        <v>1251</v>
      </c>
      <c r="E77" s="468" t="s">
        <v>1241</v>
      </c>
      <c r="F77" s="468" t="s">
        <v>1242</v>
      </c>
      <c r="G77" s="468" t="s">
        <v>1243</v>
      </c>
      <c r="H77" s="468" t="s">
        <v>1244</v>
      </c>
      <c r="I77" s="468" t="s">
        <v>54</v>
      </c>
      <c r="J77" s="468" t="s">
        <v>3451</v>
      </c>
      <c r="K77" s="468" t="s">
        <v>1245</v>
      </c>
      <c r="L77" s="468" t="s">
        <v>3766</v>
      </c>
      <c r="M77" s="468" t="s">
        <v>4020</v>
      </c>
      <c r="N77" s="460">
        <v>1</v>
      </c>
      <c r="O77" s="294"/>
      <c r="P77" s="294"/>
      <c r="Q77" s="294"/>
      <c r="R77" s="294"/>
      <c r="S77" s="295"/>
      <c r="T77" s="299"/>
      <c r="U77" s="297"/>
      <c r="V77" s="297"/>
      <c r="W77" s="297"/>
      <c r="X77" s="297"/>
      <c r="Y77" s="297"/>
      <c r="Z77" s="297"/>
      <c r="AA77" s="297">
        <v>0</v>
      </c>
      <c r="AB77" s="293">
        <v>0</v>
      </c>
      <c r="AC77" s="294"/>
      <c r="AD77" s="295"/>
      <c r="AE77" s="298"/>
      <c r="AF77" s="296">
        <v>0</v>
      </c>
      <c r="AG77" s="297"/>
      <c r="AH77" s="297"/>
      <c r="AI77" s="297"/>
      <c r="AJ77" s="297"/>
      <c r="AK77" s="297"/>
      <c r="AL77" s="297"/>
      <c r="AM77" s="297"/>
      <c r="AN77" s="300"/>
      <c r="AO77" s="301"/>
      <c r="AP77" s="301">
        <v>1500</v>
      </c>
      <c r="AQ77" s="301"/>
      <c r="AR77" s="301"/>
      <c r="AS77" s="301"/>
      <c r="AT77" s="301"/>
      <c r="AU77" s="301"/>
      <c r="AV77" s="301"/>
      <c r="AW77" s="301"/>
      <c r="AX77" s="301"/>
      <c r="AY77" s="301"/>
      <c r="AZ77" s="301"/>
      <c r="BA77" s="301"/>
      <c r="BB77" s="301"/>
      <c r="BC77" s="301"/>
      <c r="BD77" s="301"/>
      <c r="BE77" s="301"/>
      <c r="BF77" s="302"/>
      <c r="BG77" s="303"/>
      <c r="BH77" s="304"/>
      <c r="BI77" s="304">
        <v>10</v>
      </c>
      <c r="BJ77" s="304"/>
      <c r="BK77" s="304"/>
      <c r="BL77" s="304"/>
      <c r="BM77" s="304"/>
      <c r="BN77" s="304"/>
      <c r="BO77" s="304"/>
      <c r="BP77" s="304"/>
      <c r="BQ77" s="304"/>
      <c r="BR77" s="304"/>
      <c r="BS77" s="304"/>
      <c r="BT77" s="304"/>
      <c r="BU77" s="304"/>
      <c r="BV77" s="304"/>
      <c r="BW77" s="304"/>
      <c r="BX77" s="304"/>
      <c r="BY77" s="305"/>
      <c r="BZ77" s="308"/>
      <c r="CA77" s="307"/>
      <c r="CB77" s="307"/>
      <c r="CC77" s="307"/>
      <c r="CD77" s="307"/>
      <c r="CE77" s="307"/>
      <c r="CF77" s="309"/>
      <c r="CG77" s="332"/>
      <c r="CH77" s="328"/>
      <c r="CI77" s="328"/>
      <c r="CJ77" s="328"/>
      <c r="CK77" s="328"/>
      <c r="CL77" s="328"/>
      <c r="CM77" s="328">
        <v>2</v>
      </c>
      <c r="CN77" s="370"/>
      <c r="CO77" s="367"/>
      <c r="CP77" s="367"/>
      <c r="CQ77" s="367"/>
      <c r="CR77" s="367"/>
      <c r="CS77" s="387">
        <v>10</v>
      </c>
      <c r="CT77" s="398"/>
      <c r="CU77" s="399"/>
      <c r="CV77" s="399"/>
      <c r="CW77" s="399"/>
      <c r="CX77" s="399"/>
      <c r="CY77" s="399"/>
      <c r="CZ77" s="399"/>
      <c r="DA77" s="400">
        <v>1</v>
      </c>
      <c r="DB77" s="522">
        <v>1</v>
      </c>
    </row>
    <row r="78" spans="1:106" x14ac:dyDescent="0.25">
      <c r="A78" s="468" t="s">
        <v>62</v>
      </c>
      <c r="B78" s="468">
        <v>832</v>
      </c>
      <c r="C78" s="468" t="s">
        <v>3649</v>
      </c>
      <c r="D78" s="468">
        <v>1901</v>
      </c>
      <c r="E78" s="468" t="s">
        <v>1246</v>
      </c>
      <c r="F78" s="468" t="s">
        <v>1296</v>
      </c>
      <c r="G78" s="468" t="s">
        <v>1247</v>
      </c>
      <c r="H78" s="468" t="s">
        <v>289</v>
      </c>
      <c r="I78" s="468" t="s">
        <v>54</v>
      </c>
      <c r="J78" s="468" t="s">
        <v>3650</v>
      </c>
      <c r="K78" s="468" t="s">
        <v>1248</v>
      </c>
      <c r="L78" s="468" t="s">
        <v>3766</v>
      </c>
      <c r="M78" s="468" t="s">
        <v>4020</v>
      </c>
      <c r="N78" s="460">
        <v>0</v>
      </c>
      <c r="O78" s="294"/>
      <c r="P78" s="294"/>
      <c r="Q78" s="294"/>
      <c r="R78" s="294"/>
      <c r="S78" s="295"/>
      <c r="T78" s="299"/>
      <c r="U78" s="297"/>
      <c r="V78" s="297"/>
      <c r="W78" s="297"/>
      <c r="X78" s="297"/>
      <c r="Y78" s="297"/>
      <c r="Z78" s="297"/>
      <c r="AA78" s="297">
        <v>0</v>
      </c>
      <c r="AB78" s="293">
        <v>0</v>
      </c>
      <c r="AC78" s="294"/>
      <c r="AD78" s="295"/>
      <c r="AE78" s="298"/>
      <c r="AF78" s="296">
        <v>0</v>
      </c>
      <c r="AG78" s="297"/>
      <c r="AH78" s="297"/>
      <c r="AI78" s="297"/>
      <c r="AJ78" s="297"/>
      <c r="AK78" s="297"/>
      <c r="AL78" s="297"/>
      <c r="AM78" s="297"/>
      <c r="AN78" s="300"/>
      <c r="AO78" s="301"/>
      <c r="AP78" s="301">
        <v>1500</v>
      </c>
      <c r="AQ78" s="301"/>
      <c r="AR78" s="301"/>
      <c r="AS78" s="301"/>
      <c r="AT78" s="301"/>
      <c r="AU78" s="301"/>
      <c r="AV78" s="301"/>
      <c r="AW78" s="301"/>
      <c r="AX78" s="301"/>
      <c r="AY78" s="301"/>
      <c r="AZ78" s="301"/>
      <c r="BA78" s="301"/>
      <c r="BB78" s="301"/>
      <c r="BC78" s="301"/>
      <c r="BD78" s="301"/>
      <c r="BE78" s="301"/>
      <c r="BF78" s="302"/>
      <c r="BG78" s="303"/>
      <c r="BH78" s="304"/>
      <c r="BI78" s="304">
        <v>10</v>
      </c>
      <c r="BJ78" s="304"/>
      <c r="BK78" s="304"/>
      <c r="BL78" s="304"/>
      <c r="BM78" s="304"/>
      <c r="BN78" s="304"/>
      <c r="BO78" s="304"/>
      <c r="BP78" s="304"/>
      <c r="BQ78" s="304"/>
      <c r="BR78" s="304"/>
      <c r="BS78" s="304"/>
      <c r="BT78" s="304"/>
      <c r="BU78" s="304"/>
      <c r="BV78" s="304"/>
      <c r="BW78" s="304"/>
      <c r="BX78" s="304"/>
      <c r="BY78" s="305"/>
      <c r="BZ78" s="308"/>
      <c r="CA78" s="307"/>
      <c r="CB78" s="307"/>
      <c r="CC78" s="307"/>
      <c r="CD78" s="307"/>
      <c r="CE78" s="307"/>
      <c r="CF78" s="309">
        <v>1</v>
      </c>
      <c r="CG78" s="332"/>
      <c r="CH78" s="328"/>
      <c r="CI78" s="328"/>
      <c r="CJ78" s="328"/>
      <c r="CK78" s="328"/>
      <c r="CL78" s="328"/>
      <c r="CM78" s="328">
        <v>2</v>
      </c>
      <c r="CN78" s="370"/>
      <c r="CO78" s="367"/>
      <c r="CP78" s="367"/>
      <c r="CQ78" s="367"/>
      <c r="CR78" s="367"/>
      <c r="CS78" s="387">
        <v>10</v>
      </c>
      <c r="CT78" s="398"/>
      <c r="CU78" s="399"/>
      <c r="CV78" s="399"/>
      <c r="CW78" s="399"/>
      <c r="CX78" s="399"/>
      <c r="CY78" s="399"/>
      <c r="CZ78" s="399"/>
      <c r="DA78" s="400">
        <v>1</v>
      </c>
      <c r="DB78" s="522">
        <v>1</v>
      </c>
    </row>
    <row r="79" spans="1:106" x14ac:dyDescent="0.25">
      <c r="A79" s="468" t="s">
        <v>62</v>
      </c>
      <c r="B79" s="468">
        <v>832</v>
      </c>
      <c r="C79" s="468" t="s">
        <v>3651</v>
      </c>
      <c r="D79" s="468">
        <v>1902</v>
      </c>
      <c r="E79" s="468" t="s">
        <v>1249</v>
      </c>
      <c r="F79" s="468" t="s">
        <v>3048</v>
      </c>
      <c r="G79" s="468" t="s">
        <v>3005</v>
      </c>
      <c r="H79" s="468" t="s">
        <v>1250</v>
      </c>
      <c r="I79" s="468" t="s">
        <v>54</v>
      </c>
      <c r="J79" s="468" t="s">
        <v>3652</v>
      </c>
      <c r="K79" s="468" t="s">
        <v>1251</v>
      </c>
      <c r="L79" s="468" t="s">
        <v>3766</v>
      </c>
      <c r="M79" s="468" t="s">
        <v>4020</v>
      </c>
      <c r="N79" s="460">
        <v>0</v>
      </c>
      <c r="O79" s="294"/>
      <c r="P79" s="294"/>
      <c r="Q79" s="294"/>
      <c r="R79" s="294"/>
      <c r="S79" s="295"/>
      <c r="T79" s="299"/>
      <c r="U79" s="297"/>
      <c r="V79" s="297"/>
      <c r="W79" s="297"/>
      <c r="X79" s="297"/>
      <c r="Y79" s="297"/>
      <c r="Z79" s="297"/>
      <c r="AA79" s="297">
        <v>2</v>
      </c>
      <c r="AB79" s="293">
        <v>0</v>
      </c>
      <c r="AC79" s="294"/>
      <c r="AD79" s="295"/>
      <c r="AE79" s="298"/>
      <c r="AF79" s="296">
        <v>0</v>
      </c>
      <c r="AG79" s="297"/>
      <c r="AH79" s="297"/>
      <c r="AI79" s="297"/>
      <c r="AJ79" s="297"/>
      <c r="AK79" s="297"/>
      <c r="AL79" s="297"/>
      <c r="AM79" s="297"/>
      <c r="AN79" s="300"/>
      <c r="AO79" s="301"/>
      <c r="AP79" s="301">
        <v>1500</v>
      </c>
      <c r="AQ79" s="301"/>
      <c r="AR79" s="301"/>
      <c r="AS79" s="301"/>
      <c r="AT79" s="301"/>
      <c r="AU79" s="301"/>
      <c r="AV79" s="301"/>
      <c r="AW79" s="301"/>
      <c r="AX79" s="301"/>
      <c r="AY79" s="301"/>
      <c r="AZ79" s="301"/>
      <c r="BA79" s="301"/>
      <c r="BB79" s="301"/>
      <c r="BC79" s="301"/>
      <c r="BD79" s="301"/>
      <c r="BE79" s="301"/>
      <c r="BF79" s="302"/>
      <c r="BG79" s="303"/>
      <c r="BH79" s="304"/>
      <c r="BI79" s="304">
        <v>10</v>
      </c>
      <c r="BJ79" s="304"/>
      <c r="BK79" s="304"/>
      <c r="BL79" s="304"/>
      <c r="BM79" s="304"/>
      <c r="BN79" s="304"/>
      <c r="BO79" s="304"/>
      <c r="BP79" s="304"/>
      <c r="BQ79" s="304"/>
      <c r="BR79" s="304"/>
      <c r="BS79" s="304"/>
      <c r="BT79" s="304"/>
      <c r="BU79" s="304"/>
      <c r="BV79" s="304"/>
      <c r="BW79" s="304"/>
      <c r="BX79" s="304"/>
      <c r="BY79" s="305"/>
      <c r="BZ79" s="306"/>
      <c r="CA79" s="307"/>
      <c r="CB79" s="307"/>
      <c r="CC79" s="307"/>
      <c r="CD79" s="307"/>
      <c r="CE79" s="307"/>
      <c r="CF79" s="307"/>
      <c r="CG79" s="332"/>
      <c r="CH79" s="328"/>
      <c r="CI79" s="328"/>
      <c r="CJ79" s="328"/>
      <c r="CK79" s="328"/>
      <c r="CL79" s="328"/>
      <c r="CM79" s="328">
        <v>2</v>
      </c>
      <c r="CN79" s="370"/>
      <c r="CO79" s="367"/>
      <c r="CP79" s="367"/>
      <c r="CQ79" s="367"/>
      <c r="CR79" s="367"/>
      <c r="CS79" s="387">
        <v>10</v>
      </c>
      <c r="CT79" s="398"/>
      <c r="CU79" s="399"/>
      <c r="CV79" s="399"/>
      <c r="CW79" s="399"/>
      <c r="CX79" s="399"/>
      <c r="CY79" s="399"/>
      <c r="CZ79" s="399"/>
      <c r="DA79" s="400">
        <v>1</v>
      </c>
      <c r="DB79" s="522">
        <v>1</v>
      </c>
    </row>
    <row r="80" spans="1:106" x14ac:dyDescent="0.25">
      <c r="A80" s="468" t="s">
        <v>62</v>
      </c>
      <c r="B80" s="468">
        <v>812</v>
      </c>
      <c r="C80" s="468" t="s">
        <v>3669</v>
      </c>
      <c r="D80" s="468">
        <v>2501</v>
      </c>
      <c r="E80" s="468" t="s">
        <v>1255</v>
      </c>
      <c r="F80" s="468" t="s">
        <v>3004</v>
      </c>
      <c r="G80" s="468" t="s">
        <v>1257</v>
      </c>
      <c r="H80" s="468" t="s">
        <v>1258</v>
      </c>
      <c r="I80" s="468" t="s">
        <v>54</v>
      </c>
      <c r="J80" s="468" t="s">
        <v>3670</v>
      </c>
      <c r="K80" s="468" t="s">
        <v>1259</v>
      </c>
      <c r="L80" s="468" t="s">
        <v>3766</v>
      </c>
      <c r="M80" s="468" t="s">
        <v>4020</v>
      </c>
      <c r="N80" s="460">
        <v>1</v>
      </c>
      <c r="O80" s="294"/>
      <c r="P80" s="294"/>
      <c r="Q80" s="294"/>
      <c r="R80" s="294"/>
      <c r="S80" s="295"/>
      <c r="T80" s="296">
        <v>0</v>
      </c>
      <c r="U80" s="297"/>
      <c r="V80" s="297"/>
      <c r="W80" s="297"/>
      <c r="X80" s="297"/>
      <c r="Y80" s="297"/>
      <c r="Z80" s="297"/>
      <c r="AA80" s="297"/>
      <c r="AB80" s="293">
        <v>0</v>
      </c>
      <c r="AC80" s="294"/>
      <c r="AD80" s="295"/>
      <c r="AE80" s="298"/>
      <c r="AF80" s="296">
        <v>0</v>
      </c>
      <c r="AG80" s="297"/>
      <c r="AH80" s="297"/>
      <c r="AI80" s="297"/>
      <c r="AJ80" s="297"/>
      <c r="AK80" s="297"/>
      <c r="AL80" s="297"/>
      <c r="AM80" s="297"/>
      <c r="AN80" s="300"/>
      <c r="AO80" s="301"/>
      <c r="AP80" s="301">
        <v>1500</v>
      </c>
      <c r="AQ80" s="301"/>
      <c r="AR80" s="301"/>
      <c r="AS80" s="301"/>
      <c r="AT80" s="301"/>
      <c r="AU80" s="301"/>
      <c r="AV80" s="301"/>
      <c r="AW80" s="301"/>
      <c r="AX80" s="301"/>
      <c r="AY80" s="301"/>
      <c r="AZ80" s="301"/>
      <c r="BA80" s="301"/>
      <c r="BB80" s="301"/>
      <c r="BC80" s="301"/>
      <c r="BD80" s="301"/>
      <c r="BE80" s="301"/>
      <c r="BF80" s="302"/>
      <c r="BG80" s="303"/>
      <c r="BH80" s="304"/>
      <c r="BI80" s="304">
        <v>10</v>
      </c>
      <c r="BJ80" s="304"/>
      <c r="BK80" s="304"/>
      <c r="BL80" s="304"/>
      <c r="BM80" s="304"/>
      <c r="BN80" s="304"/>
      <c r="BO80" s="304"/>
      <c r="BP80" s="304"/>
      <c r="BQ80" s="304"/>
      <c r="BR80" s="304"/>
      <c r="BS80" s="304"/>
      <c r="BT80" s="304"/>
      <c r="BU80" s="304"/>
      <c r="BV80" s="304"/>
      <c r="BW80" s="304"/>
      <c r="BX80" s="304"/>
      <c r="BY80" s="305"/>
      <c r="BZ80" s="306"/>
      <c r="CA80" s="307"/>
      <c r="CB80" s="307"/>
      <c r="CC80" s="307"/>
      <c r="CD80" s="307"/>
      <c r="CE80" s="307"/>
      <c r="CF80" s="307"/>
      <c r="CG80" s="332"/>
      <c r="CH80" s="328"/>
      <c r="CI80" s="328"/>
      <c r="CJ80" s="328"/>
      <c r="CK80" s="328"/>
      <c r="CL80" s="328"/>
      <c r="CM80" s="328">
        <v>2</v>
      </c>
      <c r="CN80" s="370"/>
      <c r="CO80" s="367"/>
      <c r="CP80" s="367"/>
      <c r="CQ80" s="367"/>
      <c r="CR80" s="367"/>
      <c r="CS80" s="387">
        <v>10</v>
      </c>
      <c r="CT80" s="398"/>
      <c r="CU80" s="399"/>
      <c r="CV80" s="399"/>
      <c r="CW80" s="399"/>
      <c r="CX80" s="399"/>
      <c r="CY80" s="399"/>
      <c r="CZ80" s="399"/>
      <c r="DA80" s="400">
        <v>1</v>
      </c>
      <c r="DB80" s="522">
        <v>1</v>
      </c>
    </row>
    <row r="81" spans="1:106" x14ac:dyDescent="0.25">
      <c r="A81" s="468" t="s">
        <v>237</v>
      </c>
      <c r="B81" s="468">
        <v>813</v>
      </c>
      <c r="C81" s="468" t="s">
        <v>1386</v>
      </c>
      <c r="D81" s="468">
        <v>264</v>
      </c>
      <c r="E81" s="468" t="s">
        <v>1387</v>
      </c>
      <c r="F81" s="468" t="s">
        <v>1388</v>
      </c>
      <c r="G81" s="468" t="s">
        <v>1389</v>
      </c>
      <c r="H81" s="468" t="s">
        <v>1390</v>
      </c>
      <c r="I81" s="468" t="s">
        <v>241</v>
      </c>
      <c r="J81" s="468" t="s">
        <v>1391</v>
      </c>
      <c r="K81" s="468" t="s">
        <v>1392</v>
      </c>
      <c r="L81" s="468" t="s">
        <v>3844</v>
      </c>
      <c r="M81" s="468" t="s">
        <v>3845</v>
      </c>
      <c r="N81" s="460">
        <v>0</v>
      </c>
      <c r="O81" s="294"/>
      <c r="P81" s="294"/>
      <c r="Q81" s="294"/>
      <c r="R81" s="294"/>
      <c r="S81" s="295"/>
      <c r="T81" s="296">
        <v>0</v>
      </c>
      <c r="U81" s="297"/>
      <c r="V81" s="297"/>
      <c r="W81" s="297"/>
      <c r="X81" s="297"/>
      <c r="Y81" s="297"/>
      <c r="Z81" s="297"/>
      <c r="AA81" s="297"/>
      <c r="AB81" s="293">
        <v>0</v>
      </c>
      <c r="AC81" s="294"/>
      <c r="AD81" s="295"/>
      <c r="AE81" s="298"/>
      <c r="AF81" s="299"/>
      <c r="AG81" s="297">
        <v>1</v>
      </c>
      <c r="AH81" s="297"/>
      <c r="AI81" s="297"/>
      <c r="AJ81" s="297"/>
      <c r="AK81" s="297"/>
      <c r="AL81" s="297"/>
      <c r="AM81" s="297"/>
      <c r="AN81" s="300"/>
      <c r="AO81" s="301"/>
      <c r="AP81" s="301"/>
      <c r="AQ81" s="301"/>
      <c r="AR81" s="301"/>
      <c r="AS81" s="301"/>
      <c r="AT81" s="301"/>
      <c r="AU81" s="301"/>
      <c r="AV81" s="301"/>
      <c r="AW81" s="301"/>
      <c r="AX81" s="301">
        <v>1500</v>
      </c>
      <c r="AY81" s="301"/>
      <c r="AZ81" s="301"/>
      <c r="BA81" s="301"/>
      <c r="BB81" s="301"/>
      <c r="BC81" s="301"/>
      <c r="BD81" s="301"/>
      <c r="BE81" s="301"/>
      <c r="BF81" s="302"/>
      <c r="BG81" s="303"/>
      <c r="BH81" s="304"/>
      <c r="BI81" s="304"/>
      <c r="BJ81" s="304"/>
      <c r="BK81" s="304"/>
      <c r="BL81" s="304"/>
      <c r="BM81" s="304"/>
      <c r="BN81" s="304"/>
      <c r="BO81" s="304"/>
      <c r="BP81" s="304"/>
      <c r="BQ81" s="304">
        <v>10</v>
      </c>
      <c r="BR81" s="304"/>
      <c r="BS81" s="304"/>
      <c r="BT81" s="304"/>
      <c r="BU81" s="304"/>
      <c r="BV81" s="304"/>
      <c r="BW81" s="304"/>
      <c r="BX81" s="304"/>
      <c r="BY81" s="305"/>
      <c r="BZ81" s="306"/>
      <c r="CA81" s="307"/>
      <c r="CB81" s="307"/>
      <c r="CC81" s="307"/>
      <c r="CD81" s="307"/>
      <c r="CE81" s="307"/>
      <c r="CF81" s="307"/>
      <c r="CG81" s="332"/>
      <c r="CH81" s="328"/>
      <c r="CI81" s="328">
        <v>2</v>
      </c>
      <c r="CJ81" s="328"/>
      <c r="CK81" s="328"/>
      <c r="CL81" s="328"/>
      <c r="CM81" s="328"/>
      <c r="CN81" s="370"/>
      <c r="CO81" s="367"/>
      <c r="CP81" s="367">
        <v>10</v>
      </c>
      <c r="CQ81" s="367"/>
      <c r="CR81" s="367"/>
      <c r="CS81" s="387"/>
      <c r="CT81" s="398"/>
      <c r="CU81" s="399"/>
      <c r="CV81" s="399">
        <v>1</v>
      </c>
      <c r="CW81" s="399"/>
      <c r="CX81" s="399"/>
      <c r="CY81" s="399"/>
      <c r="CZ81" s="399"/>
      <c r="DA81" s="400"/>
      <c r="DB81" s="522">
        <v>1</v>
      </c>
    </row>
    <row r="82" spans="1:106" x14ac:dyDescent="0.25">
      <c r="A82" s="468" t="s">
        <v>237</v>
      </c>
      <c r="B82" s="468">
        <v>813</v>
      </c>
      <c r="C82" s="468" t="s">
        <v>1423</v>
      </c>
      <c r="D82" s="468">
        <v>270</v>
      </c>
      <c r="E82" s="468" t="s">
        <v>1424</v>
      </c>
      <c r="F82" s="468" t="s">
        <v>1425</v>
      </c>
      <c r="G82" s="468" t="s">
        <v>1426</v>
      </c>
      <c r="H82" s="468" t="s">
        <v>1420</v>
      </c>
      <c r="I82" s="468" t="s">
        <v>241</v>
      </c>
      <c r="J82" s="468" t="s">
        <v>1427</v>
      </c>
      <c r="K82" s="468" t="s">
        <v>1428</v>
      </c>
      <c r="L82" s="468" t="s">
        <v>3844</v>
      </c>
      <c r="M82" s="468" t="s">
        <v>3845</v>
      </c>
      <c r="N82" s="460">
        <v>0</v>
      </c>
      <c r="O82" s="294"/>
      <c r="P82" s="294"/>
      <c r="Q82" s="294"/>
      <c r="R82" s="294"/>
      <c r="S82" s="295"/>
      <c r="T82" s="296">
        <v>0</v>
      </c>
      <c r="U82" s="297"/>
      <c r="V82" s="297"/>
      <c r="W82" s="297"/>
      <c r="X82" s="297"/>
      <c r="Y82" s="297"/>
      <c r="Z82" s="297"/>
      <c r="AA82" s="297"/>
      <c r="AB82" s="293">
        <v>0</v>
      </c>
      <c r="AC82" s="294"/>
      <c r="AD82" s="295"/>
      <c r="AE82" s="298"/>
      <c r="AF82" s="299"/>
      <c r="AG82" s="297">
        <v>2</v>
      </c>
      <c r="AH82" s="297"/>
      <c r="AI82" s="297"/>
      <c r="AJ82" s="297"/>
      <c r="AK82" s="297"/>
      <c r="AL82" s="297"/>
      <c r="AM82" s="297"/>
      <c r="AN82" s="300"/>
      <c r="AO82" s="301"/>
      <c r="AP82" s="301"/>
      <c r="AQ82" s="301"/>
      <c r="AR82" s="301"/>
      <c r="AS82" s="301"/>
      <c r="AT82" s="301"/>
      <c r="AU82" s="301"/>
      <c r="AV82" s="301"/>
      <c r="AW82" s="301"/>
      <c r="AX82" s="301">
        <v>1500</v>
      </c>
      <c r="AY82" s="301"/>
      <c r="AZ82" s="301"/>
      <c r="BA82" s="301"/>
      <c r="BB82" s="301"/>
      <c r="BC82" s="301"/>
      <c r="BD82" s="301"/>
      <c r="BE82" s="301"/>
      <c r="BF82" s="302"/>
      <c r="BG82" s="303"/>
      <c r="BH82" s="304"/>
      <c r="BI82" s="304"/>
      <c r="BJ82" s="304"/>
      <c r="BK82" s="304"/>
      <c r="BL82" s="304"/>
      <c r="BM82" s="304"/>
      <c r="BN82" s="304"/>
      <c r="BO82" s="304"/>
      <c r="BP82" s="304"/>
      <c r="BQ82" s="304">
        <v>10</v>
      </c>
      <c r="BR82" s="304"/>
      <c r="BS82" s="304"/>
      <c r="BT82" s="304"/>
      <c r="BU82" s="304"/>
      <c r="BV82" s="304"/>
      <c r="BW82" s="304"/>
      <c r="BX82" s="304"/>
      <c r="BY82" s="305"/>
      <c r="BZ82" s="306"/>
      <c r="CA82" s="307"/>
      <c r="CB82" s="307"/>
      <c r="CC82" s="307"/>
      <c r="CD82" s="307"/>
      <c r="CE82" s="307"/>
      <c r="CF82" s="307"/>
      <c r="CG82" s="332"/>
      <c r="CH82" s="328"/>
      <c r="CI82" s="328">
        <v>2</v>
      </c>
      <c r="CJ82" s="328"/>
      <c r="CK82" s="328"/>
      <c r="CL82" s="328"/>
      <c r="CM82" s="328"/>
      <c r="CN82" s="370"/>
      <c r="CO82" s="367"/>
      <c r="CP82" s="367">
        <v>10</v>
      </c>
      <c r="CQ82" s="367"/>
      <c r="CR82" s="367"/>
      <c r="CS82" s="387"/>
      <c r="CT82" s="398"/>
      <c r="CU82" s="399"/>
      <c r="CV82" s="399">
        <v>1</v>
      </c>
      <c r="CW82" s="399"/>
      <c r="CX82" s="399"/>
      <c r="CY82" s="399"/>
      <c r="CZ82" s="399"/>
      <c r="DA82" s="400"/>
      <c r="DB82" s="522">
        <v>1</v>
      </c>
    </row>
    <row r="83" spans="1:106" x14ac:dyDescent="0.25">
      <c r="A83" s="468" t="s">
        <v>181</v>
      </c>
      <c r="B83" s="468">
        <v>801</v>
      </c>
      <c r="C83" s="468" t="s">
        <v>3535</v>
      </c>
      <c r="D83" s="468">
        <v>1484</v>
      </c>
      <c r="E83" s="468" t="s">
        <v>1429</v>
      </c>
      <c r="F83" s="468" t="s">
        <v>1430</v>
      </c>
      <c r="G83" s="468" t="s">
        <v>1431</v>
      </c>
      <c r="H83" s="468" t="s">
        <v>1432</v>
      </c>
      <c r="I83" s="468" t="s">
        <v>186</v>
      </c>
      <c r="J83" s="468" t="s">
        <v>3536</v>
      </c>
      <c r="K83" s="468" t="s">
        <v>1433</v>
      </c>
      <c r="L83" s="468" t="s">
        <v>3737</v>
      </c>
      <c r="M83" s="468" t="s">
        <v>4013</v>
      </c>
      <c r="N83" s="460">
        <v>0</v>
      </c>
      <c r="O83" s="294"/>
      <c r="P83" s="294"/>
      <c r="Q83" s="294"/>
      <c r="R83" s="294"/>
      <c r="S83" s="295"/>
      <c r="T83" s="299"/>
      <c r="U83" s="297"/>
      <c r="V83" s="297"/>
      <c r="W83" s="297"/>
      <c r="X83" s="297">
        <v>2</v>
      </c>
      <c r="Y83" s="297"/>
      <c r="Z83" s="297"/>
      <c r="AA83" s="297"/>
      <c r="AB83" s="293">
        <v>0</v>
      </c>
      <c r="AC83" s="294"/>
      <c r="AD83" s="295"/>
      <c r="AE83" s="298"/>
      <c r="AF83" s="296">
        <v>0</v>
      </c>
      <c r="AG83" s="297"/>
      <c r="AH83" s="297"/>
      <c r="AI83" s="297"/>
      <c r="AJ83" s="297"/>
      <c r="AK83" s="297"/>
      <c r="AL83" s="297"/>
      <c r="AM83" s="297"/>
      <c r="AN83" s="300"/>
      <c r="AO83" s="301"/>
      <c r="AP83" s="301"/>
      <c r="AQ83" s="301">
        <v>1500</v>
      </c>
      <c r="AR83" s="301"/>
      <c r="AS83" s="301"/>
      <c r="AT83" s="301"/>
      <c r="AU83" s="301"/>
      <c r="AV83" s="301"/>
      <c r="AW83" s="301"/>
      <c r="AX83" s="301"/>
      <c r="AY83" s="301"/>
      <c r="AZ83" s="301"/>
      <c r="BA83" s="301"/>
      <c r="BB83" s="301"/>
      <c r="BC83" s="301"/>
      <c r="BD83" s="301"/>
      <c r="BE83" s="301"/>
      <c r="BF83" s="302"/>
      <c r="BG83" s="303"/>
      <c r="BH83" s="304"/>
      <c r="BI83" s="304"/>
      <c r="BJ83" s="304">
        <v>10</v>
      </c>
      <c r="BK83" s="304"/>
      <c r="BL83" s="304"/>
      <c r="BM83" s="304"/>
      <c r="BN83" s="304"/>
      <c r="BO83" s="304"/>
      <c r="BP83" s="304"/>
      <c r="BQ83" s="304"/>
      <c r="BR83" s="304"/>
      <c r="BS83" s="304"/>
      <c r="BT83" s="304"/>
      <c r="BU83" s="304"/>
      <c r="BV83" s="304"/>
      <c r="BW83" s="304"/>
      <c r="BX83" s="304"/>
      <c r="BY83" s="305"/>
      <c r="BZ83" s="306"/>
      <c r="CA83" s="307"/>
      <c r="CB83" s="307"/>
      <c r="CC83" s="307"/>
      <c r="CD83" s="307"/>
      <c r="CE83" s="307"/>
      <c r="CF83" s="307"/>
      <c r="CG83" s="332"/>
      <c r="CH83" s="328"/>
      <c r="CI83" s="328"/>
      <c r="CJ83" s="328">
        <v>2</v>
      </c>
      <c r="CK83" s="328"/>
      <c r="CL83" s="328"/>
      <c r="CM83" s="328"/>
      <c r="CN83" s="370"/>
      <c r="CO83" s="367"/>
      <c r="CP83" s="367"/>
      <c r="CQ83" s="367">
        <v>10</v>
      </c>
      <c r="CR83" s="367"/>
      <c r="CS83" s="387"/>
      <c r="CT83" s="398"/>
      <c r="CU83" s="399"/>
      <c r="CV83" s="399"/>
      <c r="CW83" s="399">
        <v>1</v>
      </c>
      <c r="CX83" s="399"/>
      <c r="CY83" s="399"/>
      <c r="CZ83" s="399"/>
      <c r="DA83" s="400"/>
      <c r="DB83" s="522">
        <v>1</v>
      </c>
    </row>
    <row r="84" spans="1:106" x14ac:dyDescent="0.25">
      <c r="A84" s="468" t="s">
        <v>181</v>
      </c>
      <c r="B84" s="468">
        <v>801</v>
      </c>
      <c r="C84" s="468" t="s">
        <v>3602</v>
      </c>
      <c r="D84" s="468">
        <v>1723</v>
      </c>
      <c r="E84" s="468" t="s">
        <v>1434</v>
      </c>
      <c r="F84" s="468" t="s">
        <v>1435</v>
      </c>
      <c r="G84" s="468" t="s">
        <v>1436</v>
      </c>
      <c r="H84" s="468" t="s">
        <v>1432</v>
      </c>
      <c r="I84" s="468" t="s">
        <v>186</v>
      </c>
      <c r="J84" s="468" t="s">
        <v>3536</v>
      </c>
      <c r="K84" s="468" t="s">
        <v>1437</v>
      </c>
      <c r="L84" s="468" t="s">
        <v>3737</v>
      </c>
      <c r="M84" s="468" t="s">
        <v>4013</v>
      </c>
      <c r="N84" s="460">
        <v>0</v>
      </c>
      <c r="O84" s="294"/>
      <c r="P84" s="294"/>
      <c r="Q84" s="294"/>
      <c r="R84" s="294"/>
      <c r="S84" s="295"/>
      <c r="T84" s="299"/>
      <c r="U84" s="297"/>
      <c r="V84" s="297"/>
      <c r="W84" s="297"/>
      <c r="X84" s="297">
        <v>1</v>
      </c>
      <c r="Y84" s="297"/>
      <c r="Z84" s="297"/>
      <c r="AA84" s="297"/>
      <c r="AB84" s="293">
        <v>0</v>
      </c>
      <c r="AC84" s="294"/>
      <c r="AD84" s="295"/>
      <c r="AE84" s="298"/>
      <c r="AF84" s="296">
        <v>0</v>
      </c>
      <c r="AG84" s="297"/>
      <c r="AH84" s="297"/>
      <c r="AI84" s="297"/>
      <c r="AJ84" s="297"/>
      <c r="AK84" s="297"/>
      <c r="AL84" s="297"/>
      <c r="AM84" s="297"/>
      <c r="AN84" s="300"/>
      <c r="AO84" s="301"/>
      <c r="AP84" s="301"/>
      <c r="AQ84" s="301">
        <v>1500</v>
      </c>
      <c r="AR84" s="301"/>
      <c r="AS84" s="301"/>
      <c r="AT84" s="301"/>
      <c r="AU84" s="301"/>
      <c r="AV84" s="301"/>
      <c r="AW84" s="301"/>
      <c r="AX84" s="301"/>
      <c r="AY84" s="301"/>
      <c r="AZ84" s="301"/>
      <c r="BA84" s="301"/>
      <c r="BB84" s="301"/>
      <c r="BC84" s="301"/>
      <c r="BD84" s="301"/>
      <c r="BE84" s="301"/>
      <c r="BF84" s="302"/>
      <c r="BG84" s="303"/>
      <c r="BH84" s="304"/>
      <c r="BI84" s="304"/>
      <c r="BJ84" s="304">
        <v>10</v>
      </c>
      <c r="BK84" s="304"/>
      <c r="BL84" s="304"/>
      <c r="BM84" s="304"/>
      <c r="BN84" s="304"/>
      <c r="BO84" s="304"/>
      <c r="BP84" s="304"/>
      <c r="BQ84" s="304"/>
      <c r="BR84" s="304"/>
      <c r="BS84" s="304"/>
      <c r="BT84" s="304"/>
      <c r="BU84" s="304"/>
      <c r="BV84" s="304"/>
      <c r="BW84" s="304"/>
      <c r="BX84" s="304"/>
      <c r="BY84" s="305"/>
      <c r="BZ84" s="306"/>
      <c r="CA84" s="307"/>
      <c r="CB84" s="307"/>
      <c r="CC84" s="307"/>
      <c r="CD84" s="307"/>
      <c r="CE84" s="307"/>
      <c r="CF84" s="307"/>
      <c r="CG84" s="332"/>
      <c r="CH84" s="328"/>
      <c r="CI84" s="328"/>
      <c r="CJ84" s="328">
        <v>2</v>
      </c>
      <c r="CK84" s="328"/>
      <c r="CL84" s="328"/>
      <c r="CM84" s="328"/>
      <c r="CN84" s="370"/>
      <c r="CO84" s="367"/>
      <c r="CP84" s="367"/>
      <c r="CQ84" s="367">
        <v>10</v>
      </c>
      <c r="CR84" s="367"/>
      <c r="CS84" s="387"/>
      <c r="CT84" s="398"/>
      <c r="CU84" s="399"/>
      <c r="CV84" s="399"/>
      <c r="CW84" s="399">
        <v>1</v>
      </c>
      <c r="CX84" s="399"/>
      <c r="CY84" s="399"/>
      <c r="CZ84" s="399"/>
      <c r="DA84" s="400"/>
      <c r="DB84" s="522">
        <v>1</v>
      </c>
    </row>
    <row r="85" spans="1:106" x14ac:dyDescent="0.25">
      <c r="A85" s="468" t="s">
        <v>188</v>
      </c>
      <c r="B85" s="468">
        <v>801</v>
      </c>
      <c r="C85" s="468" t="s">
        <v>189</v>
      </c>
      <c r="D85" s="468">
        <v>730</v>
      </c>
      <c r="E85" s="468" t="s">
        <v>190</v>
      </c>
      <c r="F85" s="468" t="s">
        <v>1503</v>
      </c>
      <c r="G85" s="468" t="s">
        <v>191</v>
      </c>
      <c r="H85" s="468" t="s">
        <v>192</v>
      </c>
      <c r="I85" s="468" t="s">
        <v>186</v>
      </c>
      <c r="J85" s="468" t="s">
        <v>3261</v>
      </c>
      <c r="K85" s="468" t="s">
        <v>193</v>
      </c>
      <c r="L85" s="468" t="s">
        <v>3737</v>
      </c>
      <c r="M85" s="468" t="s">
        <v>3739</v>
      </c>
      <c r="N85" s="460">
        <v>0</v>
      </c>
      <c r="O85" s="294"/>
      <c r="P85" s="294"/>
      <c r="Q85" s="294"/>
      <c r="R85" s="294"/>
      <c r="S85" s="295"/>
      <c r="T85" s="299"/>
      <c r="U85" s="297"/>
      <c r="V85" s="297"/>
      <c r="W85" s="297">
        <v>2</v>
      </c>
      <c r="X85" s="297"/>
      <c r="Y85" s="297"/>
      <c r="Z85" s="297"/>
      <c r="AA85" s="297"/>
      <c r="AB85" s="293">
        <v>0</v>
      </c>
      <c r="AC85" s="294"/>
      <c r="AD85" s="295"/>
      <c r="AE85" s="298"/>
      <c r="AF85" s="296">
        <v>0</v>
      </c>
      <c r="AG85" s="297"/>
      <c r="AH85" s="297"/>
      <c r="AI85" s="297"/>
      <c r="AJ85" s="297"/>
      <c r="AK85" s="297"/>
      <c r="AL85" s="297"/>
      <c r="AM85" s="297"/>
      <c r="AN85" s="300"/>
      <c r="AO85" s="301"/>
      <c r="AP85" s="301"/>
      <c r="AQ85" s="301"/>
      <c r="AR85" s="301"/>
      <c r="AS85" s="301"/>
      <c r="AT85" s="301"/>
      <c r="AU85" s="301"/>
      <c r="AV85" s="301"/>
      <c r="AW85" s="301"/>
      <c r="AX85" s="301"/>
      <c r="AY85" s="301"/>
      <c r="AZ85" s="301">
        <v>1500</v>
      </c>
      <c r="BA85" s="301"/>
      <c r="BB85" s="301"/>
      <c r="BC85" s="301"/>
      <c r="BD85" s="301"/>
      <c r="BE85" s="301"/>
      <c r="BF85" s="302"/>
      <c r="BG85" s="303"/>
      <c r="BH85" s="304"/>
      <c r="BI85" s="304"/>
      <c r="BJ85" s="304"/>
      <c r="BK85" s="304"/>
      <c r="BL85" s="304"/>
      <c r="BM85" s="304"/>
      <c r="BN85" s="304"/>
      <c r="BO85" s="304"/>
      <c r="BP85" s="304"/>
      <c r="BQ85" s="304"/>
      <c r="BR85" s="304"/>
      <c r="BS85" s="304">
        <v>10</v>
      </c>
      <c r="BT85" s="304"/>
      <c r="BU85" s="304"/>
      <c r="BV85" s="304"/>
      <c r="BW85" s="304"/>
      <c r="BX85" s="304"/>
      <c r="BY85" s="305"/>
      <c r="BZ85" s="306"/>
      <c r="CA85" s="307"/>
      <c r="CB85" s="307"/>
      <c r="CC85" s="307"/>
      <c r="CD85" s="307"/>
      <c r="CE85" s="307"/>
      <c r="CF85" s="307"/>
      <c r="CG85" s="332"/>
      <c r="CH85" s="328"/>
      <c r="CI85" s="328"/>
      <c r="CJ85" s="328">
        <v>2</v>
      </c>
      <c r="CK85" s="328"/>
      <c r="CL85" s="328"/>
      <c r="CM85" s="328"/>
      <c r="CN85" s="370"/>
      <c r="CO85" s="367"/>
      <c r="CP85" s="367"/>
      <c r="CQ85" s="367">
        <v>10</v>
      </c>
      <c r="CR85" s="367"/>
      <c r="CS85" s="387"/>
      <c r="CT85" s="398"/>
      <c r="CU85" s="399"/>
      <c r="CV85" s="399"/>
      <c r="CW85" s="399"/>
      <c r="CX85" s="399">
        <v>1</v>
      </c>
      <c r="CY85" s="399"/>
      <c r="CZ85" s="399"/>
      <c r="DA85" s="400"/>
      <c r="DB85" s="522">
        <v>1</v>
      </c>
    </row>
    <row r="86" spans="1:106" x14ac:dyDescent="0.25">
      <c r="A86" s="468" t="s">
        <v>188</v>
      </c>
      <c r="B86" s="468">
        <v>801</v>
      </c>
      <c r="C86" s="468" t="s">
        <v>1504</v>
      </c>
      <c r="D86" s="468">
        <v>731</v>
      </c>
      <c r="E86" s="468" t="s">
        <v>1505</v>
      </c>
      <c r="F86" s="468" t="s">
        <v>3262</v>
      </c>
      <c r="G86" s="468" t="s">
        <v>1506</v>
      </c>
      <c r="H86" s="468" t="s">
        <v>1489</v>
      </c>
      <c r="I86" s="468" t="s">
        <v>186</v>
      </c>
      <c r="J86" s="468" t="s">
        <v>3263</v>
      </c>
      <c r="K86" s="468" t="s">
        <v>1507</v>
      </c>
      <c r="L86" s="468" t="s">
        <v>3737</v>
      </c>
      <c r="M86" s="468" t="s">
        <v>3739</v>
      </c>
      <c r="N86" s="460">
        <v>0</v>
      </c>
      <c r="O86" s="294"/>
      <c r="P86" s="294"/>
      <c r="Q86" s="294"/>
      <c r="R86" s="294"/>
      <c r="S86" s="295"/>
      <c r="T86" s="299"/>
      <c r="U86" s="297"/>
      <c r="V86" s="297"/>
      <c r="W86" s="297">
        <v>2</v>
      </c>
      <c r="X86" s="297"/>
      <c r="Y86" s="297"/>
      <c r="Z86" s="297"/>
      <c r="AA86" s="297"/>
      <c r="AB86" s="293">
        <v>0</v>
      </c>
      <c r="AC86" s="294"/>
      <c r="AD86" s="295"/>
      <c r="AE86" s="298"/>
      <c r="AF86" s="296">
        <v>0</v>
      </c>
      <c r="AG86" s="297"/>
      <c r="AH86" s="297"/>
      <c r="AI86" s="297"/>
      <c r="AJ86" s="297"/>
      <c r="AK86" s="297"/>
      <c r="AL86" s="297"/>
      <c r="AM86" s="297"/>
      <c r="AN86" s="300"/>
      <c r="AO86" s="301"/>
      <c r="AP86" s="301"/>
      <c r="AQ86" s="301"/>
      <c r="AR86" s="301"/>
      <c r="AS86" s="301"/>
      <c r="AT86" s="301"/>
      <c r="AU86" s="301"/>
      <c r="AV86" s="301"/>
      <c r="AW86" s="301"/>
      <c r="AX86" s="301"/>
      <c r="AY86" s="301"/>
      <c r="AZ86" s="301">
        <v>1500</v>
      </c>
      <c r="BA86" s="301"/>
      <c r="BB86" s="301"/>
      <c r="BC86" s="301"/>
      <c r="BD86" s="301"/>
      <c r="BE86" s="301"/>
      <c r="BF86" s="302"/>
      <c r="BG86" s="303"/>
      <c r="BH86" s="304"/>
      <c r="BI86" s="304"/>
      <c r="BJ86" s="304"/>
      <c r="BK86" s="304"/>
      <c r="BL86" s="304"/>
      <c r="BM86" s="304"/>
      <c r="BN86" s="304"/>
      <c r="BO86" s="304"/>
      <c r="BP86" s="304"/>
      <c r="BQ86" s="304"/>
      <c r="BR86" s="304"/>
      <c r="BS86" s="304">
        <v>10</v>
      </c>
      <c r="BT86" s="304"/>
      <c r="BU86" s="304"/>
      <c r="BV86" s="304"/>
      <c r="BW86" s="304"/>
      <c r="BX86" s="304"/>
      <c r="BY86" s="305"/>
      <c r="BZ86" s="306"/>
      <c r="CA86" s="307"/>
      <c r="CB86" s="307"/>
      <c r="CC86" s="307"/>
      <c r="CD86" s="307"/>
      <c r="CE86" s="307"/>
      <c r="CF86" s="307"/>
      <c r="CG86" s="332"/>
      <c r="CH86" s="328"/>
      <c r="CI86" s="328"/>
      <c r="CJ86" s="328">
        <v>2</v>
      </c>
      <c r="CK86" s="328"/>
      <c r="CL86" s="328"/>
      <c r="CM86" s="328"/>
      <c r="CN86" s="370"/>
      <c r="CO86" s="367"/>
      <c r="CP86" s="367"/>
      <c r="CQ86" s="367">
        <v>10</v>
      </c>
      <c r="CR86" s="367"/>
      <c r="CS86" s="387"/>
      <c r="CT86" s="398"/>
      <c r="CU86" s="399"/>
      <c r="CV86" s="399"/>
      <c r="CW86" s="399"/>
      <c r="CX86" s="399">
        <v>1</v>
      </c>
      <c r="CY86" s="399"/>
      <c r="CZ86" s="399"/>
      <c r="DA86" s="400"/>
      <c r="DB86" s="522">
        <v>1</v>
      </c>
    </row>
    <row r="87" spans="1:106" x14ac:dyDescent="0.25">
      <c r="A87" s="468" t="s">
        <v>188</v>
      </c>
      <c r="B87" s="468">
        <v>801</v>
      </c>
      <c r="C87" s="468" t="s">
        <v>1508</v>
      </c>
      <c r="D87" s="468">
        <v>733</v>
      </c>
      <c r="E87" s="468" t="s">
        <v>1509</v>
      </c>
      <c r="F87" s="468" t="s">
        <v>1510</v>
      </c>
      <c r="G87" s="468" t="s">
        <v>1511</v>
      </c>
      <c r="H87" s="468" t="s">
        <v>1512</v>
      </c>
      <c r="I87" s="468" t="s">
        <v>186</v>
      </c>
      <c r="J87" s="468" t="s">
        <v>3264</v>
      </c>
      <c r="K87" s="468" t="s">
        <v>1513</v>
      </c>
      <c r="L87" s="468" t="s">
        <v>3737</v>
      </c>
      <c r="M87" s="468" t="s">
        <v>3739</v>
      </c>
      <c r="N87" s="460">
        <v>0</v>
      </c>
      <c r="O87" s="294"/>
      <c r="P87" s="294"/>
      <c r="Q87" s="294"/>
      <c r="R87" s="294"/>
      <c r="S87" s="295"/>
      <c r="T87" s="299"/>
      <c r="U87" s="297"/>
      <c r="V87" s="297"/>
      <c r="W87" s="297">
        <v>0</v>
      </c>
      <c r="X87" s="297"/>
      <c r="Y87" s="297"/>
      <c r="Z87" s="297"/>
      <c r="AA87" s="297"/>
      <c r="AB87" s="310"/>
      <c r="AC87" s="294">
        <v>2</v>
      </c>
      <c r="AD87" s="295"/>
      <c r="AE87" s="298"/>
      <c r="AF87" s="296">
        <v>0</v>
      </c>
      <c r="AG87" s="297"/>
      <c r="AH87" s="297"/>
      <c r="AI87" s="297"/>
      <c r="AJ87" s="297"/>
      <c r="AK87" s="297"/>
      <c r="AL87" s="297"/>
      <c r="AM87" s="297"/>
      <c r="AN87" s="300"/>
      <c r="AO87" s="301"/>
      <c r="AP87" s="301"/>
      <c r="AQ87" s="301"/>
      <c r="AR87" s="301"/>
      <c r="AS87" s="301"/>
      <c r="AT87" s="301"/>
      <c r="AU87" s="301"/>
      <c r="AV87" s="301"/>
      <c r="AW87" s="301"/>
      <c r="AX87" s="301"/>
      <c r="AY87" s="301"/>
      <c r="AZ87" s="301">
        <v>1500</v>
      </c>
      <c r="BA87" s="301"/>
      <c r="BB87" s="301"/>
      <c r="BC87" s="301"/>
      <c r="BD87" s="301"/>
      <c r="BE87" s="301"/>
      <c r="BF87" s="302"/>
      <c r="BG87" s="303"/>
      <c r="BH87" s="304"/>
      <c r="BI87" s="304"/>
      <c r="BJ87" s="304"/>
      <c r="BK87" s="304"/>
      <c r="BL87" s="304"/>
      <c r="BM87" s="304"/>
      <c r="BN87" s="304"/>
      <c r="BO87" s="304"/>
      <c r="BP87" s="304"/>
      <c r="BQ87" s="304"/>
      <c r="BR87" s="304"/>
      <c r="BS87" s="304">
        <v>10</v>
      </c>
      <c r="BT87" s="304"/>
      <c r="BU87" s="304"/>
      <c r="BV87" s="304"/>
      <c r="BW87" s="304"/>
      <c r="BX87" s="304"/>
      <c r="BY87" s="305"/>
      <c r="BZ87" s="306"/>
      <c r="CA87" s="307"/>
      <c r="CB87" s="307"/>
      <c r="CC87" s="307"/>
      <c r="CD87" s="307"/>
      <c r="CE87" s="307"/>
      <c r="CF87" s="307"/>
      <c r="CG87" s="332"/>
      <c r="CH87" s="328"/>
      <c r="CI87" s="328"/>
      <c r="CJ87" s="328">
        <v>2</v>
      </c>
      <c r="CK87" s="328"/>
      <c r="CL87" s="328"/>
      <c r="CM87" s="328"/>
      <c r="CN87" s="370"/>
      <c r="CO87" s="367"/>
      <c r="CP87" s="367"/>
      <c r="CQ87" s="367">
        <v>10</v>
      </c>
      <c r="CR87" s="367"/>
      <c r="CS87" s="387"/>
      <c r="CT87" s="398"/>
      <c r="CU87" s="399"/>
      <c r="CV87" s="399"/>
      <c r="CW87" s="399"/>
      <c r="CX87" s="399">
        <v>1</v>
      </c>
      <c r="CY87" s="399"/>
      <c r="CZ87" s="399"/>
      <c r="DA87" s="400"/>
      <c r="DB87" s="522">
        <v>1</v>
      </c>
    </row>
    <row r="88" spans="1:106" x14ac:dyDescent="0.25">
      <c r="A88" s="468" t="s">
        <v>188</v>
      </c>
      <c r="B88" s="468">
        <v>801</v>
      </c>
      <c r="C88" s="468" t="s">
        <v>1514</v>
      </c>
      <c r="D88" s="468">
        <v>734</v>
      </c>
      <c r="E88" s="468" t="s">
        <v>1515</v>
      </c>
      <c r="F88" s="468" t="s">
        <v>1516</v>
      </c>
      <c r="G88" s="468" t="s">
        <v>1517</v>
      </c>
      <c r="H88" s="468" t="s">
        <v>1518</v>
      </c>
      <c r="I88" s="468" t="s">
        <v>186</v>
      </c>
      <c r="J88" s="468" t="s">
        <v>3265</v>
      </c>
      <c r="K88" s="468" t="s">
        <v>1519</v>
      </c>
      <c r="L88" s="468" t="s">
        <v>3737</v>
      </c>
      <c r="M88" s="468" t="s">
        <v>3739</v>
      </c>
      <c r="N88" s="460">
        <v>0</v>
      </c>
      <c r="O88" s="294"/>
      <c r="P88" s="294"/>
      <c r="Q88" s="294"/>
      <c r="R88" s="294"/>
      <c r="S88" s="295"/>
      <c r="T88" s="299"/>
      <c r="U88" s="297"/>
      <c r="V88" s="297"/>
      <c r="W88" s="297">
        <v>2</v>
      </c>
      <c r="X88" s="297"/>
      <c r="Y88" s="297"/>
      <c r="Z88" s="297"/>
      <c r="AA88" s="297"/>
      <c r="AB88" s="293">
        <v>0</v>
      </c>
      <c r="AC88" s="294"/>
      <c r="AD88" s="295"/>
      <c r="AE88" s="298"/>
      <c r="AF88" s="296">
        <v>0</v>
      </c>
      <c r="AG88" s="297"/>
      <c r="AH88" s="297"/>
      <c r="AI88" s="297"/>
      <c r="AJ88" s="297"/>
      <c r="AK88" s="297"/>
      <c r="AL88" s="297"/>
      <c r="AM88" s="297"/>
      <c r="AN88" s="300"/>
      <c r="AO88" s="301"/>
      <c r="AP88" s="301"/>
      <c r="AQ88" s="301"/>
      <c r="AR88" s="301"/>
      <c r="AS88" s="301"/>
      <c r="AT88" s="301"/>
      <c r="AU88" s="301"/>
      <c r="AV88" s="301"/>
      <c r="AW88" s="301"/>
      <c r="AX88" s="301"/>
      <c r="AY88" s="301"/>
      <c r="AZ88" s="301">
        <v>1500</v>
      </c>
      <c r="BA88" s="301"/>
      <c r="BB88" s="301"/>
      <c r="BC88" s="301"/>
      <c r="BD88" s="301"/>
      <c r="BE88" s="301"/>
      <c r="BF88" s="302"/>
      <c r="BG88" s="303"/>
      <c r="BH88" s="304"/>
      <c r="BI88" s="304"/>
      <c r="BJ88" s="304"/>
      <c r="BK88" s="304"/>
      <c r="BL88" s="304"/>
      <c r="BM88" s="304"/>
      <c r="BN88" s="304"/>
      <c r="BO88" s="304"/>
      <c r="BP88" s="304"/>
      <c r="BQ88" s="304"/>
      <c r="BR88" s="304"/>
      <c r="BS88" s="304">
        <v>10</v>
      </c>
      <c r="BT88" s="304"/>
      <c r="BU88" s="304"/>
      <c r="BV88" s="304"/>
      <c r="BW88" s="304"/>
      <c r="BX88" s="304"/>
      <c r="BY88" s="305"/>
      <c r="BZ88" s="306"/>
      <c r="CA88" s="307"/>
      <c r="CB88" s="307"/>
      <c r="CC88" s="307"/>
      <c r="CD88" s="307"/>
      <c r="CE88" s="307"/>
      <c r="CF88" s="307"/>
      <c r="CG88" s="332"/>
      <c r="CH88" s="328"/>
      <c r="CI88" s="328"/>
      <c r="CJ88" s="328">
        <v>2</v>
      </c>
      <c r="CK88" s="328"/>
      <c r="CL88" s="328"/>
      <c r="CM88" s="328"/>
      <c r="CN88" s="370"/>
      <c r="CO88" s="367"/>
      <c r="CP88" s="367"/>
      <c r="CQ88" s="367">
        <v>10</v>
      </c>
      <c r="CR88" s="367"/>
      <c r="CS88" s="387"/>
      <c r="CT88" s="398"/>
      <c r="CU88" s="399"/>
      <c r="CV88" s="399"/>
      <c r="CW88" s="399"/>
      <c r="CX88" s="399">
        <v>1</v>
      </c>
      <c r="CY88" s="399"/>
      <c r="CZ88" s="399"/>
      <c r="DA88" s="400"/>
      <c r="DB88" s="522">
        <v>1</v>
      </c>
    </row>
    <row r="89" spans="1:106" x14ac:dyDescent="0.25">
      <c r="A89" s="468" t="s">
        <v>188</v>
      </c>
      <c r="B89" s="468">
        <v>801</v>
      </c>
      <c r="C89" s="468" t="s">
        <v>3597</v>
      </c>
      <c r="D89" s="468">
        <v>1721</v>
      </c>
      <c r="E89" s="468" t="s">
        <v>1455</v>
      </c>
      <c r="F89" s="468" t="s">
        <v>1460</v>
      </c>
      <c r="G89" s="468" t="s">
        <v>1456</v>
      </c>
      <c r="H89" s="468" t="s">
        <v>1457</v>
      </c>
      <c r="I89" s="468" t="s">
        <v>186</v>
      </c>
      <c r="J89" s="468" t="s">
        <v>3598</v>
      </c>
      <c r="K89" s="468" t="s">
        <v>1458</v>
      </c>
      <c r="L89" s="468" t="s">
        <v>3737</v>
      </c>
      <c r="M89" s="468" t="s">
        <v>3739</v>
      </c>
      <c r="N89" s="460">
        <v>0</v>
      </c>
      <c r="O89" s="294"/>
      <c r="P89" s="294"/>
      <c r="Q89" s="294"/>
      <c r="R89" s="294"/>
      <c r="S89" s="295"/>
      <c r="T89" s="299"/>
      <c r="U89" s="297"/>
      <c r="V89" s="297"/>
      <c r="W89" s="297">
        <v>1</v>
      </c>
      <c r="X89" s="297"/>
      <c r="Y89" s="297"/>
      <c r="Z89" s="297"/>
      <c r="AA89" s="297"/>
      <c r="AB89" s="293">
        <v>0</v>
      </c>
      <c r="AC89" s="294"/>
      <c r="AD89" s="295"/>
      <c r="AE89" s="298"/>
      <c r="AF89" s="296">
        <v>0</v>
      </c>
      <c r="AG89" s="297"/>
      <c r="AH89" s="297"/>
      <c r="AI89" s="297"/>
      <c r="AJ89" s="297"/>
      <c r="AK89" s="297"/>
      <c r="AL89" s="297"/>
      <c r="AM89" s="297"/>
      <c r="AN89" s="300"/>
      <c r="AO89" s="301"/>
      <c r="AP89" s="301"/>
      <c r="AQ89" s="301"/>
      <c r="AR89" s="301"/>
      <c r="AS89" s="301"/>
      <c r="AT89" s="301"/>
      <c r="AU89" s="301"/>
      <c r="AV89" s="301"/>
      <c r="AW89" s="301"/>
      <c r="AX89" s="301"/>
      <c r="AY89" s="301"/>
      <c r="AZ89" s="301">
        <v>1500</v>
      </c>
      <c r="BA89" s="301"/>
      <c r="BB89" s="301"/>
      <c r="BC89" s="301"/>
      <c r="BD89" s="301"/>
      <c r="BE89" s="301"/>
      <c r="BF89" s="302"/>
      <c r="BG89" s="303"/>
      <c r="BH89" s="304"/>
      <c r="BI89" s="304"/>
      <c r="BJ89" s="304"/>
      <c r="BK89" s="304"/>
      <c r="BL89" s="304"/>
      <c r="BM89" s="304"/>
      <c r="BN89" s="304"/>
      <c r="BO89" s="304"/>
      <c r="BP89" s="304"/>
      <c r="BQ89" s="304"/>
      <c r="BR89" s="304"/>
      <c r="BS89" s="304">
        <v>10</v>
      </c>
      <c r="BT89" s="304"/>
      <c r="BU89" s="304"/>
      <c r="BV89" s="304"/>
      <c r="BW89" s="304"/>
      <c r="BX89" s="304"/>
      <c r="BY89" s="305"/>
      <c r="BZ89" s="306"/>
      <c r="CA89" s="307"/>
      <c r="CB89" s="307"/>
      <c r="CC89" s="307"/>
      <c r="CD89" s="307"/>
      <c r="CE89" s="307"/>
      <c r="CF89" s="307"/>
      <c r="CG89" s="332"/>
      <c r="CH89" s="328"/>
      <c r="CI89" s="328"/>
      <c r="CJ89" s="328">
        <v>2</v>
      </c>
      <c r="CK89" s="328"/>
      <c r="CL89" s="328"/>
      <c r="CM89" s="328"/>
      <c r="CN89" s="370"/>
      <c r="CO89" s="367"/>
      <c r="CP89" s="367"/>
      <c r="CQ89" s="367">
        <v>10</v>
      </c>
      <c r="CR89" s="367"/>
      <c r="CS89" s="387"/>
      <c r="CT89" s="398"/>
      <c r="CU89" s="399"/>
      <c r="CV89" s="399"/>
      <c r="CW89" s="399"/>
      <c r="CX89" s="399">
        <v>1</v>
      </c>
      <c r="CY89" s="399"/>
      <c r="CZ89" s="399"/>
      <c r="DA89" s="400"/>
      <c r="DB89" s="522">
        <v>1</v>
      </c>
    </row>
    <row r="90" spans="1:106" x14ac:dyDescent="0.25">
      <c r="A90" s="468" t="s">
        <v>188</v>
      </c>
      <c r="B90" s="468">
        <v>801</v>
      </c>
      <c r="C90" s="468" t="s">
        <v>3599</v>
      </c>
      <c r="D90" s="468">
        <v>1722</v>
      </c>
      <c r="E90" s="468" t="s">
        <v>1459</v>
      </c>
      <c r="F90" s="468" t="s">
        <v>3600</v>
      </c>
      <c r="G90" s="468" t="s">
        <v>1461</v>
      </c>
      <c r="H90" s="468" t="s">
        <v>1462</v>
      </c>
      <c r="I90" s="468" t="s">
        <v>186</v>
      </c>
      <c r="J90" s="468" t="s">
        <v>3601</v>
      </c>
      <c r="K90" s="468" t="s">
        <v>1463</v>
      </c>
      <c r="L90" s="468" t="s">
        <v>3737</v>
      </c>
      <c r="M90" s="468" t="s">
        <v>3739</v>
      </c>
      <c r="N90" s="460">
        <v>0</v>
      </c>
      <c r="O90" s="294"/>
      <c r="P90" s="294"/>
      <c r="Q90" s="294"/>
      <c r="R90" s="294"/>
      <c r="S90" s="295"/>
      <c r="T90" s="299"/>
      <c r="U90" s="297"/>
      <c r="V90" s="297"/>
      <c r="W90" s="297">
        <v>2</v>
      </c>
      <c r="X90" s="297"/>
      <c r="Y90" s="297"/>
      <c r="Z90" s="297"/>
      <c r="AA90" s="297"/>
      <c r="AB90" s="293">
        <v>0</v>
      </c>
      <c r="AC90" s="294"/>
      <c r="AD90" s="295"/>
      <c r="AE90" s="298"/>
      <c r="AF90" s="296">
        <v>0</v>
      </c>
      <c r="AG90" s="297"/>
      <c r="AH90" s="297"/>
      <c r="AI90" s="297"/>
      <c r="AJ90" s="297"/>
      <c r="AK90" s="297"/>
      <c r="AL90" s="297"/>
      <c r="AM90" s="297"/>
      <c r="AN90" s="300"/>
      <c r="AO90" s="301"/>
      <c r="AP90" s="301"/>
      <c r="AQ90" s="301"/>
      <c r="AR90" s="301"/>
      <c r="AS90" s="301"/>
      <c r="AT90" s="301"/>
      <c r="AU90" s="301"/>
      <c r="AV90" s="301"/>
      <c r="AW90" s="301"/>
      <c r="AX90" s="301"/>
      <c r="AY90" s="301"/>
      <c r="AZ90" s="301">
        <v>1500</v>
      </c>
      <c r="BA90" s="301"/>
      <c r="BB90" s="301"/>
      <c r="BC90" s="301"/>
      <c r="BD90" s="301"/>
      <c r="BE90" s="301"/>
      <c r="BF90" s="302"/>
      <c r="BG90" s="303"/>
      <c r="BH90" s="304"/>
      <c r="BI90" s="304"/>
      <c r="BJ90" s="304"/>
      <c r="BK90" s="304"/>
      <c r="BL90" s="304"/>
      <c r="BM90" s="304"/>
      <c r="BN90" s="304"/>
      <c r="BO90" s="304"/>
      <c r="BP90" s="304"/>
      <c r="BQ90" s="304"/>
      <c r="BR90" s="304"/>
      <c r="BS90" s="304">
        <v>10</v>
      </c>
      <c r="BT90" s="304"/>
      <c r="BU90" s="304"/>
      <c r="BV90" s="304"/>
      <c r="BW90" s="304"/>
      <c r="BX90" s="304"/>
      <c r="BY90" s="305"/>
      <c r="BZ90" s="306"/>
      <c r="CA90" s="307"/>
      <c r="CB90" s="307"/>
      <c r="CC90" s="307"/>
      <c r="CD90" s="307"/>
      <c r="CE90" s="307"/>
      <c r="CF90" s="307"/>
      <c r="CG90" s="332"/>
      <c r="CH90" s="328"/>
      <c r="CI90" s="328"/>
      <c r="CJ90" s="328">
        <v>2</v>
      </c>
      <c r="CK90" s="328"/>
      <c r="CL90" s="328"/>
      <c r="CM90" s="328"/>
      <c r="CN90" s="370"/>
      <c r="CO90" s="367"/>
      <c r="CP90" s="367"/>
      <c r="CQ90" s="367">
        <v>10</v>
      </c>
      <c r="CR90" s="367"/>
      <c r="CS90" s="387"/>
      <c r="CT90" s="398"/>
      <c r="CU90" s="399"/>
      <c r="CV90" s="399"/>
      <c r="CW90" s="399"/>
      <c r="CX90" s="399">
        <v>1</v>
      </c>
      <c r="CY90" s="399"/>
      <c r="CZ90" s="399"/>
      <c r="DA90" s="400"/>
      <c r="DB90" s="522">
        <v>1</v>
      </c>
    </row>
    <row r="91" spans="1:106" x14ac:dyDescent="0.25">
      <c r="A91" s="468" t="s">
        <v>188</v>
      </c>
      <c r="B91" s="468">
        <v>801</v>
      </c>
      <c r="C91" s="468" t="s">
        <v>3603</v>
      </c>
      <c r="D91" s="468">
        <v>1724</v>
      </c>
      <c r="E91" s="468" t="s">
        <v>1464</v>
      </c>
      <c r="F91" s="468" t="s">
        <v>1465</v>
      </c>
      <c r="G91" s="468" t="s">
        <v>1466</v>
      </c>
      <c r="H91" s="468" t="s">
        <v>1467</v>
      </c>
      <c r="I91" s="468" t="s">
        <v>186</v>
      </c>
      <c r="J91" s="468" t="s">
        <v>3604</v>
      </c>
      <c r="K91" s="468" t="s">
        <v>1468</v>
      </c>
      <c r="L91" s="468" t="s">
        <v>3737</v>
      </c>
      <c r="M91" s="468" t="s">
        <v>3739</v>
      </c>
      <c r="N91" s="460">
        <v>0</v>
      </c>
      <c r="O91" s="294"/>
      <c r="P91" s="294"/>
      <c r="Q91" s="294"/>
      <c r="R91" s="294"/>
      <c r="S91" s="295"/>
      <c r="T91" s="299"/>
      <c r="U91" s="297"/>
      <c r="V91" s="297"/>
      <c r="W91" s="297">
        <v>2</v>
      </c>
      <c r="X91" s="297"/>
      <c r="Y91" s="297"/>
      <c r="Z91" s="297"/>
      <c r="AA91" s="297"/>
      <c r="AB91" s="293">
        <v>0</v>
      </c>
      <c r="AC91" s="294"/>
      <c r="AD91" s="295"/>
      <c r="AE91" s="298"/>
      <c r="AF91" s="296">
        <v>0</v>
      </c>
      <c r="AG91" s="297"/>
      <c r="AH91" s="297"/>
      <c r="AI91" s="297"/>
      <c r="AJ91" s="297"/>
      <c r="AK91" s="297"/>
      <c r="AL91" s="297"/>
      <c r="AM91" s="297"/>
      <c r="AN91" s="300"/>
      <c r="AO91" s="301"/>
      <c r="AP91" s="301"/>
      <c r="AQ91" s="301"/>
      <c r="AR91" s="301"/>
      <c r="AS91" s="301"/>
      <c r="AT91" s="301"/>
      <c r="AU91" s="301"/>
      <c r="AV91" s="301"/>
      <c r="AW91" s="301"/>
      <c r="AX91" s="301"/>
      <c r="AY91" s="301"/>
      <c r="AZ91" s="301">
        <v>1500</v>
      </c>
      <c r="BA91" s="301"/>
      <c r="BB91" s="301"/>
      <c r="BC91" s="301"/>
      <c r="BD91" s="301"/>
      <c r="BE91" s="301"/>
      <c r="BF91" s="302"/>
      <c r="BG91" s="303"/>
      <c r="BH91" s="304"/>
      <c r="BI91" s="304"/>
      <c r="BJ91" s="304"/>
      <c r="BK91" s="304"/>
      <c r="BL91" s="304"/>
      <c r="BM91" s="304"/>
      <c r="BN91" s="304"/>
      <c r="BO91" s="304"/>
      <c r="BP91" s="304"/>
      <c r="BQ91" s="304"/>
      <c r="BR91" s="304"/>
      <c r="BS91" s="304">
        <v>10</v>
      </c>
      <c r="BT91" s="304"/>
      <c r="BU91" s="304"/>
      <c r="BV91" s="304"/>
      <c r="BW91" s="304"/>
      <c r="BX91" s="304"/>
      <c r="BY91" s="305"/>
      <c r="BZ91" s="306"/>
      <c r="CA91" s="307"/>
      <c r="CB91" s="307"/>
      <c r="CC91" s="307"/>
      <c r="CD91" s="307"/>
      <c r="CE91" s="307"/>
      <c r="CF91" s="307"/>
      <c r="CG91" s="332"/>
      <c r="CH91" s="328"/>
      <c r="CI91" s="328"/>
      <c r="CJ91" s="328">
        <v>2</v>
      </c>
      <c r="CK91" s="328"/>
      <c r="CL91" s="328"/>
      <c r="CM91" s="328"/>
      <c r="CN91" s="370"/>
      <c r="CO91" s="367"/>
      <c r="CP91" s="367"/>
      <c r="CQ91" s="367">
        <v>10</v>
      </c>
      <c r="CR91" s="367"/>
      <c r="CS91" s="387"/>
      <c r="CT91" s="398"/>
      <c r="CU91" s="399"/>
      <c r="CV91" s="399"/>
      <c r="CW91" s="399"/>
      <c r="CX91" s="399">
        <v>1</v>
      </c>
      <c r="CY91" s="399"/>
      <c r="CZ91" s="399"/>
      <c r="DA91" s="400"/>
      <c r="DB91" s="522">
        <v>1</v>
      </c>
    </row>
    <row r="92" spans="1:106" x14ac:dyDescent="0.25">
      <c r="A92" s="468" t="s">
        <v>154</v>
      </c>
      <c r="B92" s="468">
        <v>800</v>
      </c>
      <c r="C92" s="468" t="s">
        <v>1529</v>
      </c>
      <c r="D92" s="468">
        <v>501</v>
      </c>
      <c r="E92" s="468" t="s">
        <v>1530</v>
      </c>
      <c r="F92" s="468" t="s">
        <v>1531</v>
      </c>
      <c r="G92" s="468" t="s">
        <v>1532</v>
      </c>
      <c r="H92" s="468" t="s">
        <v>158</v>
      </c>
      <c r="I92" s="468" t="s">
        <v>159</v>
      </c>
      <c r="J92" s="468" t="s">
        <v>3209</v>
      </c>
      <c r="K92" s="468" t="s">
        <v>351</v>
      </c>
      <c r="L92" s="468" t="s">
        <v>3737</v>
      </c>
      <c r="M92" s="468" t="s">
        <v>3963</v>
      </c>
      <c r="N92" s="460">
        <v>0</v>
      </c>
      <c r="O92" s="294"/>
      <c r="P92" s="294"/>
      <c r="Q92" s="294"/>
      <c r="R92" s="294"/>
      <c r="S92" s="295"/>
      <c r="T92" s="299"/>
      <c r="U92" s="297"/>
      <c r="V92" s="297"/>
      <c r="W92" s="297">
        <v>2</v>
      </c>
      <c r="X92" s="297"/>
      <c r="Y92" s="297"/>
      <c r="Z92" s="297"/>
      <c r="AA92" s="297"/>
      <c r="AB92" s="293">
        <v>0</v>
      </c>
      <c r="AC92" s="294"/>
      <c r="AD92" s="295"/>
      <c r="AE92" s="298"/>
      <c r="AF92" s="296">
        <v>0</v>
      </c>
      <c r="AG92" s="297"/>
      <c r="AH92" s="297"/>
      <c r="AI92" s="297"/>
      <c r="AJ92" s="297"/>
      <c r="AK92" s="297"/>
      <c r="AL92" s="297"/>
      <c r="AM92" s="297"/>
      <c r="AN92" s="300"/>
      <c r="AO92" s="301"/>
      <c r="AP92" s="301"/>
      <c r="AQ92" s="301"/>
      <c r="AR92" s="301"/>
      <c r="AS92" s="301"/>
      <c r="AT92" s="301"/>
      <c r="AU92" s="301"/>
      <c r="AV92" s="301"/>
      <c r="AW92" s="301"/>
      <c r="AX92" s="301"/>
      <c r="AY92" s="301"/>
      <c r="AZ92" s="301"/>
      <c r="BA92" s="301"/>
      <c r="BB92" s="301">
        <v>1500</v>
      </c>
      <c r="BC92" s="301"/>
      <c r="BD92" s="301"/>
      <c r="BE92" s="301"/>
      <c r="BF92" s="302"/>
      <c r="BG92" s="303"/>
      <c r="BH92" s="304"/>
      <c r="BI92" s="304"/>
      <c r="BJ92" s="304"/>
      <c r="BK92" s="304"/>
      <c r="BL92" s="304"/>
      <c r="BM92" s="304"/>
      <c r="BN92" s="304"/>
      <c r="BO92" s="304"/>
      <c r="BP92" s="304"/>
      <c r="BQ92" s="304"/>
      <c r="BR92" s="304"/>
      <c r="BS92" s="304"/>
      <c r="BT92" s="304"/>
      <c r="BU92" s="304">
        <v>10</v>
      </c>
      <c r="BV92" s="304"/>
      <c r="BW92" s="304"/>
      <c r="BX92" s="304"/>
      <c r="BY92" s="305"/>
      <c r="BZ92" s="306"/>
      <c r="CA92" s="307"/>
      <c r="CB92" s="307"/>
      <c r="CC92" s="307"/>
      <c r="CD92" s="307"/>
      <c r="CE92" s="307"/>
      <c r="CF92" s="307"/>
      <c r="CG92" s="332"/>
      <c r="CH92" s="328"/>
      <c r="CI92" s="328"/>
      <c r="CJ92" s="328">
        <v>2</v>
      </c>
      <c r="CK92" s="328"/>
      <c r="CL92" s="328"/>
      <c r="CM92" s="328"/>
      <c r="CN92" s="370"/>
      <c r="CO92" s="367"/>
      <c r="CP92" s="367"/>
      <c r="CQ92" s="367">
        <v>10</v>
      </c>
      <c r="CR92" s="367"/>
      <c r="CS92" s="387"/>
      <c r="CT92" s="398"/>
      <c r="CU92" s="399"/>
      <c r="CV92" s="399"/>
      <c r="CW92" s="399"/>
      <c r="CX92" s="399">
        <v>1</v>
      </c>
      <c r="CY92" s="399"/>
      <c r="CZ92" s="399"/>
      <c r="DA92" s="400"/>
      <c r="DB92" s="522">
        <v>1</v>
      </c>
    </row>
    <row r="93" spans="1:106" x14ac:dyDescent="0.25">
      <c r="A93" s="468" t="s">
        <v>154</v>
      </c>
      <c r="B93" s="468">
        <v>800</v>
      </c>
      <c r="C93" s="468" t="s">
        <v>1539</v>
      </c>
      <c r="D93" s="468">
        <v>506</v>
      </c>
      <c r="E93" s="468" t="s">
        <v>1540</v>
      </c>
      <c r="F93" s="468" t="s">
        <v>1526</v>
      </c>
      <c r="G93" s="468" t="s">
        <v>1541</v>
      </c>
      <c r="H93" s="468" t="s">
        <v>1523</v>
      </c>
      <c r="I93" s="468" t="s">
        <v>159</v>
      </c>
      <c r="J93" s="468" t="s">
        <v>3212</v>
      </c>
      <c r="K93" s="468" t="s">
        <v>1542</v>
      </c>
      <c r="L93" s="468" t="s">
        <v>3737</v>
      </c>
      <c r="M93" s="468" t="s">
        <v>3963</v>
      </c>
      <c r="N93" s="460">
        <v>0</v>
      </c>
      <c r="O93" s="294"/>
      <c r="P93" s="294"/>
      <c r="Q93" s="294"/>
      <c r="R93" s="294"/>
      <c r="S93" s="295"/>
      <c r="T93" s="299"/>
      <c r="U93" s="297"/>
      <c r="V93" s="297"/>
      <c r="W93" s="297">
        <v>1</v>
      </c>
      <c r="X93" s="297"/>
      <c r="Y93" s="297"/>
      <c r="Z93" s="297"/>
      <c r="AA93" s="297"/>
      <c r="AB93" s="293">
        <v>0</v>
      </c>
      <c r="AC93" s="294"/>
      <c r="AD93" s="295"/>
      <c r="AE93" s="298"/>
      <c r="AF93" s="296">
        <v>0</v>
      </c>
      <c r="AG93" s="297"/>
      <c r="AH93" s="297"/>
      <c r="AI93" s="297"/>
      <c r="AJ93" s="297"/>
      <c r="AK93" s="297"/>
      <c r="AL93" s="297"/>
      <c r="AM93" s="297"/>
      <c r="AN93" s="300"/>
      <c r="AO93" s="301"/>
      <c r="AP93" s="301"/>
      <c r="AQ93" s="301"/>
      <c r="AR93" s="301"/>
      <c r="AS93" s="301"/>
      <c r="AT93" s="301"/>
      <c r="AU93" s="301"/>
      <c r="AV93" s="301"/>
      <c r="AW93" s="301"/>
      <c r="AX93" s="301"/>
      <c r="AY93" s="301"/>
      <c r="AZ93" s="301"/>
      <c r="BA93" s="301"/>
      <c r="BB93" s="301">
        <v>1500</v>
      </c>
      <c r="BC93" s="301"/>
      <c r="BD93" s="301"/>
      <c r="BE93" s="301"/>
      <c r="BF93" s="302"/>
      <c r="BG93" s="303"/>
      <c r="BH93" s="304"/>
      <c r="BI93" s="304"/>
      <c r="BJ93" s="304"/>
      <c r="BK93" s="304"/>
      <c r="BL93" s="304"/>
      <c r="BM93" s="304"/>
      <c r="BN93" s="304"/>
      <c r="BO93" s="304"/>
      <c r="BP93" s="304"/>
      <c r="BQ93" s="304"/>
      <c r="BR93" s="304"/>
      <c r="BS93" s="304"/>
      <c r="BT93" s="304"/>
      <c r="BU93" s="304">
        <v>10</v>
      </c>
      <c r="BV93" s="304"/>
      <c r="BW93" s="304"/>
      <c r="BX93" s="304"/>
      <c r="BY93" s="305"/>
      <c r="BZ93" s="306"/>
      <c r="CA93" s="307"/>
      <c r="CB93" s="307"/>
      <c r="CC93" s="307"/>
      <c r="CD93" s="307"/>
      <c r="CE93" s="307"/>
      <c r="CF93" s="307"/>
      <c r="CG93" s="332"/>
      <c r="CH93" s="328"/>
      <c r="CI93" s="328"/>
      <c r="CJ93" s="328">
        <v>2</v>
      </c>
      <c r="CK93" s="328"/>
      <c r="CL93" s="328"/>
      <c r="CM93" s="328"/>
      <c r="CN93" s="370"/>
      <c r="CO93" s="367"/>
      <c r="CP93" s="367"/>
      <c r="CQ93" s="367">
        <v>10</v>
      </c>
      <c r="CR93" s="367"/>
      <c r="CS93" s="387"/>
      <c r="CT93" s="398"/>
      <c r="CU93" s="399"/>
      <c r="CV93" s="399"/>
      <c r="CW93" s="399"/>
      <c r="CX93" s="399">
        <v>1</v>
      </c>
      <c r="CY93" s="399"/>
      <c r="CZ93" s="399"/>
      <c r="DA93" s="400"/>
      <c r="DB93" s="522">
        <v>1</v>
      </c>
    </row>
    <row r="94" spans="1:106" x14ac:dyDescent="0.25">
      <c r="A94" s="468" t="s">
        <v>154</v>
      </c>
      <c r="B94" s="468">
        <v>800</v>
      </c>
      <c r="C94" s="468" t="s">
        <v>3541</v>
      </c>
      <c r="D94" s="468">
        <v>1509</v>
      </c>
      <c r="E94" s="468" t="s">
        <v>1520</v>
      </c>
      <c r="F94" s="468" t="s">
        <v>1521</v>
      </c>
      <c r="G94" s="468" t="s">
        <v>1522</v>
      </c>
      <c r="H94" s="468" t="s">
        <v>1523</v>
      </c>
      <c r="I94" s="468" t="s">
        <v>159</v>
      </c>
      <c r="J94" s="468" t="s">
        <v>3542</v>
      </c>
      <c r="K94" s="468" t="s">
        <v>1524</v>
      </c>
      <c r="L94" s="468" t="s">
        <v>3737</v>
      </c>
      <c r="M94" s="468" t="s">
        <v>3963</v>
      </c>
      <c r="N94" s="460">
        <v>0</v>
      </c>
      <c r="O94" s="294"/>
      <c r="P94" s="294"/>
      <c r="Q94" s="294"/>
      <c r="R94" s="294"/>
      <c r="S94" s="295"/>
      <c r="T94" s="299"/>
      <c r="U94" s="297"/>
      <c r="V94" s="297"/>
      <c r="W94" s="297">
        <v>2</v>
      </c>
      <c r="X94" s="297"/>
      <c r="Y94" s="297"/>
      <c r="Z94" s="297"/>
      <c r="AA94" s="297"/>
      <c r="AB94" s="293">
        <v>0</v>
      </c>
      <c r="AC94" s="294"/>
      <c r="AD94" s="295"/>
      <c r="AE94" s="298"/>
      <c r="AF94" s="296">
        <v>0</v>
      </c>
      <c r="AG94" s="297"/>
      <c r="AH94" s="297"/>
      <c r="AI94" s="297"/>
      <c r="AJ94" s="297"/>
      <c r="AK94" s="297"/>
      <c r="AL94" s="297"/>
      <c r="AM94" s="297"/>
      <c r="AN94" s="300"/>
      <c r="AO94" s="301"/>
      <c r="AP94" s="301"/>
      <c r="AQ94" s="301"/>
      <c r="AR94" s="301"/>
      <c r="AS94" s="301"/>
      <c r="AT94" s="301"/>
      <c r="AU94" s="301"/>
      <c r="AV94" s="301"/>
      <c r="AW94" s="301"/>
      <c r="AX94" s="301"/>
      <c r="AY94" s="301"/>
      <c r="AZ94" s="301"/>
      <c r="BA94" s="301"/>
      <c r="BB94" s="301">
        <v>1500</v>
      </c>
      <c r="BC94" s="301"/>
      <c r="BD94" s="301"/>
      <c r="BE94" s="301"/>
      <c r="BF94" s="302"/>
      <c r="BG94" s="303"/>
      <c r="BH94" s="304"/>
      <c r="BI94" s="304"/>
      <c r="BJ94" s="304"/>
      <c r="BK94" s="304"/>
      <c r="BL94" s="304"/>
      <c r="BM94" s="304"/>
      <c r="BN94" s="304"/>
      <c r="BO94" s="304"/>
      <c r="BP94" s="304"/>
      <c r="BQ94" s="304"/>
      <c r="BR94" s="304"/>
      <c r="BS94" s="304"/>
      <c r="BT94" s="304"/>
      <c r="BU94" s="304">
        <v>10</v>
      </c>
      <c r="BV94" s="304"/>
      <c r="BW94" s="304"/>
      <c r="BX94" s="304"/>
      <c r="BY94" s="305"/>
      <c r="BZ94" s="306"/>
      <c r="CA94" s="307"/>
      <c r="CB94" s="307"/>
      <c r="CC94" s="307"/>
      <c r="CD94" s="307"/>
      <c r="CE94" s="307"/>
      <c r="CF94" s="307"/>
      <c r="CG94" s="332"/>
      <c r="CH94" s="328"/>
      <c r="CI94" s="328"/>
      <c r="CJ94" s="328">
        <v>2</v>
      </c>
      <c r="CK94" s="328"/>
      <c r="CL94" s="328"/>
      <c r="CM94" s="328"/>
      <c r="CN94" s="370"/>
      <c r="CO94" s="367"/>
      <c r="CP94" s="367"/>
      <c r="CQ94" s="367">
        <v>10</v>
      </c>
      <c r="CR94" s="367"/>
      <c r="CS94" s="387"/>
      <c r="CT94" s="398"/>
      <c r="CU94" s="399"/>
      <c r="CV94" s="399"/>
      <c r="CW94" s="399"/>
      <c r="CX94" s="399">
        <v>1</v>
      </c>
      <c r="CY94" s="399"/>
      <c r="CZ94" s="399"/>
      <c r="DA94" s="400"/>
      <c r="DB94" s="522">
        <v>1</v>
      </c>
    </row>
    <row r="95" spans="1:106" x14ac:dyDescent="0.25">
      <c r="A95" s="468" t="s">
        <v>154</v>
      </c>
      <c r="B95" s="468">
        <v>800</v>
      </c>
      <c r="C95" s="468" t="s">
        <v>3543</v>
      </c>
      <c r="D95" s="468">
        <v>1510</v>
      </c>
      <c r="E95" s="468" t="s">
        <v>1525</v>
      </c>
      <c r="F95" s="468" t="s">
        <v>1545</v>
      </c>
      <c r="G95" s="468" t="s">
        <v>1527</v>
      </c>
      <c r="H95" s="468" t="s">
        <v>1523</v>
      </c>
      <c r="I95" s="468" t="s">
        <v>159</v>
      </c>
      <c r="J95" s="468" t="s">
        <v>3212</v>
      </c>
      <c r="K95" s="468" t="s">
        <v>1528</v>
      </c>
      <c r="L95" s="468" t="s">
        <v>3737</v>
      </c>
      <c r="M95" s="468" t="s">
        <v>3963</v>
      </c>
      <c r="N95" s="461"/>
      <c r="O95" s="294"/>
      <c r="P95" s="294"/>
      <c r="Q95" s="294"/>
      <c r="R95" s="294">
        <v>1</v>
      </c>
      <c r="S95" s="295"/>
      <c r="T95" s="296">
        <v>0</v>
      </c>
      <c r="U95" s="297"/>
      <c r="V95" s="297"/>
      <c r="W95" s="297"/>
      <c r="X95" s="297"/>
      <c r="Y95" s="297"/>
      <c r="Z95" s="297"/>
      <c r="AA95" s="297"/>
      <c r="AB95" s="293">
        <v>0</v>
      </c>
      <c r="AC95" s="294"/>
      <c r="AD95" s="295"/>
      <c r="AE95" s="298"/>
      <c r="AF95" s="296">
        <v>0</v>
      </c>
      <c r="AG95" s="297"/>
      <c r="AH95" s="297"/>
      <c r="AI95" s="297"/>
      <c r="AJ95" s="297"/>
      <c r="AK95" s="297"/>
      <c r="AL95" s="297"/>
      <c r="AM95" s="297"/>
      <c r="AN95" s="300"/>
      <c r="AO95" s="301"/>
      <c r="AP95" s="301"/>
      <c r="AQ95" s="301"/>
      <c r="AR95" s="301"/>
      <c r="AS95" s="301"/>
      <c r="AT95" s="301"/>
      <c r="AU95" s="301"/>
      <c r="AV95" s="301"/>
      <c r="AW95" s="301"/>
      <c r="AX95" s="301"/>
      <c r="AY95" s="301"/>
      <c r="AZ95" s="301"/>
      <c r="BA95" s="301"/>
      <c r="BB95" s="301">
        <v>1500</v>
      </c>
      <c r="BC95" s="301"/>
      <c r="BD95" s="301"/>
      <c r="BE95" s="301"/>
      <c r="BF95" s="302"/>
      <c r="BG95" s="303"/>
      <c r="BH95" s="304"/>
      <c r="BI95" s="304"/>
      <c r="BJ95" s="304"/>
      <c r="BK95" s="304"/>
      <c r="BL95" s="304"/>
      <c r="BM95" s="304"/>
      <c r="BN95" s="304"/>
      <c r="BO95" s="304"/>
      <c r="BP95" s="304"/>
      <c r="BQ95" s="304"/>
      <c r="BR95" s="304"/>
      <c r="BS95" s="304"/>
      <c r="BT95" s="304"/>
      <c r="BU95" s="304">
        <v>10</v>
      </c>
      <c r="BV95" s="304"/>
      <c r="BW95" s="304"/>
      <c r="BX95" s="304"/>
      <c r="BY95" s="305"/>
      <c r="BZ95" s="306"/>
      <c r="CA95" s="307"/>
      <c r="CB95" s="307"/>
      <c r="CC95" s="307"/>
      <c r="CD95" s="307"/>
      <c r="CE95" s="307"/>
      <c r="CF95" s="307"/>
      <c r="CG95" s="332"/>
      <c r="CH95" s="328"/>
      <c r="CI95" s="328"/>
      <c r="CJ95" s="328">
        <v>2</v>
      </c>
      <c r="CK95" s="328"/>
      <c r="CL95" s="328"/>
      <c r="CM95" s="328"/>
      <c r="CN95" s="370"/>
      <c r="CO95" s="367"/>
      <c r="CP95" s="367"/>
      <c r="CQ95" s="367">
        <v>10</v>
      </c>
      <c r="CR95" s="367"/>
      <c r="CS95" s="387"/>
      <c r="CT95" s="398"/>
      <c r="CU95" s="399"/>
      <c r="CV95" s="399"/>
      <c r="CW95" s="399"/>
      <c r="CX95" s="399">
        <v>1</v>
      </c>
      <c r="CY95" s="399"/>
      <c r="CZ95" s="399"/>
      <c r="DA95" s="400"/>
      <c r="DB95" s="522">
        <v>1</v>
      </c>
    </row>
    <row r="96" spans="1:106" x14ac:dyDescent="0.25">
      <c r="A96" s="468" t="s">
        <v>361</v>
      </c>
      <c r="B96" s="468">
        <v>801</v>
      </c>
      <c r="C96" s="468" t="s">
        <v>1559</v>
      </c>
      <c r="D96" s="468">
        <v>652</v>
      </c>
      <c r="E96" s="468" t="s">
        <v>1560</v>
      </c>
      <c r="F96" s="468" t="s">
        <v>1561</v>
      </c>
      <c r="G96" s="468" t="s">
        <v>1562</v>
      </c>
      <c r="H96" s="468" t="s">
        <v>1563</v>
      </c>
      <c r="I96" s="468" t="s">
        <v>366</v>
      </c>
      <c r="J96" s="468" t="s">
        <v>3246</v>
      </c>
      <c r="K96" s="468" t="s">
        <v>1564</v>
      </c>
      <c r="L96" s="468" t="s">
        <v>3775</v>
      </c>
      <c r="M96" s="468" t="s">
        <v>3828</v>
      </c>
      <c r="N96" s="460">
        <v>0</v>
      </c>
      <c r="O96" s="294"/>
      <c r="P96" s="294"/>
      <c r="Q96" s="294"/>
      <c r="R96" s="294"/>
      <c r="S96" s="295"/>
      <c r="T96" s="299"/>
      <c r="U96" s="297"/>
      <c r="V96" s="297"/>
      <c r="W96" s="297"/>
      <c r="X96" s="297"/>
      <c r="Y96" s="297">
        <v>2</v>
      </c>
      <c r="Z96" s="297"/>
      <c r="AA96" s="297"/>
      <c r="AB96" s="293">
        <v>0</v>
      </c>
      <c r="AC96" s="294"/>
      <c r="AD96" s="295"/>
      <c r="AE96" s="298"/>
      <c r="AF96" s="296">
        <v>0</v>
      </c>
      <c r="AG96" s="297"/>
      <c r="AH96" s="297"/>
      <c r="AI96" s="297"/>
      <c r="AJ96" s="297"/>
      <c r="AK96" s="297"/>
      <c r="AL96" s="297"/>
      <c r="AM96" s="297"/>
      <c r="AN96" s="300"/>
      <c r="AO96" s="301"/>
      <c r="AP96" s="301"/>
      <c r="AQ96" s="301"/>
      <c r="AR96" s="301"/>
      <c r="AS96" s="301"/>
      <c r="AT96" s="301"/>
      <c r="AU96" s="301"/>
      <c r="AV96" s="301"/>
      <c r="AW96" s="301"/>
      <c r="AX96" s="301"/>
      <c r="AY96" s="301"/>
      <c r="AZ96" s="301"/>
      <c r="BA96" s="301"/>
      <c r="BB96" s="301"/>
      <c r="BC96" s="301"/>
      <c r="BD96" s="301"/>
      <c r="BE96" s="301"/>
      <c r="BF96" s="302">
        <v>1500</v>
      </c>
      <c r="BG96" s="303"/>
      <c r="BH96" s="304"/>
      <c r="BI96" s="304"/>
      <c r="BJ96" s="304"/>
      <c r="BK96" s="304"/>
      <c r="BL96" s="304"/>
      <c r="BM96" s="304"/>
      <c r="BN96" s="304"/>
      <c r="BO96" s="304"/>
      <c r="BP96" s="304"/>
      <c r="BQ96" s="304"/>
      <c r="BR96" s="304"/>
      <c r="BS96" s="304"/>
      <c r="BT96" s="304"/>
      <c r="BU96" s="304"/>
      <c r="BV96" s="304"/>
      <c r="BW96" s="304"/>
      <c r="BX96" s="304"/>
      <c r="BY96" s="305">
        <v>10</v>
      </c>
      <c r="BZ96" s="306"/>
      <c r="CA96" s="307"/>
      <c r="CB96" s="307"/>
      <c r="CC96" s="307"/>
      <c r="CD96" s="307"/>
      <c r="CE96" s="307"/>
      <c r="CF96" s="307"/>
      <c r="CG96" s="332"/>
      <c r="CH96" s="328"/>
      <c r="CI96" s="328"/>
      <c r="CJ96" s="328"/>
      <c r="CK96" s="328">
        <v>2</v>
      </c>
      <c r="CL96" s="328"/>
      <c r="CM96" s="328"/>
      <c r="CN96" s="370"/>
      <c r="CO96" s="367"/>
      <c r="CP96" s="367"/>
      <c r="CQ96" s="367"/>
      <c r="CR96" s="378">
        <v>10</v>
      </c>
      <c r="CS96" s="387"/>
      <c r="CT96" s="398"/>
      <c r="CU96" s="399"/>
      <c r="CV96" s="399"/>
      <c r="CW96" s="399"/>
      <c r="CX96" s="399">
        <v>1</v>
      </c>
      <c r="CY96" s="399"/>
      <c r="CZ96" s="399"/>
      <c r="DA96" s="400"/>
      <c r="DB96" s="522">
        <v>1</v>
      </c>
    </row>
    <row r="97" spans="1:106" x14ac:dyDescent="0.25">
      <c r="A97" s="468" t="s">
        <v>1565</v>
      </c>
      <c r="B97" s="468">
        <v>801</v>
      </c>
      <c r="C97" s="468" t="s">
        <v>3526</v>
      </c>
      <c r="D97" s="468">
        <v>1474</v>
      </c>
      <c r="E97" s="468" t="s">
        <v>1570</v>
      </c>
      <c r="F97" s="468" t="s">
        <v>1571</v>
      </c>
      <c r="G97" s="468" t="s">
        <v>1572</v>
      </c>
      <c r="H97" s="468" t="s">
        <v>1302</v>
      </c>
      <c r="I97" s="468" t="s">
        <v>138</v>
      </c>
      <c r="J97" s="468" t="s">
        <v>3527</v>
      </c>
      <c r="K97" s="468" t="s">
        <v>1573</v>
      </c>
      <c r="L97" s="468" t="s">
        <v>3766</v>
      </c>
      <c r="M97" s="468" t="s">
        <v>4018</v>
      </c>
      <c r="N97" s="460">
        <v>2</v>
      </c>
      <c r="O97" s="294"/>
      <c r="P97" s="294"/>
      <c r="Q97" s="294"/>
      <c r="R97" s="294"/>
      <c r="S97" s="295"/>
      <c r="T97" s="296">
        <v>0</v>
      </c>
      <c r="U97" s="297"/>
      <c r="V97" s="297"/>
      <c r="W97" s="297"/>
      <c r="X97" s="297"/>
      <c r="Y97" s="297"/>
      <c r="Z97" s="297"/>
      <c r="AA97" s="297"/>
      <c r="AB97" s="293">
        <v>0</v>
      </c>
      <c r="AC97" s="294"/>
      <c r="AD97" s="295"/>
      <c r="AE97" s="298"/>
      <c r="AF97" s="296">
        <v>0</v>
      </c>
      <c r="AG97" s="297"/>
      <c r="AH97" s="297"/>
      <c r="AI97" s="297"/>
      <c r="AJ97" s="297"/>
      <c r="AK97" s="297"/>
      <c r="AL97" s="297"/>
      <c r="AM97" s="297"/>
      <c r="AN97" s="300"/>
      <c r="AO97" s="301">
        <v>1500</v>
      </c>
      <c r="AP97" s="301"/>
      <c r="AQ97" s="301"/>
      <c r="AR97" s="301"/>
      <c r="AS97" s="301"/>
      <c r="AT97" s="301"/>
      <c r="AU97" s="301"/>
      <c r="AV97" s="301"/>
      <c r="AW97" s="301"/>
      <c r="AX97" s="301"/>
      <c r="AY97" s="301"/>
      <c r="AZ97" s="301"/>
      <c r="BA97" s="301"/>
      <c r="BB97" s="301"/>
      <c r="BC97" s="301"/>
      <c r="BD97" s="301"/>
      <c r="BE97" s="301"/>
      <c r="BF97" s="302"/>
      <c r="BG97" s="303"/>
      <c r="BH97" s="304">
        <v>10</v>
      </c>
      <c r="BI97" s="304"/>
      <c r="BJ97" s="304"/>
      <c r="BK97" s="304"/>
      <c r="BL97" s="304"/>
      <c r="BM97" s="304"/>
      <c r="BN97" s="304"/>
      <c r="BO97" s="304"/>
      <c r="BP97" s="304"/>
      <c r="BQ97" s="304"/>
      <c r="BR97" s="304"/>
      <c r="BS97" s="304"/>
      <c r="BT97" s="304"/>
      <c r="BU97" s="304"/>
      <c r="BV97" s="304"/>
      <c r="BW97" s="304"/>
      <c r="BX97" s="304"/>
      <c r="BY97" s="305"/>
      <c r="BZ97" s="306"/>
      <c r="CA97" s="307"/>
      <c r="CB97" s="307"/>
      <c r="CC97" s="307"/>
      <c r="CD97" s="307"/>
      <c r="CE97" s="307"/>
      <c r="CF97" s="307"/>
      <c r="CG97" s="332"/>
      <c r="CH97" s="328"/>
      <c r="CI97" s="328"/>
      <c r="CJ97" s="328"/>
      <c r="CK97" s="328"/>
      <c r="CL97" s="328"/>
      <c r="CM97" s="328">
        <v>2</v>
      </c>
      <c r="CN97" s="370"/>
      <c r="CO97" s="367"/>
      <c r="CP97" s="367"/>
      <c r="CQ97" s="367"/>
      <c r="CR97" s="367"/>
      <c r="CS97" s="387">
        <v>10</v>
      </c>
      <c r="CT97" s="398"/>
      <c r="CU97" s="399"/>
      <c r="CV97" s="399"/>
      <c r="CW97" s="399"/>
      <c r="CX97" s="399"/>
      <c r="CY97" s="399"/>
      <c r="CZ97" s="399"/>
      <c r="DA97" s="400">
        <v>1</v>
      </c>
      <c r="DB97" s="522">
        <v>1</v>
      </c>
    </row>
    <row r="98" spans="1:106" x14ac:dyDescent="0.25">
      <c r="A98" s="468" t="s">
        <v>1565</v>
      </c>
      <c r="B98" s="468">
        <v>810</v>
      </c>
      <c r="C98" s="468" t="s">
        <v>3539</v>
      </c>
      <c r="D98" s="468">
        <v>1495</v>
      </c>
      <c r="E98" s="468" t="s">
        <v>1574</v>
      </c>
      <c r="F98" s="468" t="s">
        <v>1575</v>
      </c>
      <c r="G98" s="468" t="s">
        <v>1576</v>
      </c>
      <c r="H98" s="468" t="s">
        <v>1577</v>
      </c>
      <c r="I98" s="468" t="s">
        <v>138</v>
      </c>
      <c r="J98" s="468" t="s">
        <v>3540</v>
      </c>
      <c r="K98" s="468" t="s">
        <v>1578</v>
      </c>
      <c r="L98" s="468" t="s">
        <v>3766</v>
      </c>
      <c r="M98" s="468" t="s">
        <v>4011</v>
      </c>
      <c r="N98" s="460">
        <v>1</v>
      </c>
      <c r="O98" s="294"/>
      <c r="P98" s="294"/>
      <c r="Q98" s="294"/>
      <c r="R98" s="294"/>
      <c r="S98" s="295"/>
      <c r="T98" s="296"/>
      <c r="U98" s="297"/>
      <c r="V98" s="297"/>
      <c r="W98" s="297"/>
      <c r="X98" s="297"/>
      <c r="Y98" s="297"/>
      <c r="Z98" s="297"/>
      <c r="AA98" s="297"/>
      <c r="AB98" s="293"/>
      <c r="AC98" s="294"/>
      <c r="AD98" s="295"/>
      <c r="AE98" s="298"/>
      <c r="AF98" s="296"/>
      <c r="AG98" s="297"/>
      <c r="AH98" s="297"/>
      <c r="AI98" s="297"/>
      <c r="AJ98" s="297"/>
      <c r="AK98" s="297"/>
      <c r="AL98" s="297"/>
      <c r="AM98" s="297"/>
      <c r="AN98" s="300">
        <v>1500</v>
      </c>
      <c r="AO98" s="301"/>
      <c r="AP98" s="301"/>
      <c r="AQ98" s="301"/>
      <c r="AR98" s="301"/>
      <c r="AS98" s="301"/>
      <c r="AT98" s="301"/>
      <c r="AU98" s="301"/>
      <c r="AV98" s="301"/>
      <c r="AW98" s="301"/>
      <c r="AX98" s="301"/>
      <c r="AY98" s="301"/>
      <c r="AZ98" s="301"/>
      <c r="BA98" s="301"/>
      <c r="BB98" s="301"/>
      <c r="BC98" s="301"/>
      <c r="BD98" s="301"/>
      <c r="BE98" s="301"/>
      <c r="BF98" s="302"/>
      <c r="BG98" s="303">
        <v>10</v>
      </c>
      <c r="BH98" s="304"/>
      <c r="BI98" s="304"/>
      <c r="BJ98" s="304"/>
      <c r="BK98" s="304"/>
      <c r="BL98" s="304"/>
      <c r="BM98" s="304"/>
      <c r="BN98" s="304"/>
      <c r="BO98" s="304"/>
      <c r="BP98" s="304"/>
      <c r="BQ98" s="304"/>
      <c r="BR98" s="304"/>
      <c r="BS98" s="304"/>
      <c r="BT98" s="304"/>
      <c r="BU98" s="304"/>
      <c r="BV98" s="304"/>
      <c r="BW98" s="304"/>
      <c r="BX98" s="304"/>
      <c r="BY98" s="305"/>
      <c r="BZ98" s="306"/>
      <c r="CA98" s="307"/>
      <c r="CB98" s="307"/>
      <c r="CC98" s="307"/>
      <c r="CD98" s="307"/>
      <c r="CE98" s="307"/>
      <c r="CF98" s="307"/>
      <c r="CG98" s="332"/>
      <c r="CH98" s="328"/>
      <c r="CI98" s="328"/>
      <c r="CJ98" s="328"/>
      <c r="CK98" s="328"/>
      <c r="CL98" s="328"/>
      <c r="CM98" s="328">
        <v>2</v>
      </c>
      <c r="CN98" s="370"/>
      <c r="CO98" s="367"/>
      <c r="CP98" s="367"/>
      <c r="CQ98" s="367"/>
      <c r="CR98" s="367"/>
      <c r="CS98" s="387">
        <v>10</v>
      </c>
      <c r="CT98" s="398"/>
      <c r="CU98" s="399"/>
      <c r="CV98" s="399"/>
      <c r="CW98" s="399"/>
      <c r="CX98" s="399"/>
      <c r="CY98" s="399"/>
      <c r="CZ98" s="399"/>
      <c r="DA98" s="400">
        <v>1</v>
      </c>
      <c r="DB98" s="522">
        <v>1</v>
      </c>
    </row>
    <row r="99" spans="1:106" x14ac:dyDescent="0.25">
      <c r="A99" s="468" t="s">
        <v>1565</v>
      </c>
      <c r="B99" s="468">
        <v>810</v>
      </c>
      <c r="C99" s="468" t="s">
        <v>3686</v>
      </c>
      <c r="D99" s="468">
        <v>2537</v>
      </c>
      <c r="E99" s="468" t="s">
        <v>1579</v>
      </c>
      <c r="F99" s="468" t="s">
        <v>2981</v>
      </c>
      <c r="G99" s="468" t="s">
        <v>1580</v>
      </c>
      <c r="H99" s="468" t="s">
        <v>1581</v>
      </c>
      <c r="I99" s="468" t="s">
        <v>138</v>
      </c>
      <c r="J99" s="468" t="s">
        <v>3687</v>
      </c>
      <c r="K99" s="468" t="s">
        <v>1582</v>
      </c>
      <c r="L99" s="468" t="s">
        <v>3766</v>
      </c>
      <c r="M99" s="468" t="s">
        <v>4018</v>
      </c>
      <c r="N99" s="460">
        <v>1</v>
      </c>
      <c r="O99" s="294"/>
      <c r="P99" s="294"/>
      <c r="Q99" s="294"/>
      <c r="R99" s="294"/>
      <c r="S99" s="295"/>
      <c r="T99" s="296">
        <v>0</v>
      </c>
      <c r="U99" s="297"/>
      <c r="V99" s="297"/>
      <c r="W99" s="297"/>
      <c r="X99" s="297"/>
      <c r="Y99" s="297"/>
      <c r="Z99" s="297"/>
      <c r="AA99" s="297"/>
      <c r="AB99" s="293">
        <v>0</v>
      </c>
      <c r="AC99" s="294"/>
      <c r="AD99" s="295"/>
      <c r="AE99" s="298"/>
      <c r="AF99" s="296">
        <v>0</v>
      </c>
      <c r="AG99" s="297"/>
      <c r="AH99" s="297"/>
      <c r="AI99" s="297"/>
      <c r="AJ99" s="297"/>
      <c r="AK99" s="297"/>
      <c r="AL99" s="297"/>
      <c r="AM99" s="297"/>
      <c r="AN99" s="300"/>
      <c r="AO99" s="301">
        <v>1500</v>
      </c>
      <c r="AP99" s="301"/>
      <c r="AQ99" s="301"/>
      <c r="AR99" s="301"/>
      <c r="AS99" s="301"/>
      <c r="AT99" s="301"/>
      <c r="AU99" s="301"/>
      <c r="AV99" s="301"/>
      <c r="AW99" s="301"/>
      <c r="AX99" s="301"/>
      <c r="AY99" s="301"/>
      <c r="AZ99" s="301"/>
      <c r="BA99" s="301"/>
      <c r="BB99" s="301"/>
      <c r="BC99" s="301"/>
      <c r="BD99" s="301"/>
      <c r="BE99" s="301"/>
      <c r="BF99" s="302"/>
      <c r="BG99" s="303"/>
      <c r="BH99" s="304">
        <v>10</v>
      </c>
      <c r="BI99" s="304"/>
      <c r="BJ99" s="304"/>
      <c r="BK99" s="304"/>
      <c r="BL99" s="304"/>
      <c r="BM99" s="304"/>
      <c r="BN99" s="304"/>
      <c r="BO99" s="304"/>
      <c r="BP99" s="304"/>
      <c r="BQ99" s="304"/>
      <c r="BR99" s="304"/>
      <c r="BS99" s="304"/>
      <c r="BT99" s="304"/>
      <c r="BU99" s="304"/>
      <c r="BV99" s="304"/>
      <c r="BW99" s="304"/>
      <c r="BX99" s="304"/>
      <c r="BY99" s="305"/>
      <c r="BZ99" s="306"/>
      <c r="CA99" s="307"/>
      <c r="CB99" s="307"/>
      <c r="CC99" s="307"/>
      <c r="CD99" s="307"/>
      <c r="CE99" s="307"/>
      <c r="CF99" s="307"/>
      <c r="CG99" s="332"/>
      <c r="CH99" s="328"/>
      <c r="CI99" s="328"/>
      <c r="CJ99" s="328"/>
      <c r="CK99" s="328"/>
      <c r="CL99" s="328"/>
      <c r="CM99" s="328">
        <v>2</v>
      </c>
      <c r="CN99" s="370"/>
      <c r="CO99" s="367"/>
      <c r="CP99" s="367"/>
      <c r="CQ99" s="367"/>
      <c r="CR99" s="367"/>
      <c r="CS99" s="387">
        <v>10</v>
      </c>
      <c r="CT99" s="398"/>
      <c r="CU99" s="399"/>
      <c r="CV99" s="399"/>
      <c r="CW99" s="399"/>
      <c r="CX99" s="399"/>
      <c r="CY99" s="399"/>
      <c r="CZ99" s="399"/>
      <c r="DA99" s="400">
        <v>1</v>
      </c>
      <c r="DB99" s="522">
        <v>1</v>
      </c>
    </row>
    <row r="100" spans="1:106" x14ac:dyDescent="0.25">
      <c r="A100" s="468" t="s">
        <v>1565</v>
      </c>
      <c r="B100" s="468">
        <v>810</v>
      </c>
      <c r="C100" s="468" t="s">
        <v>3688</v>
      </c>
      <c r="D100" s="468">
        <v>2538</v>
      </c>
      <c r="E100" s="468" t="s">
        <v>1583</v>
      </c>
      <c r="F100" s="468" t="s">
        <v>1584</v>
      </c>
      <c r="G100" s="468" t="s">
        <v>1585</v>
      </c>
      <c r="H100" s="468" t="s">
        <v>1586</v>
      </c>
      <c r="I100" s="468" t="s">
        <v>138</v>
      </c>
      <c r="J100" s="468" t="s">
        <v>3689</v>
      </c>
      <c r="K100" s="468" t="s">
        <v>1587</v>
      </c>
      <c r="L100" s="468" t="s">
        <v>3766</v>
      </c>
      <c r="M100" s="468" t="s">
        <v>4018</v>
      </c>
      <c r="N100" s="460">
        <v>1</v>
      </c>
      <c r="O100" s="294"/>
      <c r="P100" s="294"/>
      <c r="Q100" s="294"/>
      <c r="R100" s="294"/>
      <c r="S100" s="295"/>
      <c r="T100" s="296">
        <v>0</v>
      </c>
      <c r="U100" s="297"/>
      <c r="V100" s="297"/>
      <c r="W100" s="297"/>
      <c r="X100" s="297"/>
      <c r="Y100" s="297"/>
      <c r="Z100" s="297"/>
      <c r="AA100" s="297"/>
      <c r="AB100" s="293">
        <v>0</v>
      </c>
      <c r="AC100" s="294"/>
      <c r="AD100" s="295"/>
      <c r="AE100" s="298"/>
      <c r="AF100" s="296">
        <v>0</v>
      </c>
      <c r="AG100" s="297"/>
      <c r="AH100" s="297"/>
      <c r="AI100" s="297"/>
      <c r="AJ100" s="297"/>
      <c r="AK100" s="297"/>
      <c r="AL100" s="297"/>
      <c r="AM100" s="297"/>
      <c r="AN100" s="300"/>
      <c r="AO100" s="301">
        <v>1500</v>
      </c>
      <c r="AP100" s="301"/>
      <c r="AQ100" s="301"/>
      <c r="AR100" s="301"/>
      <c r="AS100" s="301"/>
      <c r="AT100" s="301"/>
      <c r="AU100" s="301"/>
      <c r="AV100" s="301"/>
      <c r="AW100" s="301"/>
      <c r="AX100" s="301"/>
      <c r="AY100" s="301"/>
      <c r="AZ100" s="301"/>
      <c r="BA100" s="301"/>
      <c r="BB100" s="301"/>
      <c r="BC100" s="301"/>
      <c r="BD100" s="301"/>
      <c r="BE100" s="301"/>
      <c r="BF100" s="302"/>
      <c r="BG100" s="303"/>
      <c r="BH100" s="304">
        <v>10</v>
      </c>
      <c r="BI100" s="304"/>
      <c r="BJ100" s="304"/>
      <c r="BK100" s="304"/>
      <c r="BL100" s="304"/>
      <c r="BM100" s="304"/>
      <c r="BN100" s="304"/>
      <c r="BO100" s="304"/>
      <c r="BP100" s="304"/>
      <c r="BQ100" s="304"/>
      <c r="BR100" s="304"/>
      <c r="BS100" s="304"/>
      <c r="BT100" s="304"/>
      <c r="BU100" s="304"/>
      <c r="BV100" s="304"/>
      <c r="BW100" s="304"/>
      <c r="BX100" s="304"/>
      <c r="BY100" s="305"/>
      <c r="BZ100" s="306"/>
      <c r="CA100" s="307"/>
      <c r="CB100" s="307"/>
      <c r="CC100" s="307"/>
      <c r="CD100" s="307"/>
      <c r="CE100" s="307"/>
      <c r="CF100" s="307"/>
      <c r="CG100" s="332"/>
      <c r="CH100" s="328"/>
      <c r="CI100" s="328"/>
      <c r="CJ100" s="328"/>
      <c r="CK100" s="328"/>
      <c r="CL100" s="328"/>
      <c r="CM100" s="328">
        <v>2</v>
      </c>
      <c r="CN100" s="370"/>
      <c r="CO100" s="367"/>
      <c r="CP100" s="367"/>
      <c r="CQ100" s="367"/>
      <c r="CR100" s="367"/>
      <c r="CS100" s="387">
        <v>10</v>
      </c>
      <c r="CT100" s="398"/>
      <c r="CU100" s="399"/>
      <c r="CV100" s="399"/>
      <c r="CW100" s="399"/>
      <c r="CX100" s="399"/>
      <c r="CY100" s="399"/>
      <c r="CZ100" s="399"/>
      <c r="DA100" s="400">
        <v>1</v>
      </c>
      <c r="DB100" s="522">
        <v>1</v>
      </c>
    </row>
    <row r="101" spans="1:106" x14ac:dyDescent="0.25">
      <c r="A101" s="468" t="s">
        <v>1565</v>
      </c>
      <c r="B101" s="468">
        <v>810</v>
      </c>
      <c r="C101" s="468" t="s">
        <v>3693</v>
      </c>
      <c r="D101" s="468">
        <v>2554</v>
      </c>
      <c r="E101" s="468" t="s">
        <v>2982</v>
      </c>
      <c r="F101" s="468" t="s">
        <v>2983</v>
      </c>
      <c r="G101" s="468" t="s">
        <v>2984</v>
      </c>
      <c r="H101" s="468" t="s">
        <v>2985</v>
      </c>
      <c r="I101" s="468" t="s">
        <v>138</v>
      </c>
      <c r="J101" s="468" t="s">
        <v>3694</v>
      </c>
      <c r="K101" s="468" t="s">
        <v>2986</v>
      </c>
      <c r="L101" s="468" t="s">
        <v>3766</v>
      </c>
      <c r="M101" s="468" t="s">
        <v>4018</v>
      </c>
      <c r="N101" s="460">
        <v>1</v>
      </c>
      <c r="O101" s="294"/>
      <c r="P101" s="294"/>
      <c r="Q101" s="294"/>
      <c r="R101" s="294"/>
      <c r="S101" s="295"/>
      <c r="T101" s="296"/>
      <c r="U101" s="297"/>
      <c r="V101" s="297"/>
      <c r="W101" s="297"/>
      <c r="X101" s="297"/>
      <c r="Y101" s="297"/>
      <c r="Z101" s="297"/>
      <c r="AA101" s="297"/>
      <c r="AB101" s="293"/>
      <c r="AC101" s="294"/>
      <c r="AD101" s="295"/>
      <c r="AE101" s="298"/>
      <c r="AF101" s="296"/>
      <c r="AG101" s="297"/>
      <c r="AH101" s="297"/>
      <c r="AI101" s="297"/>
      <c r="AJ101" s="297"/>
      <c r="AK101" s="297"/>
      <c r="AL101" s="297"/>
      <c r="AM101" s="297"/>
      <c r="AN101" s="300"/>
      <c r="AO101" s="301">
        <v>1500</v>
      </c>
      <c r="AP101" s="301"/>
      <c r="AQ101" s="301"/>
      <c r="AR101" s="301"/>
      <c r="AS101" s="301"/>
      <c r="AT101" s="301"/>
      <c r="AU101" s="301"/>
      <c r="AV101" s="301"/>
      <c r="AW101" s="301"/>
      <c r="AX101" s="301"/>
      <c r="AY101" s="301"/>
      <c r="AZ101" s="301"/>
      <c r="BA101" s="301"/>
      <c r="BB101" s="301"/>
      <c r="BC101" s="301"/>
      <c r="BD101" s="301"/>
      <c r="BE101" s="301"/>
      <c r="BF101" s="302"/>
      <c r="BG101" s="303"/>
      <c r="BH101" s="304">
        <v>10</v>
      </c>
      <c r="BI101" s="304"/>
      <c r="BJ101" s="304"/>
      <c r="BK101" s="304"/>
      <c r="BL101" s="304"/>
      <c r="BM101" s="304"/>
      <c r="BN101" s="304"/>
      <c r="BO101" s="304"/>
      <c r="BP101" s="304"/>
      <c r="BQ101" s="304"/>
      <c r="BR101" s="304"/>
      <c r="BS101" s="304"/>
      <c r="BT101" s="304"/>
      <c r="BU101" s="304"/>
      <c r="BV101" s="304"/>
      <c r="BW101" s="304"/>
      <c r="BX101" s="304"/>
      <c r="BY101" s="305"/>
      <c r="BZ101" s="306"/>
      <c r="CA101" s="307"/>
      <c r="CB101" s="307"/>
      <c r="CC101" s="307"/>
      <c r="CD101" s="307"/>
      <c r="CE101" s="307"/>
      <c r="CF101" s="307"/>
      <c r="CG101" s="332"/>
      <c r="CH101" s="328"/>
      <c r="CI101" s="328"/>
      <c r="CJ101" s="328"/>
      <c r="CK101" s="328"/>
      <c r="CL101" s="328"/>
      <c r="CM101" s="328">
        <v>2</v>
      </c>
      <c r="CN101" s="370"/>
      <c r="CO101" s="367"/>
      <c r="CP101" s="367"/>
      <c r="CQ101" s="367"/>
      <c r="CR101" s="367"/>
      <c r="CS101" s="387">
        <v>10</v>
      </c>
      <c r="CT101" s="398"/>
      <c r="CU101" s="399"/>
      <c r="CV101" s="399"/>
      <c r="CW101" s="399"/>
      <c r="CX101" s="399"/>
      <c r="CY101" s="399"/>
      <c r="CZ101" s="399"/>
      <c r="DA101" s="400">
        <v>1</v>
      </c>
      <c r="DB101" s="522">
        <v>1</v>
      </c>
    </row>
    <row r="102" spans="1:106" x14ac:dyDescent="0.25">
      <c r="A102" s="468" t="s">
        <v>1565</v>
      </c>
      <c r="B102" s="468">
        <v>810</v>
      </c>
      <c r="C102" s="468" t="s">
        <v>3701</v>
      </c>
      <c r="D102" s="468">
        <v>2567</v>
      </c>
      <c r="E102" s="468" t="s">
        <v>1588</v>
      </c>
      <c r="F102" s="468" t="s">
        <v>1589</v>
      </c>
      <c r="G102" s="468" t="s">
        <v>1590</v>
      </c>
      <c r="H102" s="468" t="s">
        <v>1591</v>
      </c>
      <c r="I102" s="468" t="s">
        <v>138</v>
      </c>
      <c r="J102" s="468" t="s">
        <v>3702</v>
      </c>
      <c r="K102" s="468" t="s">
        <v>1592</v>
      </c>
      <c r="L102" s="468" t="s">
        <v>3766</v>
      </c>
      <c r="M102" s="468" t="s">
        <v>4018</v>
      </c>
      <c r="N102" s="460">
        <v>1</v>
      </c>
      <c r="O102" s="294"/>
      <c r="P102" s="294"/>
      <c r="Q102" s="294"/>
      <c r="R102" s="294"/>
      <c r="S102" s="295"/>
      <c r="T102" s="296">
        <v>0</v>
      </c>
      <c r="U102" s="297"/>
      <c r="V102" s="297"/>
      <c r="W102" s="297"/>
      <c r="X102" s="297"/>
      <c r="Y102" s="297"/>
      <c r="Z102" s="297"/>
      <c r="AA102" s="297"/>
      <c r="AB102" s="293">
        <v>0</v>
      </c>
      <c r="AC102" s="294"/>
      <c r="AD102" s="295"/>
      <c r="AE102" s="298"/>
      <c r="AF102" s="296">
        <v>0</v>
      </c>
      <c r="AG102" s="297"/>
      <c r="AH102" s="297"/>
      <c r="AI102" s="297"/>
      <c r="AJ102" s="297"/>
      <c r="AK102" s="297"/>
      <c r="AL102" s="297"/>
      <c r="AM102" s="297"/>
      <c r="AN102" s="300"/>
      <c r="AO102" s="301">
        <v>1500</v>
      </c>
      <c r="AP102" s="301"/>
      <c r="AQ102" s="301"/>
      <c r="AR102" s="301"/>
      <c r="AS102" s="301"/>
      <c r="AT102" s="301"/>
      <c r="AU102" s="301"/>
      <c r="AV102" s="301"/>
      <c r="AW102" s="301"/>
      <c r="AX102" s="301"/>
      <c r="AY102" s="301"/>
      <c r="AZ102" s="301"/>
      <c r="BA102" s="301"/>
      <c r="BB102" s="301"/>
      <c r="BC102" s="301"/>
      <c r="BD102" s="301"/>
      <c r="BE102" s="301"/>
      <c r="BF102" s="302"/>
      <c r="BG102" s="303"/>
      <c r="BH102" s="304">
        <v>10</v>
      </c>
      <c r="BI102" s="304"/>
      <c r="BJ102" s="304"/>
      <c r="BK102" s="304"/>
      <c r="BL102" s="304"/>
      <c r="BM102" s="304"/>
      <c r="BN102" s="304"/>
      <c r="BO102" s="304"/>
      <c r="BP102" s="304"/>
      <c r="BQ102" s="304"/>
      <c r="BR102" s="304"/>
      <c r="BS102" s="304"/>
      <c r="BT102" s="304"/>
      <c r="BU102" s="304"/>
      <c r="BV102" s="304"/>
      <c r="BW102" s="304"/>
      <c r="BX102" s="304"/>
      <c r="BY102" s="305"/>
      <c r="BZ102" s="306"/>
      <c r="CA102" s="307"/>
      <c r="CB102" s="307"/>
      <c r="CC102" s="307"/>
      <c r="CD102" s="307"/>
      <c r="CE102" s="307"/>
      <c r="CF102" s="307"/>
      <c r="CG102" s="332"/>
      <c r="CH102" s="328"/>
      <c r="CI102" s="328"/>
      <c r="CJ102" s="328"/>
      <c r="CK102" s="328"/>
      <c r="CL102" s="328"/>
      <c r="CM102" s="328">
        <v>2</v>
      </c>
      <c r="CN102" s="370"/>
      <c r="CO102" s="367"/>
      <c r="CP102" s="367"/>
      <c r="CQ102" s="367"/>
      <c r="CR102" s="367"/>
      <c r="CS102" s="387">
        <v>10</v>
      </c>
      <c r="CT102" s="398"/>
      <c r="CU102" s="399"/>
      <c r="CV102" s="399"/>
      <c r="CW102" s="399"/>
      <c r="CX102" s="399"/>
      <c r="CY102" s="399"/>
      <c r="CZ102" s="399"/>
      <c r="DA102" s="400">
        <v>1</v>
      </c>
      <c r="DB102" s="522">
        <v>1</v>
      </c>
    </row>
    <row r="103" spans="1:106" x14ac:dyDescent="0.25">
      <c r="A103" s="468" t="s">
        <v>133</v>
      </c>
      <c r="B103" s="468">
        <v>810</v>
      </c>
      <c r="C103" s="468" t="s">
        <v>3524</v>
      </c>
      <c r="D103" s="468">
        <v>1473</v>
      </c>
      <c r="E103" s="468" t="s">
        <v>1601</v>
      </c>
      <c r="F103" s="468" t="s">
        <v>3002</v>
      </c>
      <c r="G103" s="468" t="s">
        <v>1602</v>
      </c>
      <c r="H103" s="468" t="s">
        <v>1603</v>
      </c>
      <c r="I103" s="468" t="s">
        <v>138</v>
      </c>
      <c r="J103" s="468" t="s">
        <v>3525</v>
      </c>
      <c r="K103" s="468" t="s">
        <v>1604</v>
      </c>
      <c r="L103" s="468" t="s">
        <v>3837</v>
      </c>
      <c r="M103" s="468" t="s">
        <v>3839</v>
      </c>
      <c r="N103" s="461"/>
      <c r="O103" s="294"/>
      <c r="P103" s="294">
        <v>2</v>
      </c>
      <c r="Q103" s="294"/>
      <c r="R103" s="294"/>
      <c r="S103" s="295"/>
      <c r="T103" s="296">
        <v>0</v>
      </c>
      <c r="U103" s="297"/>
      <c r="V103" s="297"/>
      <c r="W103" s="297"/>
      <c r="X103" s="297"/>
      <c r="Y103" s="297"/>
      <c r="Z103" s="297"/>
      <c r="AA103" s="297"/>
      <c r="AB103" s="293">
        <v>0</v>
      </c>
      <c r="AC103" s="294"/>
      <c r="AD103" s="295"/>
      <c r="AE103" s="298"/>
      <c r="AF103" s="296">
        <v>0</v>
      </c>
      <c r="AG103" s="297"/>
      <c r="AH103" s="297"/>
      <c r="AI103" s="297"/>
      <c r="AJ103" s="297"/>
      <c r="AK103" s="297"/>
      <c r="AL103" s="297"/>
      <c r="AM103" s="297"/>
      <c r="AN103" s="300"/>
      <c r="AO103" s="301"/>
      <c r="AP103" s="301"/>
      <c r="AQ103" s="301"/>
      <c r="AR103" s="301"/>
      <c r="AS103" s="301"/>
      <c r="AT103" s="301">
        <v>1500</v>
      </c>
      <c r="AU103" s="301"/>
      <c r="AV103" s="301"/>
      <c r="AW103" s="301"/>
      <c r="AX103" s="301"/>
      <c r="AY103" s="301"/>
      <c r="AZ103" s="301"/>
      <c r="BA103" s="301"/>
      <c r="BB103" s="301"/>
      <c r="BC103" s="301"/>
      <c r="BD103" s="301"/>
      <c r="BE103" s="301"/>
      <c r="BF103" s="302"/>
      <c r="BG103" s="303"/>
      <c r="BH103" s="304"/>
      <c r="BI103" s="304"/>
      <c r="BJ103" s="304"/>
      <c r="BK103" s="304"/>
      <c r="BL103" s="304"/>
      <c r="BM103" s="304">
        <v>10</v>
      </c>
      <c r="BN103" s="304"/>
      <c r="BO103" s="304"/>
      <c r="BP103" s="304"/>
      <c r="BQ103" s="304"/>
      <c r="BR103" s="304"/>
      <c r="BS103" s="304"/>
      <c r="BT103" s="304"/>
      <c r="BU103" s="304"/>
      <c r="BV103" s="304"/>
      <c r="BW103" s="304"/>
      <c r="BX103" s="304"/>
      <c r="BY103" s="305"/>
      <c r="BZ103" s="306"/>
      <c r="CA103" s="307"/>
      <c r="CB103" s="307"/>
      <c r="CC103" s="307"/>
      <c r="CD103" s="307"/>
      <c r="CE103" s="307"/>
      <c r="CF103" s="307"/>
      <c r="CG103" s="332">
        <v>2</v>
      </c>
      <c r="CH103" s="328"/>
      <c r="CI103" s="328"/>
      <c r="CJ103" s="328"/>
      <c r="CK103" s="328"/>
      <c r="CL103" s="328"/>
      <c r="CM103" s="328"/>
      <c r="CN103" s="370">
        <v>10</v>
      </c>
      <c r="CO103" s="367"/>
      <c r="CP103" s="367"/>
      <c r="CQ103" s="367"/>
      <c r="CR103" s="367"/>
      <c r="CS103" s="387"/>
      <c r="CT103" s="398">
        <v>1</v>
      </c>
      <c r="CU103" s="399"/>
      <c r="CV103" s="399"/>
      <c r="CW103" s="399"/>
      <c r="CX103" s="399"/>
      <c r="CY103" s="399"/>
      <c r="CZ103" s="399"/>
      <c r="DA103" s="400"/>
      <c r="DB103" s="522">
        <v>1</v>
      </c>
    </row>
    <row r="104" spans="1:106" x14ac:dyDescent="0.25">
      <c r="A104" s="468" t="s">
        <v>133</v>
      </c>
      <c r="B104" s="468">
        <v>810</v>
      </c>
      <c r="C104" s="468" t="s">
        <v>3704</v>
      </c>
      <c r="D104" s="468">
        <v>2570</v>
      </c>
      <c r="E104" s="468" t="s">
        <v>1593</v>
      </c>
      <c r="F104" s="468" t="s">
        <v>1594</v>
      </c>
      <c r="G104" s="468" t="s">
        <v>3007</v>
      </c>
      <c r="H104" s="468" t="s">
        <v>1595</v>
      </c>
      <c r="I104" s="468" t="s">
        <v>138</v>
      </c>
      <c r="J104" s="468" t="s">
        <v>3705</v>
      </c>
      <c r="K104" s="468" t="s">
        <v>1596</v>
      </c>
      <c r="L104" s="468" t="s">
        <v>3766</v>
      </c>
      <c r="M104" s="468" t="s">
        <v>4011</v>
      </c>
      <c r="N104" s="460">
        <v>2</v>
      </c>
      <c r="O104" s="294"/>
      <c r="P104" s="294"/>
      <c r="Q104" s="294"/>
      <c r="R104" s="294"/>
      <c r="S104" s="295"/>
      <c r="T104" s="296">
        <v>0</v>
      </c>
      <c r="U104" s="297"/>
      <c r="V104" s="297"/>
      <c r="W104" s="297"/>
      <c r="X104" s="297"/>
      <c r="Y104" s="297"/>
      <c r="Z104" s="297"/>
      <c r="AA104" s="297"/>
      <c r="AB104" s="293">
        <v>0</v>
      </c>
      <c r="AC104" s="294"/>
      <c r="AD104" s="295"/>
      <c r="AE104" s="298"/>
      <c r="AF104" s="296">
        <v>0</v>
      </c>
      <c r="AG104" s="297"/>
      <c r="AH104" s="297"/>
      <c r="AI104" s="297"/>
      <c r="AJ104" s="297"/>
      <c r="AK104" s="297"/>
      <c r="AL104" s="297"/>
      <c r="AM104" s="297"/>
      <c r="AN104" s="300">
        <v>1500</v>
      </c>
      <c r="AO104" s="301"/>
      <c r="AP104" s="301"/>
      <c r="AQ104" s="301"/>
      <c r="AR104" s="301"/>
      <c r="AS104" s="301"/>
      <c r="AT104" s="301"/>
      <c r="AU104" s="301"/>
      <c r="AV104" s="301"/>
      <c r="AW104" s="301"/>
      <c r="AX104" s="301"/>
      <c r="AY104" s="301"/>
      <c r="AZ104" s="301"/>
      <c r="BA104" s="301"/>
      <c r="BB104" s="301"/>
      <c r="BC104" s="301"/>
      <c r="BD104" s="301"/>
      <c r="BE104" s="301"/>
      <c r="BF104" s="302"/>
      <c r="BG104" s="303">
        <v>10</v>
      </c>
      <c r="BH104" s="304"/>
      <c r="BI104" s="304"/>
      <c r="BJ104" s="304"/>
      <c r="BK104" s="304"/>
      <c r="BL104" s="304"/>
      <c r="BM104" s="304"/>
      <c r="BN104" s="304"/>
      <c r="BO104" s="304"/>
      <c r="BP104" s="304"/>
      <c r="BQ104" s="304"/>
      <c r="BR104" s="304"/>
      <c r="BS104" s="304"/>
      <c r="BT104" s="304"/>
      <c r="BU104" s="304"/>
      <c r="BV104" s="304"/>
      <c r="BW104" s="304"/>
      <c r="BX104" s="304"/>
      <c r="BY104" s="305"/>
      <c r="BZ104" s="306"/>
      <c r="CA104" s="307"/>
      <c r="CB104" s="307"/>
      <c r="CC104" s="307"/>
      <c r="CD104" s="307"/>
      <c r="CE104" s="307"/>
      <c r="CF104" s="307"/>
      <c r="CG104" s="332"/>
      <c r="CH104" s="328"/>
      <c r="CI104" s="328"/>
      <c r="CJ104" s="328"/>
      <c r="CK104" s="328"/>
      <c r="CL104" s="328"/>
      <c r="CM104" s="328">
        <v>2</v>
      </c>
      <c r="CN104" s="370"/>
      <c r="CO104" s="367"/>
      <c r="CP104" s="367"/>
      <c r="CQ104" s="367"/>
      <c r="CR104" s="367"/>
      <c r="CS104" s="387">
        <v>10</v>
      </c>
      <c r="CT104" s="398"/>
      <c r="CU104" s="399"/>
      <c r="CV104" s="399"/>
      <c r="CW104" s="399"/>
      <c r="CX104" s="399"/>
      <c r="CY104" s="399"/>
      <c r="CZ104" s="399"/>
      <c r="DA104" s="400">
        <v>1</v>
      </c>
      <c r="DB104" s="522">
        <v>1</v>
      </c>
    </row>
    <row r="105" spans="1:106" x14ac:dyDescent="0.25">
      <c r="A105" s="468" t="s">
        <v>248</v>
      </c>
      <c r="B105" s="468">
        <v>810</v>
      </c>
      <c r="C105" s="468" t="s">
        <v>3513</v>
      </c>
      <c r="D105" s="468">
        <v>1464</v>
      </c>
      <c r="E105" s="468" t="s">
        <v>1715</v>
      </c>
      <c r="F105" s="468" t="s">
        <v>2958</v>
      </c>
      <c r="G105" s="468" t="s">
        <v>1716</v>
      </c>
      <c r="H105" s="468" t="s">
        <v>1717</v>
      </c>
      <c r="I105" s="468" t="s">
        <v>138</v>
      </c>
      <c r="J105" s="468" t="s">
        <v>3514</v>
      </c>
      <c r="K105" s="468" t="s">
        <v>1718</v>
      </c>
      <c r="L105" s="468" t="s">
        <v>3844</v>
      </c>
      <c r="M105" s="468" t="s">
        <v>3845</v>
      </c>
      <c r="N105" s="460">
        <v>0</v>
      </c>
      <c r="O105" s="294"/>
      <c r="P105" s="294"/>
      <c r="Q105" s="294"/>
      <c r="R105" s="294"/>
      <c r="S105" s="295"/>
      <c r="T105" s="299"/>
      <c r="U105" s="297"/>
      <c r="V105" s="297">
        <v>2</v>
      </c>
      <c r="W105" s="297"/>
      <c r="X105" s="297"/>
      <c r="Y105" s="297"/>
      <c r="Z105" s="297"/>
      <c r="AA105" s="297"/>
      <c r="AB105" s="293">
        <v>0</v>
      </c>
      <c r="AC105" s="294"/>
      <c r="AD105" s="295"/>
      <c r="AE105" s="298"/>
      <c r="AF105" s="296">
        <v>0</v>
      </c>
      <c r="AG105" s="297"/>
      <c r="AH105" s="297"/>
      <c r="AI105" s="297"/>
      <c r="AJ105" s="297"/>
      <c r="AK105" s="297"/>
      <c r="AL105" s="297"/>
      <c r="AM105" s="297"/>
      <c r="AN105" s="300"/>
      <c r="AO105" s="301"/>
      <c r="AP105" s="301"/>
      <c r="AQ105" s="301"/>
      <c r="AR105" s="301"/>
      <c r="AS105" s="301"/>
      <c r="AT105" s="301"/>
      <c r="AU105" s="301"/>
      <c r="AV105" s="301"/>
      <c r="AW105" s="301"/>
      <c r="AX105" s="301">
        <v>1500</v>
      </c>
      <c r="AY105" s="301"/>
      <c r="AZ105" s="301"/>
      <c r="BA105" s="301"/>
      <c r="BB105" s="301"/>
      <c r="BC105" s="301"/>
      <c r="BD105" s="301"/>
      <c r="BE105" s="301"/>
      <c r="BF105" s="302"/>
      <c r="BG105" s="303"/>
      <c r="BH105" s="304"/>
      <c r="BI105" s="304"/>
      <c r="BJ105" s="304"/>
      <c r="BK105" s="304"/>
      <c r="BL105" s="304"/>
      <c r="BM105" s="304"/>
      <c r="BN105" s="304"/>
      <c r="BO105" s="304"/>
      <c r="BP105" s="304"/>
      <c r="BQ105" s="304">
        <v>10</v>
      </c>
      <c r="BR105" s="304"/>
      <c r="BS105" s="304"/>
      <c r="BT105" s="304"/>
      <c r="BU105" s="304"/>
      <c r="BV105" s="304"/>
      <c r="BW105" s="304"/>
      <c r="BX105" s="304"/>
      <c r="BY105" s="305"/>
      <c r="BZ105" s="306"/>
      <c r="CA105" s="307"/>
      <c r="CB105" s="307"/>
      <c r="CC105" s="307"/>
      <c r="CD105" s="307"/>
      <c r="CE105" s="307"/>
      <c r="CF105" s="307"/>
      <c r="CG105" s="332"/>
      <c r="CH105" s="328"/>
      <c r="CI105" s="328">
        <v>2</v>
      </c>
      <c r="CJ105" s="328"/>
      <c r="CK105" s="328"/>
      <c r="CL105" s="328"/>
      <c r="CM105" s="328"/>
      <c r="CN105" s="370"/>
      <c r="CO105" s="367"/>
      <c r="CP105" s="367">
        <v>10</v>
      </c>
      <c r="CQ105" s="367"/>
      <c r="CR105" s="367"/>
      <c r="CS105" s="387"/>
      <c r="CT105" s="398"/>
      <c r="CU105" s="399"/>
      <c r="CV105" s="399">
        <v>1</v>
      </c>
      <c r="CW105" s="399"/>
      <c r="CX105" s="399"/>
      <c r="CY105" s="399"/>
      <c r="CZ105" s="399"/>
      <c r="DA105" s="400"/>
      <c r="DB105" s="522">
        <v>1</v>
      </c>
    </row>
    <row r="106" spans="1:106" x14ac:dyDescent="0.25">
      <c r="A106" s="468" t="s">
        <v>248</v>
      </c>
      <c r="B106" s="468">
        <v>810</v>
      </c>
      <c r="C106" s="468" t="s">
        <v>3518</v>
      </c>
      <c r="D106" s="468">
        <v>1467</v>
      </c>
      <c r="E106" s="468" t="s">
        <v>249</v>
      </c>
      <c r="F106" s="468" t="s">
        <v>1727</v>
      </c>
      <c r="G106" s="468" t="s">
        <v>250</v>
      </c>
      <c r="H106" s="468" t="s">
        <v>251</v>
      </c>
      <c r="I106" s="468" t="s">
        <v>138</v>
      </c>
      <c r="J106" s="468" t="s">
        <v>3519</v>
      </c>
      <c r="K106" s="468" t="s">
        <v>252</v>
      </c>
      <c r="L106" s="468" t="s">
        <v>3844</v>
      </c>
      <c r="M106" s="468" t="s">
        <v>3845</v>
      </c>
      <c r="N106" s="460">
        <v>0</v>
      </c>
      <c r="O106" s="294"/>
      <c r="P106" s="294"/>
      <c r="Q106" s="294"/>
      <c r="R106" s="294"/>
      <c r="S106" s="295"/>
      <c r="T106" s="299"/>
      <c r="U106" s="297"/>
      <c r="V106" s="297">
        <v>2</v>
      </c>
      <c r="W106" s="297"/>
      <c r="X106" s="297"/>
      <c r="Y106" s="297"/>
      <c r="Z106" s="297"/>
      <c r="AA106" s="297"/>
      <c r="AB106" s="293">
        <v>0</v>
      </c>
      <c r="AC106" s="294"/>
      <c r="AD106" s="295"/>
      <c r="AE106" s="298"/>
      <c r="AF106" s="296">
        <v>0</v>
      </c>
      <c r="AG106" s="297"/>
      <c r="AH106" s="297"/>
      <c r="AI106" s="297"/>
      <c r="AJ106" s="297"/>
      <c r="AK106" s="297"/>
      <c r="AL106" s="297"/>
      <c r="AM106" s="297"/>
      <c r="AN106" s="300"/>
      <c r="AO106" s="301"/>
      <c r="AP106" s="301"/>
      <c r="AQ106" s="301"/>
      <c r="AR106" s="301"/>
      <c r="AS106" s="301"/>
      <c r="AT106" s="301"/>
      <c r="AU106" s="301"/>
      <c r="AV106" s="301"/>
      <c r="AW106" s="301"/>
      <c r="AX106" s="301">
        <v>1500</v>
      </c>
      <c r="AY106" s="301"/>
      <c r="AZ106" s="301"/>
      <c r="BA106" s="301"/>
      <c r="BB106" s="301"/>
      <c r="BC106" s="301"/>
      <c r="BD106" s="301"/>
      <c r="BE106" s="301"/>
      <c r="BF106" s="302"/>
      <c r="BG106" s="303"/>
      <c r="BH106" s="304"/>
      <c r="BI106" s="304"/>
      <c r="BJ106" s="304"/>
      <c r="BK106" s="304"/>
      <c r="BL106" s="304"/>
      <c r="BM106" s="304"/>
      <c r="BN106" s="304"/>
      <c r="BO106" s="304"/>
      <c r="BP106" s="304"/>
      <c r="BQ106" s="304">
        <v>10</v>
      </c>
      <c r="BR106" s="304"/>
      <c r="BS106" s="304"/>
      <c r="BT106" s="304"/>
      <c r="BU106" s="304"/>
      <c r="BV106" s="304"/>
      <c r="BW106" s="304"/>
      <c r="BX106" s="304"/>
      <c r="BY106" s="305"/>
      <c r="BZ106" s="306"/>
      <c r="CA106" s="307"/>
      <c r="CB106" s="307"/>
      <c r="CC106" s="307"/>
      <c r="CD106" s="307"/>
      <c r="CE106" s="307"/>
      <c r="CF106" s="307"/>
      <c r="CG106" s="332"/>
      <c r="CH106" s="328"/>
      <c r="CI106" s="328">
        <v>2</v>
      </c>
      <c r="CJ106" s="328"/>
      <c r="CK106" s="328"/>
      <c r="CL106" s="328"/>
      <c r="CM106" s="328"/>
      <c r="CN106" s="370"/>
      <c r="CO106" s="367"/>
      <c r="CP106" s="367">
        <v>10</v>
      </c>
      <c r="CQ106" s="367"/>
      <c r="CR106" s="367"/>
      <c r="CS106" s="387"/>
      <c r="CT106" s="398"/>
      <c r="CU106" s="399"/>
      <c r="CV106" s="399">
        <v>1</v>
      </c>
      <c r="CW106" s="399"/>
      <c r="CX106" s="399"/>
      <c r="CY106" s="399"/>
      <c r="CZ106" s="399"/>
      <c r="DA106" s="400"/>
      <c r="DB106" s="522">
        <v>1</v>
      </c>
    </row>
    <row r="107" spans="1:106" x14ac:dyDescent="0.25">
      <c r="A107" s="468" t="s">
        <v>248</v>
      </c>
      <c r="B107" s="468">
        <v>810</v>
      </c>
      <c r="C107" s="468" t="s">
        <v>3520</v>
      </c>
      <c r="D107" s="468">
        <v>1468</v>
      </c>
      <c r="E107" s="468" t="s">
        <v>1728</v>
      </c>
      <c r="F107" s="468" t="s">
        <v>1729</v>
      </c>
      <c r="G107" s="468" t="s">
        <v>1730</v>
      </c>
      <c r="H107" s="468" t="s">
        <v>251</v>
      </c>
      <c r="I107" s="468" t="s">
        <v>138</v>
      </c>
      <c r="J107" s="468" t="s">
        <v>3519</v>
      </c>
      <c r="K107" s="468" t="s">
        <v>1731</v>
      </c>
      <c r="L107" s="468" t="s">
        <v>3844</v>
      </c>
      <c r="M107" s="468" t="s">
        <v>3845</v>
      </c>
      <c r="N107" s="460">
        <v>0</v>
      </c>
      <c r="O107" s="294"/>
      <c r="P107" s="294"/>
      <c r="Q107" s="294"/>
      <c r="R107" s="294"/>
      <c r="S107" s="295"/>
      <c r="T107" s="299"/>
      <c r="U107" s="297"/>
      <c r="V107" s="297">
        <v>2</v>
      </c>
      <c r="W107" s="297"/>
      <c r="X107" s="297"/>
      <c r="Y107" s="297"/>
      <c r="Z107" s="297"/>
      <c r="AA107" s="297"/>
      <c r="AB107" s="293">
        <v>0</v>
      </c>
      <c r="AC107" s="294"/>
      <c r="AD107" s="295"/>
      <c r="AE107" s="298"/>
      <c r="AF107" s="296">
        <v>0</v>
      </c>
      <c r="AG107" s="297"/>
      <c r="AH107" s="297"/>
      <c r="AI107" s="297"/>
      <c r="AJ107" s="297"/>
      <c r="AK107" s="297"/>
      <c r="AL107" s="297"/>
      <c r="AM107" s="297"/>
      <c r="AN107" s="300"/>
      <c r="AO107" s="301"/>
      <c r="AP107" s="301"/>
      <c r="AQ107" s="301"/>
      <c r="AR107" s="301"/>
      <c r="AS107" s="301"/>
      <c r="AT107" s="301"/>
      <c r="AU107" s="301"/>
      <c r="AV107" s="301"/>
      <c r="AW107" s="301"/>
      <c r="AX107" s="301">
        <v>1500</v>
      </c>
      <c r="AY107" s="301"/>
      <c r="AZ107" s="301"/>
      <c r="BA107" s="301"/>
      <c r="BB107" s="301"/>
      <c r="BC107" s="301"/>
      <c r="BD107" s="301"/>
      <c r="BE107" s="301"/>
      <c r="BF107" s="302"/>
      <c r="BG107" s="303"/>
      <c r="BH107" s="304"/>
      <c r="BI107" s="304"/>
      <c r="BJ107" s="304"/>
      <c r="BK107" s="304"/>
      <c r="BL107" s="304"/>
      <c r="BM107" s="304"/>
      <c r="BN107" s="304"/>
      <c r="BO107" s="304"/>
      <c r="BP107" s="304"/>
      <c r="BQ107" s="304">
        <v>10</v>
      </c>
      <c r="BR107" s="304"/>
      <c r="BS107" s="304"/>
      <c r="BT107" s="304"/>
      <c r="BU107" s="304"/>
      <c r="BV107" s="304"/>
      <c r="BW107" s="304"/>
      <c r="BX107" s="304"/>
      <c r="BY107" s="305"/>
      <c r="BZ107" s="306"/>
      <c r="CA107" s="307"/>
      <c r="CB107" s="307"/>
      <c r="CC107" s="307"/>
      <c r="CD107" s="307"/>
      <c r="CE107" s="307"/>
      <c r="CF107" s="307"/>
      <c r="CG107" s="332"/>
      <c r="CH107" s="328"/>
      <c r="CI107" s="328">
        <v>2</v>
      </c>
      <c r="CJ107" s="328"/>
      <c r="CK107" s="328"/>
      <c r="CL107" s="328"/>
      <c r="CM107" s="328"/>
      <c r="CN107" s="370"/>
      <c r="CO107" s="367"/>
      <c r="CP107" s="367">
        <v>10</v>
      </c>
      <c r="CQ107" s="367"/>
      <c r="CR107" s="367"/>
      <c r="CS107" s="387"/>
      <c r="CT107" s="398"/>
      <c r="CU107" s="399"/>
      <c r="CV107" s="399">
        <v>1</v>
      </c>
      <c r="CW107" s="399"/>
      <c r="CX107" s="399"/>
      <c r="CY107" s="399"/>
      <c r="CZ107" s="399"/>
      <c r="DA107" s="400"/>
      <c r="DB107" s="522">
        <v>1</v>
      </c>
    </row>
    <row r="108" spans="1:106" x14ac:dyDescent="0.25">
      <c r="A108" s="468" t="s">
        <v>174</v>
      </c>
      <c r="B108" s="468">
        <v>801</v>
      </c>
      <c r="C108" s="468" t="s">
        <v>1880</v>
      </c>
      <c r="D108" s="468">
        <v>609</v>
      </c>
      <c r="E108" s="468" t="s">
        <v>1881</v>
      </c>
      <c r="F108" s="468" t="s">
        <v>1886</v>
      </c>
      <c r="G108" s="468" t="s">
        <v>1882</v>
      </c>
      <c r="H108" s="468" t="s">
        <v>1773</v>
      </c>
      <c r="I108" s="468" t="s">
        <v>179</v>
      </c>
      <c r="J108" s="468" t="s">
        <v>3242</v>
      </c>
      <c r="K108" s="468" t="s">
        <v>1883</v>
      </c>
      <c r="L108" s="468" t="s">
        <v>3737</v>
      </c>
      <c r="M108" s="468" t="s">
        <v>3802</v>
      </c>
      <c r="N108" s="460">
        <v>0</v>
      </c>
      <c r="O108" s="294"/>
      <c r="P108" s="294"/>
      <c r="Q108" s="294"/>
      <c r="R108" s="294"/>
      <c r="S108" s="295"/>
      <c r="T108" s="296">
        <v>0</v>
      </c>
      <c r="U108" s="297"/>
      <c r="V108" s="297"/>
      <c r="W108" s="297"/>
      <c r="X108" s="297"/>
      <c r="Y108" s="297"/>
      <c r="Z108" s="297"/>
      <c r="AA108" s="297"/>
      <c r="AB108" s="293">
        <v>0</v>
      </c>
      <c r="AC108" s="294"/>
      <c r="AD108" s="295"/>
      <c r="AE108" s="298"/>
      <c r="AF108" s="296">
        <v>0</v>
      </c>
      <c r="AG108" s="297"/>
      <c r="AH108" s="297"/>
      <c r="AI108" s="297"/>
      <c r="AJ108" s="297"/>
      <c r="AK108" s="297"/>
      <c r="AL108" s="297"/>
      <c r="AM108" s="297"/>
      <c r="AN108" s="300"/>
      <c r="AO108" s="301"/>
      <c r="AP108" s="301"/>
      <c r="AQ108" s="301"/>
      <c r="AR108" s="301"/>
      <c r="AS108" s="301"/>
      <c r="AT108" s="301"/>
      <c r="AU108" s="301"/>
      <c r="AV108" s="301"/>
      <c r="AW108" s="301"/>
      <c r="AX108" s="301"/>
      <c r="AY108" s="301"/>
      <c r="AZ108" s="301"/>
      <c r="BA108" s="301">
        <v>1500</v>
      </c>
      <c r="BB108" s="301"/>
      <c r="BC108" s="301"/>
      <c r="BD108" s="301"/>
      <c r="BE108" s="301"/>
      <c r="BF108" s="302"/>
      <c r="BG108" s="303"/>
      <c r="BH108" s="304"/>
      <c r="BI108" s="304"/>
      <c r="BJ108" s="304"/>
      <c r="BK108" s="304"/>
      <c r="BL108" s="304"/>
      <c r="BM108" s="304"/>
      <c r="BN108" s="304"/>
      <c r="BO108" s="304"/>
      <c r="BP108" s="304"/>
      <c r="BQ108" s="304"/>
      <c r="BR108" s="304"/>
      <c r="BS108" s="304"/>
      <c r="BT108" s="304">
        <v>10</v>
      </c>
      <c r="BU108" s="304"/>
      <c r="BV108" s="304"/>
      <c r="BW108" s="304"/>
      <c r="BX108" s="304"/>
      <c r="BY108" s="305"/>
      <c r="BZ108" s="308"/>
      <c r="CA108" s="307"/>
      <c r="CB108" s="309">
        <v>1</v>
      </c>
      <c r="CC108" s="307"/>
      <c r="CD108" s="307"/>
      <c r="CE108" s="307"/>
      <c r="CF108" s="307"/>
      <c r="CG108" s="332"/>
      <c r="CH108" s="328"/>
      <c r="CI108" s="328"/>
      <c r="CJ108" s="328">
        <v>2</v>
      </c>
      <c r="CK108" s="328"/>
      <c r="CL108" s="328"/>
      <c r="CM108" s="328"/>
      <c r="CN108" s="370"/>
      <c r="CO108" s="367"/>
      <c r="CP108" s="367"/>
      <c r="CQ108" s="367">
        <v>10</v>
      </c>
      <c r="CR108" s="367"/>
      <c r="CS108" s="387"/>
      <c r="CT108" s="398"/>
      <c r="CU108" s="399"/>
      <c r="CV108" s="399"/>
      <c r="CW108" s="399"/>
      <c r="CX108" s="399">
        <v>1</v>
      </c>
      <c r="CY108" s="399"/>
      <c r="CZ108" s="399"/>
      <c r="DA108" s="400"/>
      <c r="DB108" s="522">
        <v>1</v>
      </c>
    </row>
    <row r="109" spans="1:106" x14ac:dyDescent="0.25">
      <c r="A109" s="468" t="s">
        <v>174</v>
      </c>
      <c r="B109" s="468">
        <v>801</v>
      </c>
      <c r="C109" s="468" t="s">
        <v>1911</v>
      </c>
      <c r="D109" s="468">
        <v>803</v>
      </c>
      <c r="E109" s="468" t="s">
        <v>1912</v>
      </c>
      <c r="F109" s="468" t="s">
        <v>3271</v>
      </c>
      <c r="G109" s="468" t="s">
        <v>1914</v>
      </c>
      <c r="H109" s="468" t="s">
        <v>1904</v>
      </c>
      <c r="I109" s="468" t="s">
        <v>179</v>
      </c>
      <c r="J109" s="468" t="s">
        <v>3269</v>
      </c>
      <c r="K109" s="468" t="s">
        <v>1915</v>
      </c>
      <c r="L109" s="468" t="s">
        <v>3737</v>
      </c>
      <c r="M109" s="468" t="s">
        <v>3739</v>
      </c>
      <c r="N109" s="460">
        <v>0</v>
      </c>
      <c r="O109" s="294"/>
      <c r="P109" s="294"/>
      <c r="Q109" s="294"/>
      <c r="R109" s="294"/>
      <c r="S109" s="295"/>
      <c r="T109" s="296">
        <v>0</v>
      </c>
      <c r="U109" s="297"/>
      <c r="V109" s="297"/>
      <c r="W109" s="297"/>
      <c r="X109" s="297"/>
      <c r="Y109" s="297"/>
      <c r="Z109" s="297"/>
      <c r="AA109" s="297"/>
      <c r="AB109" s="293">
        <v>0</v>
      </c>
      <c r="AC109" s="294"/>
      <c r="AD109" s="295"/>
      <c r="AE109" s="298"/>
      <c r="AF109" s="299"/>
      <c r="AG109" s="297"/>
      <c r="AH109" s="297">
        <v>1</v>
      </c>
      <c r="AI109" s="297"/>
      <c r="AJ109" s="297"/>
      <c r="AK109" s="297"/>
      <c r="AL109" s="297"/>
      <c r="AM109" s="297"/>
      <c r="AN109" s="300"/>
      <c r="AO109" s="301"/>
      <c r="AP109" s="301"/>
      <c r="AQ109" s="301"/>
      <c r="AR109" s="301"/>
      <c r="AS109" s="301"/>
      <c r="AT109" s="301"/>
      <c r="AU109" s="301"/>
      <c r="AV109" s="301"/>
      <c r="AW109" s="301"/>
      <c r="AX109" s="301"/>
      <c r="AY109" s="301"/>
      <c r="AZ109" s="301">
        <v>1500</v>
      </c>
      <c r="BA109" s="301"/>
      <c r="BB109" s="301"/>
      <c r="BC109" s="301"/>
      <c r="BD109" s="301"/>
      <c r="BE109" s="301"/>
      <c r="BF109" s="302"/>
      <c r="BG109" s="303"/>
      <c r="BH109" s="304"/>
      <c r="BI109" s="304"/>
      <c r="BJ109" s="304"/>
      <c r="BK109" s="304"/>
      <c r="BL109" s="304"/>
      <c r="BM109" s="304"/>
      <c r="BN109" s="304"/>
      <c r="BO109" s="304"/>
      <c r="BP109" s="304"/>
      <c r="BQ109" s="304"/>
      <c r="BR109" s="304"/>
      <c r="BS109" s="304">
        <v>10</v>
      </c>
      <c r="BT109" s="304"/>
      <c r="BU109" s="304"/>
      <c r="BV109" s="304"/>
      <c r="BW109" s="304"/>
      <c r="BX109" s="304"/>
      <c r="BY109" s="305"/>
      <c r="BZ109" s="308"/>
      <c r="CA109" s="307"/>
      <c r="CB109" s="309"/>
      <c r="CC109" s="307"/>
      <c r="CD109" s="307"/>
      <c r="CE109" s="307"/>
      <c r="CF109" s="307"/>
      <c r="CG109" s="332"/>
      <c r="CH109" s="328"/>
      <c r="CI109" s="328"/>
      <c r="CJ109" s="328">
        <v>2</v>
      </c>
      <c r="CK109" s="328"/>
      <c r="CL109" s="328"/>
      <c r="CM109" s="328"/>
      <c r="CN109" s="370"/>
      <c r="CO109" s="367"/>
      <c r="CP109" s="367"/>
      <c r="CQ109" s="367">
        <v>10</v>
      </c>
      <c r="CR109" s="367"/>
      <c r="CS109" s="387"/>
      <c r="CT109" s="398"/>
      <c r="CU109" s="399"/>
      <c r="CV109" s="399"/>
      <c r="CW109" s="399"/>
      <c r="CX109" s="399">
        <v>1</v>
      </c>
      <c r="CY109" s="399"/>
      <c r="CZ109" s="399"/>
      <c r="DA109" s="400"/>
      <c r="DB109" s="522">
        <v>1</v>
      </c>
    </row>
    <row r="110" spans="1:106" x14ac:dyDescent="0.25">
      <c r="A110" s="468" t="s">
        <v>174</v>
      </c>
      <c r="B110" s="468">
        <v>801</v>
      </c>
      <c r="C110" s="468" t="s">
        <v>3570</v>
      </c>
      <c r="D110" s="468">
        <v>1606</v>
      </c>
      <c r="E110" s="468" t="s">
        <v>1749</v>
      </c>
      <c r="F110" s="468" t="s">
        <v>1750</v>
      </c>
      <c r="G110" s="468" t="s">
        <v>1751</v>
      </c>
      <c r="H110" s="468" t="s">
        <v>240</v>
      </c>
      <c r="I110" s="468" t="s">
        <v>179</v>
      </c>
      <c r="J110" s="468" t="s">
        <v>3571</v>
      </c>
      <c r="K110" s="468" t="s">
        <v>1752</v>
      </c>
      <c r="L110" s="468" t="s">
        <v>3737</v>
      </c>
      <c r="M110" s="468" t="s">
        <v>3802</v>
      </c>
      <c r="N110" s="461"/>
      <c r="O110" s="294"/>
      <c r="P110" s="294"/>
      <c r="Q110" s="294"/>
      <c r="R110" s="294">
        <v>2</v>
      </c>
      <c r="S110" s="295"/>
      <c r="T110" s="296">
        <v>0</v>
      </c>
      <c r="U110" s="297"/>
      <c r="V110" s="297"/>
      <c r="W110" s="297"/>
      <c r="X110" s="297"/>
      <c r="Y110" s="297"/>
      <c r="Z110" s="297"/>
      <c r="AA110" s="297"/>
      <c r="AB110" s="293">
        <v>0</v>
      </c>
      <c r="AC110" s="294"/>
      <c r="AD110" s="295"/>
      <c r="AE110" s="298"/>
      <c r="AF110" s="296">
        <v>0</v>
      </c>
      <c r="AG110" s="297"/>
      <c r="AH110" s="297"/>
      <c r="AI110" s="297"/>
      <c r="AJ110" s="297"/>
      <c r="AK110" s="297"/>
      <c r="AL110" s="297"/>
      <c r="AM110" s="297"/>
      <c r="AN110" s="300"/>
      <c r="AO110" s="301"/>
      <c r="AP110" s="301"/>
      <c r="AQ110" s="301"/>
      <c r="AR110" s="301"/>
      <c r="AS110" s="301"/>
      <c r="AT110" s="301"/>
      <c r="AU110" s="301"/>
      <c r="AV110" s="301"/>
      <c r="AW110" s="301"/>
      <c r="AX110" s="301"/>
      <c r="AY110" s="301"/>
      <c r="AZ110" s="301"/>
      <c r="BA110" s="301">
        <v>1500</v>
      </c>
      <c r="BB110" s="301"/>
      <c r="BC110" s="301"/>
      <c r="BD110" s="301"/>
      <c r="BE110" s="301"/>
      <c r="BF110" s="302"/>
      <c r="BG110" s="303"/>
      <c r="BH110" s="304"/>
      <c r="BI110" s="304"/>
      <c r="BJ110" s="304"/>
      <c r="BK110" s="304"/>
      <c r="BL110" s="304"/>
      <c r="BM110" s="304"/>
      <c r="BN110" s="304"/>
      <c r="BO110" s="304"/>
      <c r="BP110" s="304"/>
      <c r="BQ110" s="304"/>
      <c r="BR110" s="304"/>
      <c r="BS110" s="304"/>
      <c r="BT110" s="304">
        <v>10</v>
      </c>
      <c r="BU110" s="304"/>
      <c r="BV110" s="304"/>
      <c r="BW110" s="304"/>
      <c r="BX110" s="304"/>
      <c r="BY110" s="305"/>
      <c r="BZ110" s="308"/>
      <c r="CA110" s="307"/>
      <c r="CB110" s="309"/>
      <c r="CC110" s="307"/>
      <c r="CD110" s="307"/>
      <c r="CE110" s="307"/>
      <c r="CF110" s="307"/>
      <c r="CG110" s="332"/>
      <c r="CH110" s="328"/>
      <c r="CI110" s="328"/>
      <c r="CJ110" s="328">
        <v>2</v>
      </c>
      <c r="CK110" s="328"/>
      <c r="CL110" s="328"/>
      <c r="CM110" s="328"/>
      <c r="CN110" s="370"/>
      <c r="CO110" s="367"/>
      <c r="CP110" s="367"/>
      <c r="CQ110" s="367">
        <v>10</v>
      </c>
      <c r="CR110" s="367"/>
      <c r="CS110" s="387"/>
      <c r="CT110" s="398"/>
      <c r="CU110" s="399"/>
      <c r="CV110" s="399"/>
      <c r="CW110" s="399"/>
      <c r="CX110" s="399">
        <v>1</v>
      </c>
      <c r="CY110" s="399"/>
      <c r="CZ110" s="399"/>
      <c r="DA110" s="400"/>
      <c r="DB110" s="522">
        <v>1</v>
      </c>
    </row>
    <row r="111" spans="1:106" x14ac:dyDescent="0.25">
      <c r="A111" s="468" t="s">
        <v>174</v>
      </c>
      <c r="B111" s="468">
        <v>800</v>
      </c>
      <c r="C111" s="468" t="s">
        <v>3572</v>
      </c>
      <c r="D111" s="468">
        <v>1607</v>
      </c>
      <c r="E111" s="468" t="s">
        <v>1753</v>
      </c>
      <c r="F111" s="468" t="s">
        <v>3045</v>
      </c>
      <c r="G111" s="468" t="s">
        <v>1755</v>
      </c>
      <c r="H111" s="468" t="s">
        <v>1019</v>
      </c>
      <c r="I111" s="468" t="s">
        <v>179</v>
      </c>
      <c r="J111" s="468" t="s">
        <v>3573</v>
      </c>
      <c r="K111" s="468" t="s">
        <v>1756</v>
      </c>
      <c r="L111" s="468" t="s">
        <v>3737</v>
      </c>
      <c r="M111" s="468" t="s">
        <v>3802</v>
      </c>
      <c r="N111" s="461"/>
      <c r="O111" s="294"/>
      <c r="P111" s="294"/>
      <c r="Q111" s="294"/>
      <c r="R111" s="294">
        <v>0</v>
      </c>
      <c r="S111" s="295"/>
      <c r="T111" s="299"/>
      <c r="U111" s="297"/>
      <c r="V111" s="297"/>
      <c r="W111" s="297">
        <v>1</v>
      </c>
      <c r="X111" s="297"/>
      <c r="Y111" s="297"/>
      <c r="Z111" s="297"/>
      <c r="AA111" s="297"/>
      <c r="AB111" s="293">
        <v>0</v>
      </c>
      <c r="AC111" s="294"/>
      <c r="AD111" s="295"/>
      <c r="AE111" s="298"/>
      <c r="AF111" s="296">
        <v>0</v>
      </c>
      <c r="AG111" s="297"/>
      <c r="AH111" s="297"/>
      <c r="AI111" s="297"/>
      <c r="AJ111" s="297"/>
      <c r="AK111" s="297"/>
      <c r="AL111" s="297"/>
      <c r="AM111" s="297"/>
      <c r="AN111" s="300"/>
      <c r="AO111" s="301"/>
      <c r="AP111" s="301"/>
      <c r="AQ111" s="301"/>
      <c r="AR111" s="301"/>
      <c r="AS111" s="301"/>
      <c r="AT111" s="301"/>
      <c r="AU111" s="301"/>
      <c r="AV111" s="301"/>
      <c r="AW111" s="301"/>
      <c r="AX111" s="301"/>
      <c r="AY111" s="301"/>
      <c r="AZ111" s="301"/>
      <c r="BA111" s="301">
        <v>1500</v>
      </c>
      <c r="BB111" s="301"/>
      <c r="BC111" s="301"/>
      <c r="BD111" s="301"/>
      <c r="BE111" s="301"/>
      <c r="BF111" s="302"/>
      <c r="BG111" s="303"/>
      <c r="BH111" s="304"/>
      <c r="BI111" s="304"/>
      <c r="BJ111" s="304"/>
      <c r="BK111" s="304"/>
      <c r="BL111" s="304"/>
      <c r="BM111" s="304"/>
      <c r="BN111" s="304"/>
      <c r="BO111" s="304"/>
      <c r="BP111" s="304"/>
      <c r="BQ111" s="304"/>
      <c r="BR111" s="304"/>
      <c r="BS111" s="304"/>
      <c r="BT111" s="304">
        <v>10</v>
      </c>
      <c r="BU111" s="304"/>
      <c r="BV111" s="304"/>
      <c r="BW111" s="304"/>
      <c r="BX111" s="304"/>
      <c r="BY111" s="305"/>
      <c r="BZ111" s="308"/>
      <c r="CA111" s="307"/>
      <c r="CB111" s="309"/>
      <c r="CC111" s="307"/>
      <c r="CD111" s="307"/>
      <c r="CE111" s="307"/>
      <c r="CF111" s="307"/>
      <c r="CG111" s="332"/>
      <c r="CH111" s="328"/>
      <c r="CI111" s="328"/>
      <c r="CJ111" s="328">
        <v>2</v>
      </c>
      <c r="CK111" s="328"/>
      <c r="CL111" s="328"/>
      <c r="CM111" s="328"/>
      <c r="CN111" s="370"/>
      <c r="CO111" s="367"/>
      <c r="CP111" s="367"/>
      <c r="CQ111" s="367">
        <v>10</v>
      </c>
      <c r="CR111" s="367"/>
      <c r="CS111" s="387"/>
      <c r="CT111" s="398"/>
      <c r="CU111" s="399"/>
      <c r="CV111" s="399"/>
      <c r="CW111" s="399"/>
      <c r="CX111" s="399">
        <v>1</v>
      </c>
      <c r="CY111" s="399"/>
      <c r="CZ111" s="399"/>
      <c r="DA111" s="400"/>
      <c r="DB111" s="522">
        <v>1</v>
      </c>
    </row>
    <row r="112" spans="1:106" x14ac:dyDescent="0.25">
      <c r="A112" s="468" t="s">
        <v>174</v>
      </c>
      <c r="B112" s="468">
        <v>801</v>
      </c>
      <c r="C112" s="468" t="s">
        <v>3574</v>
      </c>
      <c r="D112" s="468">
        <v>1609</v>
      </c>
      <c r="E112" s="468" t="s">
        <v>1757</v>
      </c>
      <c r="F112" s="468" t="s">
        <v>1800</v>
      </c>
      <c r="G112" s="468" t="s">
        <v>1758</v>
      </c>
      <c r="H112" s="468" t="s">
        <v>1759</v>
      </c>
      <c r="I112" s="468" t="s">
        <v>179</v>
      </c>
      <c r="J112" s="468" t="s">
        <v>3575</v>
      </c>
      <c r="K112" s="468" t="s">
        <v>1760</v>
      </c>
      <c r="L112" s="468" t="s">
        <v>3737</v>
      </c>
      <c r="M112" s="468" t="s">
        <v>3802</v>
      </c>
      <c r="N112" s="461"/>
      <c r="O112" s="294"/>
      <c r="P112" s="294"/>
      <c r="Q112" s="294"/>
      <c r="R112" s="294">
        <v>1</v>
      </c>
      <c r="S112" s="295"/>
      <c r="T112" s="299"/>
      <c r="U112" s="297"/>
      <c r="V112" s="297"/>
      <c r="W112" s="297">
        <v>0</v>
      </c>
      <c r="X112" s="297"/>
      <c r="Y112" s="297"/>
      <c r="Z112" s="297"/>
      <c r="AA112" s="297"/>
      <c r="AB112" s="293">
        <v>0</v>
      </c>
      <c r="AC112" s="294"/>
      <c r="AD112" s="295"/>
      <c r="AE112" s="298"/>
      <c r="AF112" s="296">
        <v>0</v>
      </c>
      <c r="AG112" s="297"/>
      <c r="AH112" s="297"/>
      <c r="AI112" s="297"/>
      <c r="AJ112" s="297"/>
      <c r="AK112" s="297"/>
      <c r="AL112" s="297"/>
      <c r="AM112" s="297"/>
      <c r="AN112" s="300"/>
      <c r="AO112" s="301"/>
      <c r="AP112" s="301"/>
      <c r="AQ112" s="301"/>
      <c r="AR112" s="301"/>
      <c r="AS112" s="301"/>
      <c r="AT112" s="301"/>
      <c r="AU112" s="301"/>
      <c r="AV112" s="301"/>
      <c r="AW112" s="301"/>
      <c r="AX112" s="301"/>
      <c r="AY112" s="301"/>
      <c r="AZ112" s="301"/>
      <c r="BA112" s="301">
        <v>1500</v>
      </c>
      <c r="BB112" s="301"/>
      <c r="BC112" s="301"/>
      <c r="BD112" s="301"/>
      <c r="BE112" s="301"/>
      <c r="BF112" s="302"/>
      <c r="BG112" s="303"/>
      <c r="BH112" s="304"/>
      <c r="BI112" s="304"/>
      <c r="BJ112" s="304"/>
      <c r="BK112" s="304"/>
      <c r="BL112" s="304"/>
      <c r="BM112" s="304"/>
      <c r="BN112" s="304"/>
      <c r="BO112" s="304"/>
      <c r="BP112" s="304"/>
      <c r="BQ112" s="304"/>
      <c r="BR112" s="304"/>
      <c r="BS112" s="304"/>
      <c r="BT112" s="304">
        <v>10</v>
      </c>
      <c r="BU112" s="304"/>
      <c r="BV112" s="304"/>
      <c r="BW112" s="304"/>
      <c r="BX112" s="304"/>
      <c r="BY112" s="305"/>
      <c r="BZ112" s="308"/>
      <c r="CA112" s="307"/>
      <c r="CB112" s="309"/>
      <c r="CC112" s="307"/>
      <c r="CD112" s="307"/>
      <c r="CE112" s="307"/>
      <c r="CF112" s="307"/>
      <c r="CG112" s="332"/>
      <c r="CH112" s="328"/>
      <c r="CI112" s="328"/>
      <c r="CJ112" s="328">
        <v>2</v>
      </c>
      <c r="CK112" s="328"/>
      <c r="CL112" s="328"/>
      <c r="CM112" s="328"/>
      <c r="CN112" s="370"/>
      <c r="CO112" s="367"/>
      <c r="CP112" s="367"/>
      <c r="CQ112" s="367">
        <v>10</v>
      </c>
      <c r="CR112" s="367"/>
      <c r="CS112" s="387"/>
      <c r="CT112" s="398"/>
      <c r="CU112" s="399"/>
      <c r="CV112" s="399"/>
      <c r="CW112" s="399"/>
      <c r="CX112" s="399">
        <v>1</v>
      </c>
      <c r="CY112" s="399"/>
      <c r="CZ112" s="399"/>
      <c r="DA112" s="400"/>
      <c r="DB112" s="522">
        <v>1</v>
      </c>
    </row>
    <row r="113" spans="1:106" x14ac:dyDescent="0.25">
      <c r="A113" s="468" t="s">
        <v>174</v>
      </c>
      <c r="B113" s="468">
        <v>801</v>
      </c>
      <c r="C113" s="468" t="s">
        <v>3581</v>
      </c>
      <c r="D113" s="468">
        <v>1613</v>
      </c>
      <c r="E113" s="468" t="s">
        <v>1775</v>
      </c>
      <c r="F113" s="468" t="s">
        <v>1776</v>
      </c>
      <c r="G113" s="468" t="s">
        <v>1777</v>
      </c>
      <c r="H113" s="468" t="s">
        <v>1778</v>
      </c>
      <c r="I113" s="468" t="s">
        <v>179</v>
      </c>
      <c r="J113" s="468" t="s">
        <v>3582</v>
      </c>
      <c r="K113" s="468" t="s">
        <v>1779</v>
      </c>
      <c r="L113" s="468" t="s">
        <v>3737</v>
      </c>
      <c r="M113" s="468" t="s">
        <v>3802</v>
      </c>
      <c r="N113" s="461"/>
      <c r="O113" s="294"/>
      <c r="P113" s="294"/>
      <c r="Q113" s="294"/>
      <c r="R113" s="294"/>
      <c r="S113" s="295"/>
      <c r="T113" s="299"/>
      <c r="U113" s="297"/>
      <c r="V113" s="297"/>
      <c r="W113" s="297">
        <v>1</v>
      </c>
      <c r="X113" s="297"/>
      <c r="Y113" s="297"/>
      <c r="Z113" s="297"/>
      <c r="AA113" s="297"/>
      <c r="AB113" s="293"/>
      <c r="AC113" s="294"/>
      <c r="AD113" s="295"/>
      <c r="AE113" s="298"/>
      <c r="AF113" s="296"/>
      <c r="AG113" s="297"/>
      <c r="AH113" s="297"/>
      <c r="AI113" s="297"/>
      <c r="AJ113" s="297"/>
      <c r="AK113" s="297"/>
      <c r="AL113" s="297"/>
      <c r="AM113" s="297"/>
      <c r="AN113" s="300"/>
      <c r="AO113" s="301"/>
      <c r="AP113" s="301"/>
      <c r="AQ113" s="301"/>
      <c r="AR113" s="301"/>
      <c r="AS113" s="301"/>
      <c r="AT113" s="301"/>
      <c r="AU113" s="301"/>
      <c r="AV113" s="301"/>
      <c r="AW113" s="301"/>
      <c r="AX113" s="301"/>
      <c r="AY113" s="301"/>
      <c r="AZ113" s="301"/>
      <c r="BA113" s="301">
        <v>1500</v>
      </c>
      <c r="BB113" s="301"/>
      <c r="BC113" s="301"/>
      <c r="BD113" s="301"/>
      <c r="BE113" s="301"/>
      <c r="BF113" s="302"/>
      <c r="BG113" s="303"/>
      <c r="BH113" s="304"/>
      <c r="BI113" s="304"/>
      <c r="BJ113" s="304"/>
      <c r="BK113" s="304"/>
      <c r="BL113" s="304"/>
      <c r="BM113" s="304"/>
      <c r="BN113" s="304"/>
      <c r="BO113" s="304"/>
      <c r="BP113" s="304"/>
      <c r="BQ113" s="304"/>
      <c r="BR113" s="304"/>
      <c r="BS113" s="304"/>
      <c r="BT113" s="304">
        <v>10</v>
      </c>
      <c r="BU113" s="304"/>
      <c r="BV113" s="304"/>
      <c r="BW113" s="304"/>
      <c r="BX113" s="304"/>
      <c r="BY113" s="305"/>
      <c r="BZ113" s="308"/>
      <c r="CA113" s="307"/>
      <c r="CB113" s="309"/>
      <c r="CC113" s="307"/>
      <c r="CD113" s="307"/>
      <c r="CE113" s="307"/>
      <c r="CF113" s="307"/>
      <c r="CG113" s="332"/>
      <c r="CH113" s="328"/>
      <c r="CI113" s="328"/>
      <c r="CJ113" s="328">
        <v>2</v>
      </c>
      <c r="CK113" s="328"/>
      <c r="CL113" s="328"/>
      <c r="CM113" s="328"/>
      <c r="CN113" s="370"/>
      <c r="CO113" s="367"/>
      <c r="CP113" s="367"/>
      <c r="CQ113" s="367">
        <v>10</v>
      </c>
      <c r="CR113" s="367"/>
      <c r="CS113" s="387"/>
      <c r="CT113" s="398"/>
      <c r="CU113" s="399"/>
      <c r="CV113" s="399"/>
      <c r="CW113" s="399"/>
      <c r="CX113" s="399">
        <v>1</v>
      </c>
      <c r="CY113" s="399"/>
      <c r="CZ113" s="399"/>
      <c r="DA113" s="400"/>
      <c r="DB113" s="522">
        <v>1</v>
      </c>
    </row>
    <row r="114" spans="1:106" x14ac:dyDescent="0.25">
      <c r="A114" s="468" t="s">
        <v>174</v>
      </c>
      <c r="B114" s="468">
        <v>801</v>
      </c>
      <c r="C114" s="468" t="s">
        <v>3583</v>
      </c>
      <c r="D114" s="468">
        <v>1614</v>
      </c>
      <c r="E114" s="468" t="s">
        <v>1780</v>
      </c>
      <c r="F114" s="468" t="s">
        <v>2979</v>
      </c>
      <c r="G114" s="468" t="s">
        <v>1782</v>
      </c>
      <c r="H114" s="468" t="s">
        <v>1783</v>
      </c>
      <c r="I114" s="468" t="s">
        <v>179</v>
      </c>
      <c r="J114" s="468" t="s">
        <v>3584</v>
      </c>
      <c r="K114" s="468" t="s">
        <v>1784</v>
      </c>
      <c r="L114" s="468" t="s">
        <v>3737</v>
      </c>
      <c r="M114" s="468" t="s">
        <v>3802</v>
      </c>
      <c r="N114" s="461"/>
      <c r="O114" s="294"/>
      <c r="P114" s="294"/>
      <c r="Q114" s="294"/>
      <c r="R114" s="294">
        <v>2</v>
      </c>
      <c r="S114" s="295"/>
      <c r="T114" s="299"/>
      <c r="U114" s="297"/>
      <c r="V114" s="297"/>
      <c r="W114" s="297">
        <v>0</v>
      </c>
      <c r="X114" s="297"/>
      <c r="Y114" s="297"/>
      <c r="Z114" s="297"/>
      <c r="AA114" s="297"/>
      <c r="AB114" s="293">
        <v>0</v>
      </c>
      <c r="AC114" s="294"/>
      <c r="AD114" s="295"/>
      <c r="AE114" s="298"/>
      <c r="AF114" s="296">
        <v>0</v>
      </c>
      <c r="AG114" s="297"/>
      <c r="AH114" s="297"/>
      <c r="AI114" s="297"/>
      <c r="AJ114" s="297"/>
      <c r="AK114" s="297"/>
      <c r="AL114" s="297"/>
      <c r="AM114" s="297"/>
      <c r="AN114" s="300"/>
      <c r="AO114" s="301"/>
      <c r="AP114" s="301"/>
      <c r="AQ114" s="301"/>
      <c r="AR114" s="301"/>
      <c r="AS114" s="301"/>
      <c r="AT114" s="301"/>
      <c r="AU114" s="301"/>
      <c r="AV114" s="301"/>
      <c r="AW114" s="301"/>
      <c r="AX114" s="301"/>
      <c r="AY114" s="301"/>
      <c r="AZ114" s="301"/>
      <c r="BA114" s="301">
        <v>1500</v>
      </c>
      <c r="BB114" s="301"/>
      <c r="BC114" s="301"/>
      <c r="BD114" s="301"/>
      <c r="BE114" s="301"/>
      <c r="BF114" s="302"/>
      <c r="BG114" s="303"/>
      <c r="BH114" s="304"/>
      <c r="BI114" s="304"/>
      <c r="BJ114" s="304"/>
      <c r="BK114" s="304"/>
      <c r="BL114" s="304"/>
      <c r="BM114" s="304"/>
      <c r="BN114" s="304"/>
      <c r="BO114" s="304"/>
      <c r="BP114" s="304"/>
      <c r="BQ114" s="304"/>
      <c r="BR114" s="304"/>
      <c r="BS114" s="304"/>
      <c r="BT114" s="304">
        <v>10</v>
      </c>
      <c r="BU114" s="304"/>
      <c r="BV114" s="304"/>
      <c r="BW114" s="304"/>
      <c r="BX114" s="304"/>
      <c r="BY114" s="305"/>
      <c r="BZ114" s="308"/>
      <c r="CA114" s="307"/>
      <c r="CB114" s="309"/>
      <c r="CC114" s="307"/>
      <c r="CD114" s="307"/>
      <c r="CE114" s="307"/>
      <c r="CF114" s="307"/>
      <c r="CG114" s="332"/>
      <c r="CH114" s="328"/>
      <c r="CI114" s="328"/>
      <c r="CJ114" s="328">
        <v>2</v>
      </c>
      <c r="CK114" s="328"/>
      <c r="CL114" s="328"/>
      <c r="CM114" s="328"/>
      <c r="CN114" s="370"/>
      <c r="CO114" s="367"/>
      <c r="CP114" s="367"/>
      <c r="CQ114" s="367">
        <v>10</v>
      </c>
      <c r="CR114" s="367"/>
      <c r="CS114" s="387"/>
      <c r="CT114" s="398"/>
      <c r="CU114" s="399"/>
      <c r="CV114" s="399"/>
      <c r="CW114" s="399"/>
      <c r="CX114" s="399">
        <v>1</v>
      </c>
      <c r="CY114" s="399"/>
      <c r="CZ114" s="399"/>
      <c r="DA114" s="400"/>
      <c r="DB114" s="522">
        <v>1</v>
      </c>
    </row>
    <row r="115" spans="1:106" x14ac:dyDescent="0.25">
      <c r="A115" s="468" t="s">
        <v>174</v>
      </c>
      <c r="B115" s="468">
        <v>801</v>
      </c>
      <c r="C115" s="468" t="s">
        <v>3585</v>
      </c>
      <c r="D115" s="468">
        <v>1615</v>
      </c>
      <c r="E115" s="468" t="s">
        <v>1785</v>
      </c>
      <c r="F115" s="468" t="s">
        <v>1786</v>
      </c>
      <c r="G115" s="468" t="s">
        <v>1787</v>
      </c>
      <c r="H115" s="468" t="s">
        <v>1019</v>
      </c>
      <c r="I115" s="468" t="s">
        <v>179</v>
      </c>
      <c r="J115" s="468" t="s">
        <v>3586</v>
      </c>
      <c r="K115" s="468" t="s">
        <v>1788</v>
      </c>
      <c r="L115" s="468" t="s">
        <v>3737</v>
      </c>
      <c r="M115" s="468" t="s">
        <v>3802</v>
      </c>
      <c r="N115" s="461"/>
      <c r="O115" s="294"/>
      <c r="P115" s="294"/>
      <c r="Q115" s="294"/>
      <c r="R115" s="294">
        <v>0</v>
      </c>
      <c r="S115" s="295"/>
      <c r="T115" s="299"/>
      <c r="U115" s="297"/>
      <c r="V115" s="297"/>
      <c r="W115" s="297">
        <v>2</v>
      </c>
      <c r="X115" s="297"/>
      <c r="Y115" s="297"/>
      <c r="Z115" s="297"/>
      <c r="AA115" s="297"/>
      <c r="AB115" s="293">
        <v>0</v>
      </c>
      <c r="AC115" s="294"/>
      <c r="AD115" s="295"/>
      <c r="AE115" s="298"/>
      <c r="AF115" s="296">
        <v>0</v>
      </c>
      <c r="AG115" s="297"/>
      <c r="AH115" s="297"/>
      <c r="AI115" s="297"/>
      <c r="AJ115" s="297"/>
      <c r="AK115" s="297"/>
      <c r="AL115" s="297"/>
      <c r="AM115" s="297"/>
      <c r="AN115" s="300"/>
      <c r="AO115" s="301"/>
      <c r="AP115" s="301"/>
      <c r="AQ115" s="301"/>
      <c r="AR115" s="301"/>
      <c r="AS115" s="301"/>
      <c r="AT115" s="301"/>
      <c r="AU115" s="301"/>
      <c r="AV115" s="301"/>
      <c r="AW115" s="301"/>
      <c r="AX115" s="301"/>
      <c r="AY115" s="301"/>
      <c r="AZ115" s="301"/>
      <c r="BA115" s="301">
        <v>1500</v>
      </c>
      <c r="BB115" s="301"/>
      <c r="BC115" s="301"/>
      <c r="BD115" s="301"/>
      <c r="BE115" s="301"/>
      <c r="BF115" s="302"/>
      <c r="BG115" s="303"/>
      <c r="BH115" s="304"/>
      <c r="BI115" s="304"/>
      <c r="BJ115" s="304"/>
      <c r="BK115" s="304"/>
      <c r="BL115" s="304"/>
      <c r="BM115" s="304"/>
      <c r="BN115" s="304"/>
      <c r="BO115" s="304"/>
      <c r="BP115" s="304"/>
      <c r="BQ115" s="304"/>
      <c r="BR115" s="304"/>
      <c r="BS115" s="304"/>
      <c r="BT115" s="304">
        <v>10</v>
      </c>
      <c r="BU115" s="304"/>
      <c r="BV115" s="304"/>
      <c r="BW115" s="304"/>
      <c r="BX115" s="304"/>
      <c r="BY115" s="305"/>
      <c r="BZ115" s="308"/>
      <c r="CA115" s="307"/>
      <c r="CB115" s="309"/>
      <c r="CC115" s="307"/>
      <c r="CD115" s="307"/>
      <c r="CE115" s="307"/>
      <c r="CF115" s="307"/>
      <c r="CG115" s="332"/>
      <c r="CH115" s="328"/>
      <c r="CI115" s="328"/>
      <c r="CJ115" s="328">
        <v>2</v>
      </c>
      <c r="CK115" s="328"/>
      <c r="CL115" s="328"/>
      <c r="CM115" s="328"/>
      <c r="CN115" s="370"/>
      <c r="CO115" s="367"/>
      <c r="CP115" s="367"/>
      <c r="CQ115" s="367">
        <v>10</v>
      </c>
      <c r="CR115" s="367"/>
      <c r="CS115" s="387"/>
      <c r="CT115" s="398"/>
      <c r="CU115" s="399"/>
      <c r="CV115" s="399"/>
      <c r="CW115" s="399"/>
      <c r="CX115" s="399">
        <v>1</v>
      </c>
      <c r="CY115" s="399"/>
      <c r="CZ115" s="399"/>
      <c r="DA115" s="400"/>
      <c r="DB115" s="522">
        <v>1</v>
      </c>
    </row>
    <row r="116" spans="1:106" x14ac:dyDescent="0.25">
      <c r="A116" s="468" t="s">
        <v>174</v>
      </c>
      <c r="B116" s="468">
        <v>801</v>
      </c>
      <c r="C116" s="468" t="s">
        <v>3589</v>
      </c>
      <c r="D116" s="468">
        <v>1619</v>
      </c>
      <c r="E116" s="468" t="s">
        <v>1794</v>
      </c>
      <c r="F116" s="468" t="s">
        <v>1795</v>
      </c>
      <c r="G116" s="468" t="s">
        <v>1796</v>
      </c>
      <c r="H116" s="468" t="s">
        <v>1797</v>
      </c>
      <c r="I116" s="468" t="s">
        <v>179</v>
      </c>
      <c r="J116" s="468" t="s">
        <v>3590</v>
      </c>
      <c r="K116" s="468" t="s">
        <v>1798</v>
      </c>
      <c r="L116" s="468" t="s">
        <v>3737</v>
      </c>
      <c r="M116" s="468" t="s">
        <v>3802</v>
      </c>
      <c r="N116" s="461"/>
      <c r="O116" s="294"/>
      <c r="P116" s="294"/>
      <c r="Q116" s="294"/>
      <c r="R116" s="294">
        <v>0</v>
      </c>
      <c r="S116" s="295"/>
      <c r="T116" s="299"/>
      <c r="U116" s="297"/>
      <c r="V116" s="297"/>
      <c r="W116" s="297">
        <v>2</v>
      </c>
      <c r="X116" s="297"/>
      <c r="Y116" s="297"/>
      <c r="Z116" s="297"/>
      <c r="AA116" s="297"/>
      <c r="AB116" s="293">
        <v>0</v>
      </c>
      <c r="AC116" s="294"/>
      <c r="AD116" s="295"/>
      <c r="AE116" s="298"/>
      <c r="AF116" s="296">
        <v>0</v>
      </c>
      <c r="AG116" s="297"/>
      <c r="AH116" s="297"/>
      <c r="AI116" s="297"/>
      <c r="AJ116" s="297"/>
      <c r="AK116" s="297"/>
      <c r="AL116" s="297"/>
      <c r="AM116" s="297"/>
      <c r="AN116" s="300"/>
      <c r="AO116" s="301"/>
      <c r="AP116" s="301"/>
      <c r="AQ116" s="301"/>
      <c r="AR116" s="301"/>
      <c r="AS116" s="301"/>
      <c r="AT116" s="301"/>
      <c r="AU116" s="301"/>
      <c r="AV116" s="301"/>
      <c r="AW116" s="301"/>
      <c r="AX116" s="301"/>
      <c r="AY116" s="301"/>
      <c r="AZ116" s="301"/>
      <c r="BA116" s="301">
        <v>1500</v>
      </c>
      <c r="BB116" s="301"/>
      <c r="BC116" s="301"/>
      <c r="BD116" s="301"/>
      <c r="BE116" s="301"/>
      <c r="BF116" s="302"/>
      <c r="BG116" s="303"/>
      <c r="BH116" s="304"/>
      <c r="BI116" s="304"/>
      <c r="BJ116" s="304"/>
      <c r="BK116" s="304"/>
      <c r="BL116" s="304"/>
      <c r="BM116" s="304"/>
      <c r="BN116" s="304"/>
      <c r="BO116" s="304"/>
      <c r="BP116" s="304"/>
      <c r="BQ116" s="304"/>
      <c r="BR116" s="304"/>
      <c r="BS116" s="304"/>
      <c r="BT116" s="304">
        <v>10</v>
      </c>
      <c r="BU116" s="304"/>
      <c r="BV116" s="304"/>
      <c r="BW116" s="304"/>
      <c r="BX116" s="304"/>
      <c r="BY116" s="305"/>
      <c r="BZ116" s="308"/>
      <c r="CA116" s="307"/>
      <c r="CB116" s="309"/>
      <c r="CC116" s="307"/>
      <c r="CD116" s="307"/>
      <c r="CE116" s="307"/>
      <c r="CF116" s="307"/>
      <c r="CG116" s="332"/>
      <c r="CH116" s="328"/>
      <c r="CI116" s="328"/>
      <c r="CJ116" s="328">
        <v>2</v>
      </c>
      <c r="CK116" s="328"/>
      <c r="CL116" s="328"/>
      <c r="CM116" s="328"/>
      <c r="CN116" s="370"/>
      <c r="CO116" s="367"/>
      <c r="CP116" s="367"/>
      <c r="CQ116" s="367">
        <v>10</v>
      </c>
      <c r="CR116" s="367"/>
      <c r="CS116" s="387"/>
      <c r="CT116" s="398"/>
      <c r="CU116" s="399"/>
      <c r="CV116" s="399"/>
      <c r="CW116" s="399"/>
      <c r="CX116" s="399">
        <v>1</v>
      </c>
      <c r="CY116" s="399"/>
      <c r="CZ116" s="399"/>
      <c r="DA116" s="400"/>
      <c r="DB116" s="522">
        <v>1</v>
      </c>
    </row>
    <row r="117" spans="1:106" x14ac:dyDescent="0.25">
      <c r="A117" s="468" t="s">
        <v>174</v>
      </c>
      <c r="B117" s="468">
        <v>801</v>
      </c>
      <c r="C117" s="468" t="s">
        <v>3591</v>
      </c>
      <c r="D117" s="468">
        <v>1622</v>
      </c>
      <c r="E117" s="468" t="s">
        <v>1799</v>
      </c>
      <c r="F117" s="468" t="s">
        <v>3046</v>
      </c>
      <c r="G117" s="468" t="s">
        <v>1801</v>
      </c>
      <c r="H117" s="468" t="s">
        <v>1802</v>
      </c>
      <c r="I117" s="468" t="s">
        <v>179</v>
      </c>
      <c r="J117" s="468" t="s">
        <v>3592</v>
      </c>
      <c r="K117" s="468" t="s">
        <v>1803</v>
      </c>
      <c r="L117" s="468" t="s">
        <v>3737</v>
      </c>
      <c r="M117" s="468" t="s">
        <v>3802</v>
      </c>
      <c r="N117" s="461"/>
      <c r="O117" s="294"/>
      <c r="P117" s="294"/>
      <c r="Q117" s="294"/>
      <c r="R117" s="294">
        <v>0</v>
      </c>
      <c r="S117" s="295"/>
      <c r="T117" s="299"/>
      <c r="U117" s="297"/>
      <c r="V117" s="297"/>
      <c r="W117" s="297">
        <v>2</v>
      </c>
      <c r="X117" s="297"/>
      <c r="Y117" s="297"/>
      <c r="Z117" s="297"/>
      <c r="AA117" s="297"/>
      <c r="AB117" s="293">
        <v>0</v>
      </c>
      <c r="AC117" s="294"/>
      <c r="AD117" s="295"/>
      <c r="AE117" s="298"/>
      <c r="AF117" s="296">
        <v>0</v>
      </c>
      <c r="AG117" s="297"/>
      <c r="AH117" s="297"/>
      <c r="AI117" s="297"/>
      <c r="AJ117" s="297"/>
      <c r="AK117" s="297"/>
      <c r="AL117" s="297"/>
      <c r="AM117" s="297"/>
      <c r="AN117" s="300"/>
      <c r="AO117" s="301"/>
      <c r="AP117" s="301"/>
      <c r="AQ117" s="301"/>
      <c r="AR117" s="301"/>
      <c r="AS117" s="301"/>
      <c r="AT117" s="301"/>
      <c r="AU117" s="301"/>
      <c r="AV117" s="301"/>
      <c r="AW117" s="301"/>
      <c r="AX117" s="301"/>
      <c r="AY117" s="301"/>
      <c r="AZ117" s="301"/>
      <c r="BA117" s="301">
        <v>1500</v>
      </c>
      <c r="BB117" s="301"/>
      <c r="BC117" s="301"/>
      <c r="BD117" s="301"/>
      <c r="BE117" s="301"/>
      <c r="BF117" s="302"/>
      <c r="BG117" s="303"/>
      <c r="BH117" s="304"/>
      <c r="BI117" s="304"/>
      <c r="BJ117" s="304"/>
      <c r="BK117" s="304"/>
      <c r="BL117" s="304"/>
      <c r="BM117" s="304"/>
      <c r="BN117" s="304"/>
      <c r="BO117" s="304"/>
      <c r="BP117" s="304"/>
      <c r="BQ117" s="304"/>
      <c r="BR117" s="304"/>
      <c r="BS117" s="304"/>
      <c r="BT117" s="304">
        <v>10</v>
      </c>
      <c r="BU117" s="304"/>
      <c r="BV117" s="304"/>
      <c r="BW117" s="304"/>
      <c r="BX117" s="304"/>
      <c r="BY117" s="305"/>
      <c r="BZ117" s="308"/>
      <c r="CA117" s="307"/>
      <c r="CB117" s="309"/>
      <c r="CC117" s="307"/>
      <c r="CD117" s="307"/>
      <c r="CE117" s="307"/>
      <c r="CF117" s="307"/>
      <c r="CG117" s="332"/>
      <c r="CH117" s="328"/>
      <c r="CI117" s="328"/>
      <c r="CJ117" s="328">
        <v>2</v>
      </c>
      <c r="CK117" s="328"/>
      <c r="CL117" s="328"/>
      <c r="CM117" s="328"/>
      <c r="CN117" s="370"/>
      <c r="CO117" s="367"/>
      <c r="CP117" s="367"/>
      <c r="CQ117" s="367">
        <v>10</v>
      </c>
      <c r="CR117" s="367"/>
      <c r="CS117" s="387"/>
      <c r="CT117" s="398"/>
      <c r="CU117" s="399"/>
      <c r="CV117" s="399"/>
      <c r="CW117" s="399"/>
      <c r="CX117" s="399">
        <v>1</v>
      </c>
      <c r="CY117" s="399"/>
      <c r="CZ117" s="399"/>
      <c r="DA117" s="400"/>
      <c r="DB117" s="522">
        <v>1</v>
      </c>
    </row>
    <row r="118" spans="1:106" x14ac:dyDescent="0.25">
      <c r="A118" s="468" t="s">
        <v>174</v>
      </c>
      <c r="B118" s="468">
        <v>801</v>
      </c>
      <c r="C118" s="468" t="s">
        <v>3698</v>
      </c>
      <c r="D118" s="468">
        <v>2561</v>
      </c>
      <c r="E118" s="468" t="s">
        <v>1804</v>
      </c>
      <c r="F118" s="468" t="s">
        <v>1805</v>
      </c>
      <c r="G118" s="468" t="s">
        <v>1806</v>
      </c>
      <c r="H118" s="468" t="s">
        <v>1807</v>
      </c>
      <c r="I118" s="468" t="s">
        <v>179</v>
      </c>
      <c r="J118" s="468" t="s">
        <v>3699</v>
      </c>
      <c r="K118" s="468" t="s">
        <v>1808</v>
      </c>
      <c r="L118" s="468" t="s">
        <v>3737</v>
      </c>
      <c r="M118" s="468" t="s">
        <v>3802</v>
      </c>
      <c r="N118" s="461"/>
      <c r="O118" s="294"/>
      <c r="P118" s="294"/>
      <c r="Q118" s="294"/>
      <c r="R118" s="294">
        <v>0</v>
      </c>
      <c r="S118" s="295"/>
      <c r="T118" s="296">
        <v>0</v>
      </c>
      <c r="U118" s="297"/>
      <c r="V118" s="297"/>
      <c r="W118" s="297"/>
      <c r="X118" s="297"/>
      <c r="Y118" s="297"/>
      <c r="Z118" s="297"/>
      <c r="AA118" s="297"/>
      <c r="AB118" s="293">
        <v>0</v>
      </c>
      <c r="AC118" s="294"/>
      <c r="AD118" s="295"/>
      <c r="AE118" s="298"/>
      <c r="AF118" s="296">
        <v>0</v>
      </c>
      <c r="AG118" s="297"/>
      <c r="AH118" s="297"/>
      <c r="AI118" s="297"/>
      <c r="AJ118" s="297"/>
      <c r="AK118" s="297"/>
      <c r="AL118" s="297"/>
      <c r="AM118" s="297"/>
      <c r="AN118" s="300"/>
      <c r="AO118" s="301"/>
      <c r="AP118" s="301"/>
      <c r="AQ118" s="301"/>
      <c r="AR118" s="301"/>
      <c r="AS118" s="301"/>
      <c r="AT118" s="301"/>
      <c r="AU118" s="301"/>
      <c r="AV118" s="301"/>
      <c r="AW118" s="301"/>
      <c r="AX118" s="301"/>
      <c r="AY118" s="301"/>
      <c r="AZ118" s="301"/>
      <c r="BA118" s="301">
        <v>1500</v>
      </c>
      <c r="BB118" s="301"/>
      <c r="BC118" s="301"/>
      <c r="BD118" s="301"/>
      <c r="BE118" s="301"/>
      <c r="BF118" s="302"/>
      <c r="BG118" s="303"/>
      <c r="BH118" s="304"/>
      <c r="BI118" s="304"/>
      <c r="BJ118" s="304"/>
      <c r="BK118" s="304"/>
      <c r="BL118" s="304"/>
      <c r="BM118" s="304"/>
      <c r="BN118" s="304"/>
      <c r="BO118" s="304"/>
      <c r="BP118" s="304"/>
      <c r="BQ118" s="304"/>
      <c r="BR118" s="304"/>
      <c r="BS118" s="304"/>
      <c r="BT118" s="304">
        <v>10</v>
      </c>
      <c r="BU118" s="304"/>
      <c r="BV118" s="304"/>
      <c r="BW118" s="304"/>
      <c r="BX118" s="304"/>
      <c r="BY118" s="305"/>
      <c r="BZ118" s="308"/>
      <c r="CA118" s="307"/>
      <c r="CB118" s="309">
        <v>1</v>
      </c>
      <c r="CC118" s="307"/>
      <c r="CD118" s="307"/>
      <c r="CE118" s="307"/>
      <c r="CF118" s="307"/>
      <c r="CG118" s="332"/>
      <c r="CH118" s="328"/>
      <c r="CI118" s="328"/>
      <c r="CJ118" s="328">
        <v>2</v>
      </c>
      <c r="CK118" s="328"/>
      <c r="CL118" s="328"/>
      <c r="CM118" s="328"/>
      <c r="CN118" s="370"/>
      <c r="CO118" s="367"/>
      <c r="CP118" s="367"/>
      <c r="CQ118" s="367">
        <v>10</v>
      </c>
      <c r="CR118" s="367"/>
      <c r="CS118" s="387"/>
      <c r="CT118" s="398"/>
      <c r="CU118" s="399"/>
      <c r="CV118" s="399"/>
      <c r="CW118" s="399"/>
      <c r="CX118" s="399">
        <v>1</v>
      </c>
      <c r="CY118" s="399"/>
      <c r="CZ118" s="399"/>
      <c r="DA118" s="400"/>
      <c r="DB118" s="522">
        <v>1</v>
      </c>
    </row>
    <row r="119" spans="1:106" x14ac:dyDescent="0.25">
      <c r="A119" s="468" t="s">
        <v>174</v>
      </c>
      <c r="B119" s="468">
        <v>801</v>
      </c>
      <c r="C119" s="468" t="s">
        <v>3703</v>
      </c>
      <c r="D119" s="468">
        <v>2568</v>
      </c>
      <c r="E119" s="468" t="s">
        <v>1809</v>
      </c>
      <c r="F119" s="468" t="s">
        <v>1810</v>
      </c>
      <c r="G119" s="468" t="s">
        <v>1811</v>
      </c>
      <c r="H119" s="468" t="s">
        <v>1812</v>
      </c>
      <c r="I119" s="468" t="s">
        <v>179</v>
      </c>
      <c r="J119" s="468" t="s">
        <v>3187</v>
      </c>
      <c r="K119" s="468" t="s">
        <v>1813</v>
      </c>
      <c r="L119" s="468" t="s">
        <v>3737</v>
      </c>
      <c r="M119" s="468" t="s">
        <v>3802</v>
      </c>
      <c r="N119" s="461"/>
      <c r="O119" s="294"/>
      <c r="P119" s="294"/>
      <c r="Q119" s="294"/>
      <c r="R119" s="294">
        <v>1</v>
      </c>
      <c r="S119" s="295"/>
      <c r="T119" s="296">
        <v>0</v>
      </c>
      <c r="U119" s="297"/>
      <c r="V119" s="297"/>
      <c r="W119" s="297"/>
      <c r="X119" s="297"/>
      <c r="Y119" s="297"/>
      <c r="Z119" s="297"/>
      <c r="AA119" s="297"/>
      <c r="AB119" s="293">
        <v>0</v>
      </c>
      <c r="AC119" s="294"/>
      <c r="AD119" s="295"/>
      <c r="AE119" s="298"/>
      <c r="AF119" s="296">
        <v>0</v>
      </c>
      <c r="AG119" s="297"/>
      <c r="AH119" s="297"/>
      <c r="AI119" s="297"/>
      <c r="AJ119" s="297"/>
      <c r="AK119" s="297"/>
      <c r="AL119" s="297"/>
      <c r="AM119" s="297"/>
      <c r="AN119" s="300"/>
      <c r="AO119" s="301"/>
      <c r="AP119" s="301"/>
      <c r="AQ119" s="301"/>
      <c r="AR119" s="301"/>
      <c r="AS119" s="301"/>
      <c r="AT119" s="301"/>
      <c r="AU119" s="301"/>
      <c r="AV119" s="301"/>
      <c r="AW119" s="301"/>
      <c r="AX119" s="301"/>
      <c r="AY119" s="301"/>
      <c r="AZ119" s="301"/>
      <c r="BA119" s="301">
        <v>1500</v>
      </c>
      <c r="BB119" s="301"/>
      <c r="BC119" s="301"/>
      <c r="BD119" s="301"/>
      <c r="BE119" s="301"/>
      <c r="BF119" s="302"/>
      <c r="BG119" s="303"/>
      <c r="BH119" s="304"/>
      <c r="BI119" s="304"/>
      <c r="BJ119" s="304"/>
      <c r="BK119" s="304"/>
      <c r="BL119" s="304"/>
      <c r="BM119" s="304"/>
      <c r="BN119" s="304"/>
      <c r="BO119" s="304"/>
      <c r="BP119" s="304"/>
      <c r="BQ119" s="304"/>
      <c r="BR119" s="304"/>
      <c r="BS119" s="304"/>
      <c r="BT119" s="304">
        <v>10</v>
      </c>
      <c r="BU119" s="304"/>
      <c r="BV119" s="304"/>
      <c r="BW119" s="304"/>
      <c r="BX119" s="304"/>
      <c r="BY119" s="305"/>
      <c r="BZ119" s="308"/>
      <c r="CA119" s="307"/>
      <c r="CB119" s="309"/>
      <c r="CC119" s="307"/>
      <c r="CD119" s="307"/>
      <c r="CE119" s="307"/>
      <c r="CF119" s="307"/>
      <c r="CG119" s="332"/>
      <c r="CH119" s="328"/>
      <c r="CI119" s="328"/>
      <c r="CJ119" s="328">
        <v>2</v>
      </c>
      <c r="CK119" s="328"/>
      <c r="CL119" s="328"/>
      <c r="CM119" s="328"/>
      <c r="CN119" s="370"/>
      <c r="CO119" s="367"/>
      <c r="CP119" s="367"/>
      <c r="CQ119" s="367">
        <v>10</v>
      </c>
      <c r="CR119" s="367"/>
      <c r="CS119" s="387"/>
      <c r="CT119" s="398"/>
      <c r="CU119" s="399"/>
      <c r="CV119" s="399"/>
      <c r="CW119" s="399"/>
      <c r="CX119" s="399">
        <v>1</v>
      </c>
      <c r="CY119" s="399"/>
      <c r="CZ119" s="399"/>
      <c r="DA119" s="400"/>
      <c r="DB119" s="522">
        <v>1</v>
      </c>
    </row>
    <row r="120" spans="1:106" x14ac:dyDescent="0.25">
      <c r="A120" s="468" t="s">
        <v>174</v>
      </c>
      <c r="B120" s="468">
        <v>801</v>
      </c>
      <c r="C120" s="468" t="s">
        <v>3706</v>
      </c>
      <c r="D120" s="468">
        <v>2580</v>
      </c>
      <c r="E120" s="468" t="s">
        <v>1814</v>
      </c>
      <c r="F120" s="468" t="s">
        <v>1815</v>
      </c>
      <c r="G120" s="468" t="s">
        <v>1816</v>
      </c>
      <c r="H120" s="468" t="s">
        <v>1817</v>
      </c>
      <c r="I120" s="468" t="s">
        <v>145</v>
      </c>
      <c r="J120" s="468" t="s">
        <v>3707</v>
      </c>
      <c r="K120" s="468" t="s">
        <v>1818</v>
      </c>
      <c r="L120" s="468" t="s">
        <v>3737</v>
      </c>
      <c r="M120" s="468" t="s">
        <v>3802</v>
      </c>
      <c r="N120" s="460">
        <v>0</v>
      </c>
      <c r="O120" s="294"/>
      <c r="P120" s="294"/>
      <c r="Q120" s="294"/>
      <c r="R120" s="294"/>
      <c r="S120" s="295"/>
      <c r="T120" s="296">
        <v>0</v>
      </c>
      <c r="U120" s="297"/>
      <c r="V120" s="297"/>
      <c r="W120" s="297"/>
      <c r="X120" s="297"/>
      <c r="Y120" s="297"/>
      <c r="Z120" s="297"/>
      <c r="AA120" s="297"/>
      <c r="AB120" s="293">
        <v>0</v>
      </c>
      <c r="AC120" s="294"/>
      <c r="AD120" s="295"/>
      <c r="AE120" s="298"/>
      <c r="AF120" s="296">
        <v>0</v>
      </c>
      <c r="AG120" s="297"/>
      <c r="AH120" s="297"/>
      <c r="AI120" s="297"/>
      <c r="AJ120" s="297"/>
      <c r="AK120" s="297"/>
      <c r="AL120" s="297"/>
      <c r="AM120" s="297"/>
      <c r="AN120" s="300"/>
      <c r="AO120" s="301"/>
      <c r="AP120" s="301"/>
      <c r="AQ120" s="301"/>
      <c r="AR120" s="301"/>
      <c r="AS120" s="301"/>
      <c r="AT120" s="301"/>
      <c r="AU120" s="301"/>
      <c r="AV120" s="301"/>
      <c r="AW120" s="301"/>
      <c r="AX120" s="301"/>
      <c r="AY120" s="301"/>
      <c r="AZ120" s="301"/>
      <c r="BA120" s="301">
        <v>1500</v>
      </c>
      <c r="BB120" s="301"/>
      <c r="BC120" s="301"/>
      <c r="BD120" s="301"/>
      <c r="BE120" s="301"/>
      <c r="BF120" s="302"/>
      <c r="BG120" s="303"/>
      <c r="BH120" s="304"/>
      <c r="BI120" s="304"/>
      <c r="BJ120" s="304"/>
      <c r="BK120" s="304"/>
      <c r="BL120" s="304"/>
      <c r="BM120" s="304"/>
      <c r="BN120" s="304"/>
      <c r="BO120" s="304"/>
      <c r="BP120" s="304"/>
      <c r="BQ120" s="304"/>
      <c r="BR120" s="304"/>
      <c r="BS120" s="304"/>
      <c r="BT120" s="304">
        <v>10</v>
      </c>
      <c r="BU120" s="304"/>
      <c r="BV120" s="304"/>
      <c r="BW120" s="304"/>
      <c r="BX120" s="304"/>
      <c r="BY120" s="305"/>
      <c r="BZ120" s="308"/>
      <c r="CA120" s="307"/>
      <c r="CB120" s="309">
        <v>1</v>
      </c>
      <c r="CC120" s="307"/>
      <c r="CD120" s="307"/>
      <c r="CE120" s="307"/>
      <c r="CF120" s="307"/>
      <c r="CG120" s="332"/>
      <c r="CH120" s="328"/>
      <c r="CI120" s="328"/>
      <c r="CJ120" s="328">
        <v>2</v>
      </c>
      <c r="CK120" s="328"/>
      <c r="CL120" s="328"/>
      <c r="CM120" s="328"/>
      <c r="CN120" s="370"/>
      <c r="CO120" s="367"/>
      <c r="CP120" s="367"/>
      <c r="CQ120" s="367">
        <v>10</v>
      </c>
      <c r="CR120" s="367"/>
      <c r="CS120" s="387"/>
      <c r="CT120" s="398"/>
      <c r="CU120" s="399"/>
      <c r="CV120" s="399"/>
      <c r="CW120" s="399"/>
      <c r="CX120" s="399">
        <v>1</v>
      </c>
      <c r="CY120" s="399"/>
      <c r="CZ120" s="399"/>
      <c r="DA120" s="400"/>
      <c r="DB120" s="522">
        <v>1</v>
      </c>
    </row>
    <row r="121" spans="1:106" x14ac:dyDescent="0.25">
      <c r="A121" s="468" t="s">
        <v>194</v>
      </c>
      <c r="B121" s="468">
        <v>801</v>
      </c>
      <c r="C121" s="468" t="s">
        <v>1929</v>
      </c>
      <c r="D121" s="468">
        <v>751</v>
      </c>
      <c r="E121" s="468" t="s">
        <v>1930</v>
      </c>
      <c r="F121" s="468" t="s">
        <v>1931</v>
      </c>
      <c r="G121" s="468" t="s">
        <v>1932</v>
      </c>
      <c r="H121" s="468" t="s">
        <v>198</v>
      </c>
      <c r="I121" s="468" t="s">
        <v>199</v>
      </c>
      <c r="J121" s="468" t="s">
        <v>3267</v>
      </c>
      <c r="K121" s="468" t="s">
        <v>1933</v>
      </c>
      <c r="L121" s="468" t="s">
        <v>3766</v>
      </c>
      <c r="M121" s="468" t="s">
        <v>4016</v>
      </c>
      <c r="N121" s="460">
        <v>0</v>
      </c>
      <c r="O121" s="294"/>
      <c r="P121" s="294"/>
      <c r="Q121" s="294"/>
      <c r="R121" s="294"/>
      <c r="S121" s="295"/>
      <c r="T121" s="299"/>
      <c r="U121" s="297"/>
      <c r="V121" s="297"/>
      <c r="W121" s="297"/>
      <c r="X121" s="297"/>
      <c r="Y121" s="297"/>
      <c r="Z121" s="297">
        <v>1</v>
      </c>
      <c r="AA121" s="297"/>
      <c r="AB121" s="293">
        <v>0</v>
      </c>
      <c r="AC121" s="294"/>
      <c r="AD121" s="295"/>
      <c r="AE121" s="298"/>
      <c r="AF121" s="296">
        <v>0</v>
      </c>
      <c r="AG121" s="297"/>
      <c r="AH121" s="297"/>
      <c r="AI121" s="297"/>
      <c r="AJ121" s="297"/>
      <c r="AK121" s="297"/>
      <c r="AL121" s="297"/>
      <c r="AM121" s="297"/>
      <c r="AN121" s="300"/>
      <c r="AO121" s="301"/>
      <c r="AP121" s="301"/>
      <c r="AQ121" s="301"/>
      <c r="AR121" s="301"/>
      <c r="AS121" s="301">
        <v>1500</v>
      </c>
      <c r="AT121" s="301"/>
      <c r="AU121" s="301"/>
      <c r="AV121" s="301"/>
      <c r="AW121" s="301"/>
      <c r="AX121" s="301"/>
      <c r="AY121" s="301"/>
      <c r="AZ121" s="301"/>
      <c r="BA121" s="301"/>
      <c r="BB121" s="301"/>
      <c r="BC121" s="301"/>
      <c r="BD121" s="301"/>
      <c r="BE121" s="301"/>
      <c r="BF121" s="302"/>
      <c r="BG121" s="303"/>
      <c r="BH121" s="304"/>
      <c r="BI121" s="304"/>
      <c r="BJ121" s="304"/>
      <c r="BK121" s="304"/>
      <c r="BL121" s="304">
        <v>10</v>
      </c>
      <c r="BM121" s="304"/>
      <c r="BN121" s="304"/>
      <c r="BO121" s="304"/>
      <c r="BP121" s="304"/>
      <c r="BQ121" s="304"/>
      <c r="BR121" s="304"/>
      <c r="BS121" s="304"/>
      <c r="BT121" s="304"/>
      <c r="BU121" s="304"/>
      <c r="BV121" s="304"/>
      <c r="BW121" s="304"/>
      <c r="BX121" s="304"/>
      <c r="BY121" s="305"/>
      <c r="BZ121" s="306"/>
      <c r="CA121" s="307"/>
      <c r="CB121" s="307"/>
      <c r="CC121" s="307"/>
      <c r="CD121" s="307"/>
      <c r="CE121" s="307"/>
      <c r="CF121" s="307"/>
      <c r="CG121" s="332"/>
      <c r="CH121" s="328"/>
      <c r="CI121" s="328"/>
      <c r="CJ121" s="328"/>
      <c r="CK121" s="328"/>
      <c r="CL121" s="328">
        <v>2</v>
      </c>
      <c r="CM121" s="328"/>
      <c r="CN121" s="370"/>
      <c r="CO121" s="367"/>
      <c r="CP121" s="367"/>
      <c r="CQ121" s="367"/>
      <c r="CR121" s="367"/>
      <c r="CS121" s="387">
        <v>10</v>
      </c>
      <c r="CT121" s="398"/>
      <c r="CU121" s="399"/>
      <c r="CV121" s="399"/>
      <c r="CW121" s="399"/>
      <c r="CX121" s="399"/>
      <c r="CY121" s="399"/>
      <c r="CZ121" s="399">
        <v>1</v>
      </c>
      <c r="DA121" s="400"/>
      <c r="DB121" s="522">
        <v>1</v>
      </c>
    </row>
    <row r="122" spans="1:106" x14ac:dyDescent="0.25">
      <c r="A122" s="468" t="s">
        <v>194</v>
      </c>
      <c r="B122" s="468">
        <v>801</v>
      </c>
      <c r="C122" s="468" t="s">
        <v>195</v>
      </c>
      <c r="D122" s="468">
        <v>752</v>
      </c>
      <c r="E122" s="468" t="s">
        <v>196</v>
      </c>
      <c r="F122" s="468" t="s">
        <v>1934</v>
      </c>
      <c r="G122" s="468" t="s">
        <v>197</v>
      </c>
      <c r="H122" s="468" t="s">
        <v>198</v>
      </c>
      <c r="I122" s="468" t="s">
        <v>199</v>
      </c>
      <c r="J122" s="468" t="s">
        <v>3267</v>
      </c>
      <c r="K122" s="468" t="s">
        <v>200</v>
      </c>
      <c r="L122" s="468" t="s">
        <v>3766</v>
      </c>
      <c r="M122" s="468" t="s">
        <v>4016</v>
      </c>
      <c r="N122" s="460">
        <v>0</v>
      </c>
      <c r="O122" s="294"/>
      <c r="P122" s="294"/>
      <c r="Q122" s="294"/>
      <c r="R122" s="294"/>
      <c r="S122" s="295"/>
      <c r="T122" s="299"/>
      <c r="U122" s="297"/>
      <c r="V122" s="297"/>
      <c r="W122" s="297"/>
      <c r="X122" s="297"/>
      <c r="Y122" s="297"/>
      <c r="Z122" s="297">
        <v>0</v>
      </c>
      <c r="AA122" s="297"/>
      <c r="AB122" s="293">
        <v>0</v>
      </c>
      <c r="AC122" s="294"/>
      <c r="AD122" s="295"/>
      <c r="AE122" s="298"/>
      <c r="AF122" s="299"/>
      <c r="AG122" s="297"/>
      <c r="AH122" s="297"/>
      <c r="AI122" s="297"/>
      <c r="AJ122" s="297"/>
      <c r="AK122" s="297">
        <v>1</v>
      </c>
      <c r="AL122" s="297"/>
      <c r="AM122" s="297"/>
      <c r="AN122" s="300"/>
      <c r="AO122" s="301"/>
      <c r="AP122" s="301"/>
      <c r="AQ122" s="301"/>
      <c r="AR122" s="301"/>
      <c r="AS122" s="301">
        <v>1500</v>
      </c>
      <c r="AT122" s="301"/>
      <c r="AU122" s="301"/>
      <c r="AV122" s="301"/>
      <c r="AW122" s="301"/>
      <c r="AX122" s="301"/>
      <c r="AY122" s="301"/>
      <c r="AZ122" s="301"/>
      <c r="BA122" s="301"/>
      <c r="BB122" s="301"/>
      <c r="BC122" s="301"/>
      <c r="BD122" s="301"/>
      <c r="BE122" s="301"/>
      <c r="BF122" s="302"/>
      <c r="BG122" s="303"/>
      <c r="BH122" s="304"/>
      <c r="BI122" s="304"/>
      <c r="BJ122" s="304"/>
      <c r="BK122" s="304"/>
      <c r="BL122" s="304">
        <v>10</v>
      </c>
      <c r="BM122" s="304"/>
      <c r="BN122" s="304"/>
      <c r="BO122" s="304"/>
      <c r="BP122" s="304"/>
      <c r="BQ122" s="304"/>
      <c r="BR122" s="304"/>
      <c r="BS122" s="304"/>
      <c r="BT122" s="304"/>
      <c r="BU122" s="304"/>
      <c r="BV122" s="304"/>
      <c r="BW122" s="304"/>
      <c r="BX122" s="304"/>
      <c r="BY122" s="305"/>
      <c r="BZ122" s="306"/>
      <c r="CA122" s="307"/>
      <c r="CB122" s="307"/>
      <c r="CC122" s="307"/>
      <c r="CD122" s="307"/>
      <c r="CE122" s="307"/>
      <c r="CF122" s="307"/>
      <c r="CG122" s="332"/>
      <c r="CH122" s="328"/>
      <c r="CI122" s="328"/>
      <c r="CJ122" s="328"/>
      <c r="CK122" s="328"/>
      <c r="CL122" s="328">
        <v>2</v>
      </c>
      <c r="CM122" s="328"/>
      <c r="CN122" s="370"/>
      <c r="CO122" s="367"/>
      <c r="CP122" s="367"/>
      <c r="CQ122" s="367"/>
      <c r="CR122" s="367"/>
      <c r="CS122" s="387">
        <v>10</v>
      </c>
      <c r="CT122" s="398"/>
      <c r="CU122" s="399"/>
      <c r="CV122" s="399"/>
      <c r="CW122" s="399"/>
      <c r="CX122" s="399"/>
      <c r="CY122" s="399"/>
      <c r="CZ122" s="399">
        <v>1</v>
      </c>
      <c r="DA122" s="400"/>
      <c r="DB122" s="522">
        <v>1</v>
      </c>
    </row>
    <row r="123" spans="1:106" x14ac:dyDescent="0.25">
      <c r="A123" s="468" t="s">
        <v>194</v>
      </c>
      <c r="B123" s="468">
        <v>801</v>
      </c>
      <c r="C123" s="468" t="s">
        <v>1935</v>
      </c>
      <c r="D123" s="468">
        <v>753</v>
      </c>
      <c r="E123" s="468" t="s">
        <v>1936</v>
      </c>
      <c r="F123" s="468" t="s">
        <v>1937</v>
      </c>
      <c r="G123" s="468" t="s">
        <v>1938</v>
      </c>
      <c r="H123" s="468" t="s">
        <v>198</v>
      </c>
      <c r="I123" s="468" t="s">
        <v>199</v>
      </c>
      <c r="J123" s="468" t="s">
        <v>3268</v>
      </c>
      <c r="K123" s="468" t="s">
        <v>1939</v>
      </c>
      <c r="L123" s="468" t="s">
        <v>3766</v>
      </c>
      <c r="M123" s="468" t="s">
        <v>4016</v>
      </c>
      <c r="N123" s="460">
        <v>0</v>
      </c>
      <c r="O123" s="294"/>
      <c r="P123" s="294"/>
      <c r="Q123" s="294"/>
      <c r="R123" s="294"/>
      <c r="S123" s="295"/>
      <c r="T123" s="299"/>
      <c r="U123" s="297"/>
      <c r="V123" s="297"/>
      <c r="W123" s="297"/>
      <c r="X123" s="297"/>
      <c r="Y123" s="297"/>
      <c r="Z123" s="297">
        <v>0</v>
      </c>
      <c r="AA123" s="297"/>
      <c r="AB123" s="293">
        <v>0</v>
      </c>
      <c r="AC123" s="294"/>
      <c r="AD123" s="295"/>
      <c r="AE123" s="298"/>
      <c r="AF123" s="299"/>
      <c r="AG123" s="297"/>
      <c r="AH123" s="297"/>
      <c r="AI123" s="297"/>
      <c r="AJ123" s="297"/>
      <c r="AK123" s="297">
        <v>0</v>
      </c>
      <c r="AL123" s="297"/>
      <c r="AM123" s="297"/>
      <c r="AN123" s="300"/>
      <c r="AO123" s="301"/>
      <c r="AP123" s="301"/>
      <c r="AQ123" s="301"/>
      <c r="AR123" s="301"/>
      <c r="AS123" s="301">
        <v>1500</v>
      </c>
      <c r="AT123" s="301"/>
      <c r="AU123" s="301"/>
      <c r="AV123" s="301"/>
      <c r="AW123" s="301"/>
      <c r="AX123" s="301"/>
      <c r="AY123" s="301"/>
      <c r="AZ123" s="301"/>
      <c r="BA123" s="301"/>
      <c r="BB123" s="301"/>
      <c r="BC123" s="301"/>
      <c r="BD123" s="301"/>
      <c r="BE123" s="301"/>
      <c r="BF123" s="302"/>
      <c r="BG123" s="303"/>
      <c r="BH123" s="304"/>
      <c r="BI123" s="304"/>
      <c r="BJ123" s="304"/>
      <c r="BK123" s="304"/>
      <c r="BL123" s="304">
        <v>10</v>
      </c>
      <c r="BM123" s="304"/>
      <c r="BN123" s="304"/>
      <c r="BO123" s="304"/>
      <c r="BP123" s="304"/>
      <c r="BQ123" s="304"/>
      <c r="BR123" s="304"/>
      <c r="BS123" s="304"/>
      <c r="BT123" s="304"/>
      <c r="BU123" s="304"/>
      <c r="BV123" s="304"/>
      <c r="BW123" s="304"/>
      <c r="BX123" s="304"/>
      <c r="BY123" s="305"/>
      <c r="BZ123" s="308"/>
      <c r="CA123" s="307"/>
      <c r="CB123" s="307"/>
      <c r="CC123" s="307"/>
      <c r="CD123" s="307"/>
      <c r="CE123" s="309">
        <v>1</v>
      </c>
      <c r="CF123" s="307"/>
      <c r="CG123" s="332"/>
      <c r="CH123" s="328"/>
      <c r="CI123" s="328"/>
      <c r="CJ123" s="328"/>
      <c r="CK123" s="328"/>
      <c r="CL123" s="328">
        <v>2</v>
      </c>
      <c r="CM123" s="328"/>
      <c r="CN123" s="370"/>
      <c r="CO123" s="367"/>
      <c r="CP123" s="367"/>
      <c r="CQ123" s="367"/>
      <c r="CR123" s="367"/>
      <c r="CS123" s="387">
        <v>10</v>
      </c>
      <c r="CT123" s="398"/>
      <c r="CU123" s="399"/>
      <c r="CV123" s="399"/>
      <c r="CW123" s="399"/>
      <c r="CX123" s="399"/>
      <c r="CY123" s="399"/>
      <c r="CZ123" s="399">
        <v>1</v>
      </c>
      <c r="DA123" s="400"/>
      <c r="DB123" s="522">
        <v>1</v>
      </c>
    </row>
    <row r="124" spans="1:106" x14ac:dyDescent="0.25">
      <c r="A124" s="468" t="s">
        <v>194</v>
      </c>
      <c r="B124" s="468">
        <v>801</v>
      </c>
      <c r="C124" s="468" t="s">
        <v>1940</v>
      </c>
      <c r="D124" s="468">
        <v>754</v>
      </c>
      <c r="E124" s="468" t="s">
        <v>1941</v>
      </c>
      <c r="F124" s="468" t="s">
        <v>1942</v>
      </c>
      <c r="G124" s="468" t="s">
        <v>1943</v>
      </c>
      <c r="H124" s="468" t="s">
        <v>198</v>
      </c>
      <c r="I124" s="468" t="s">
        <v>199</v>
      </c>
      <c r="J124" s="468" t="s">
        <v>1944</v>
      </c>
      <c r="K124" s="468" t="s">
        <v>1945</v>
      </c>
      <c r="L124" s="468" t="s">
        <v>3766</v>
      </c>
      <c r="M124" s="468" t="s">
        <v>4016</v>
      </c>
      <c r="N124" s="460">
        <v>0</v>
      </c>
      <c r="O124" s="294"/>
      <c r="P124" s="294"/>
      <c r="Q124" s="294"/>
      <c r="R124" s="294"/>
      <c r="S124" s="295"/>
      <c r="T124" s="299"/>
      <c r="U124" s="297"/>
      <c r="V124" s="297"/>
      <c r="W124" s="297"/>
      <c r="X124" s="297"/>
      <c r="Y124" s="297"/>
      <c r="Z124" s="297">
        <v>0</v>
      </c>
      <c r="AA124" s="297"/>
      <c r="AB124" s="293">
        <v>0</v>
      </c>
      <c r="AC124" s="294"/>
      <c r="AD124" s="295"/>
      <c r="AE124" s="298"/>
      <c r="AF124" s="299"/>
      <c r="AG124" s="297"/>
      <c r="AH124" s="297"/>
      <c r="AI124" s="297"/>
      <c r="AJ124" s="297"/>
      <c r="AK124" s="297">
        <v>1</v>
      </c>
      <c r="AL124" s="297"/>
      <c r="AM124" s="297"/>
      <c r="AN124" s="300"/>
      <c r="AO124" s="301"/>
      <c r="AP124" s="301"/>
      <c r="AQ124" s="301"/>
      <c r="AR124" s="301"/>
      <c r="AS124" s="301">
        <v>1500</v>
      </c>
      <c r="AT124" s="301"/>
      <c r="AU124" s="301"/>
      <c r="AV124" s="301"/>
      <c r="AW124" s="301"/>
      <c r="AX124" s="301"/>
      <c r="AY124" s="301"/>
      <c r="AZ124" s="301"/>
      <c r="BA124" s="301"/>
      <c r="BB124" s="301"/>
      <c r="BC124" s="301"/>
      <c r="BD124" s="301"/>
      <c r="BE124" s="301"/>
      <c r="BF124" s="302"/>
      <c r="BG124" s="303"/>
      <c r="BH124" s="304"/>
      <c r="BI124" s="304"/>
      <c r="BJ124" s="304"/>
      <c r="BK124" s="304"/>
      <c r="BL124" s="304">
        <v>10</v>
      </c>
      <c r="BM124" s="304"/>
      <c r="BN124" s="304"/>
      <c r="BO124" s="304"/>
      <c r="BP124" s="304"/>
      <c r="BQ124" s="304"/>
      <c r="BR124" s="304"/>
      <c r="BS124" s="304"/>
      <c r="BT124" s="304"/>
      <c r="BU124" s="304"/>
      <c r="BV124" s="304"/>
      <c r="BW124" s="304"/>
      <c r="BX124" s="304"/>
      <c r="BY124" s="305"/>
      <c r="BZ124" s="308"/>
      <c r="CA124" s="307"/>
      <c r="CB124" s="307"/>
      <c r="CC124" s="307"/>
      <c r="CD124" s="307"/>
      <c r="CE124" s="309"/>
      <c r="CF124" s="307"/>
      <c r="CG124" s="332"/>
      <c r="CH124" s="328"/>
      <c r="CI124" s="328"/>
      <c r="CJ124" s="328"/>
      <c r="CK124" s="328"/>
      <c r="CL124" s="328">
        <v>2</v>
      </c>
      <c r="CM124" s="328"/>
      <c r="CN124" s="370"/>
      <c r="CO124" s="367"/>
      <c r="CP124" s="367"/>
      <c r="CQ124" s="367"/>
      <c r="CR124" s="367"/>
      <c r="CS124" s="387">
        <v>10</v>
      </c>
      <c r="CT124" s="398"/>
      <c r="CU124" s="399"/>
      <c r="CV124" s="399"/>
      <c r="CW124" s="399"/>
      <c r="CX124" s="399"/>
      <c r="CY124" s="399"/>
      <c r="CZ124" s="399">
        <v>1</v>
      </c>
      <c r="DA124" s="400"/>
      <c r="DB124" s="522">
        <v>1</v>
      </c>
    </row>
    <row r="125" spans="1:106" x14ac:dyDescent="0.25">
      <c r="A125" s="468" t="s">
        <v>194</v>
      </c>
      <c r="B125" s="468">
        <v>801</v>
      </c>
      <c r="C125" s="468" t="s">
        <v>1946</v>
      </c>
      <c r="D125" s="468">
        <v>755</v>
      </c>
      <c r="E125" s="468" t="s">
        <v>1947</v>
      </c>
      <c r="F125" s="468" t="s">
        <v>1948</v>
      </c>
      <c r="G125" s="468" t="s">
        <v>1949</v>
      </c>
      <c r="H125" s="468" t="s">
        <v>198</v>
      </c>
      <c r="I125" s="468" t="s">
        <v>199</v>
      </c>
      <c r="J125" s="468" t="s">
        <v>1950</v>
      </c>
      <c r="K125" s="468" t="s">
        <v>1951</v>
      </c>
      <c r="L125" s="468" t="s">
        <v>3766</v>
      </c>
      <c r="M125" s="468" t="s">
        <v>4016</v>
      </c>
      <c r="N125" s="460">
        <v>0</v>
      </c>
      <c r="O125" s="294"/>
      <c r="P125" s="294"/>
      <c r="Q125" s="294"/>
      <c r="R125" s="294"/>
      <c r="S125" s="295"/>
      <c r="T125" s="299"/>
      <c r="U125" s="297"/>
      <c r="V125" s="297"/>
      <c r="W125" s="297"/>
      <c r="X125" s="297"/>
      <c r="Y125" s="297"/>
      <c r="Z125" s="297">
        <v>0</v>
      </c>
      <c r="AA125" s="297"/>
      <c r="AB125" s="293">
        <v>0</v>
      </c>
      <c r="AC125" s="294"/>
      <c r="AD125" s="295"/>
      <c r="AE125" s="298"/>
      <c r="AF125" s="299"/>
      <c r="AG125" s="297"/>
      <c r="AH125" s="297"/>
      <c r="AI125" s="297"/>
      <c r="AJ125" s="297"/>
      <c r="AK125" s="297">
        <v>1</v>
      </c>
      <c r="AL125" s="297"/>
      <c r="AM125" s="297"/>
      <c r="AN125" s="300"/>
      <c r="AO125" s="301"/>
      <c r="AP125" s="301"/>
      <c r="AQ125" s="301"/>
      <c r="AR125" s="301"/>
      <c r="AS125" s="301">
        <v>1500</v>
      </c>
      <c r="AT125" s="301"/>
      <c r="AU125" s="301"/>
      <c r="AV125" s="301"/>
      <c r="AW125" s="301"/>
      <c r="AX125" s="301"/>
      <c r="AY125" s="301"/>
      <c r="AZ125" s="301"/>
      <c r="BA125" s="301"/>
      <c r="BB125" s="301"/>
      <c r="BC125" s="301"/>
      <c r="BD125" s="301"/>
      <c r="BE125" s="301"/>
      <c r="BF125" s="302"/>
      <c r="BG125" s="303"/>
      <c r="BH125" s="304"/>
      <c r="BI125" s="304"/>
      <c r="BJ125" s="304"/>
      <c r="BK125" s="304"/>
      <c r="BL125" s="304">
        <v>10</v>
      </c>
      <c r="BM125" s="304"/>
      <c r="BN125" s="304"/>
      <c r="BO125" s="304"/>
      <c r="BP125" s="304"/>
      <c r="BQ125" s="304"/>
      <c r="BR125" s="304"/>
      <c r="BS125" s="304"/>
      <c r="BT125" s="304"/>
      <c r="BU125" s="304"/>
      <c r="BV125" s="304"/>
      <c r="BW125" s="304"/>
      <c r="BX125" s="304"/>
      <c r="BY125" s="305"/>
      <c r="BZ125" s="308"/>
      <c r="CA125" s="307"/>
      <c r="CB125" s="307"/>
      <c r="CC125" s="307"/>
      <c r="CD125" s="307"/>
      <c r="CE125" s="309"/>
      <c r="CF125" s="307"/>
      <c r="CG125" s="332"/>
      <c r="CH125" s="328"/>
      <c r="CI125" s="328"/>
      <c r="CJ125" s="328"/>
      <c r="CK125" s="328"/>
      <c r="CL125" s="328">
        <v>2</v>
      </c>
      <c r="CM125" s="328"/>
      <c r="CN125" s="370"/>
      <c r="CO125" s="367"/>
      <c r="CP125" s="367"/>
      <c r="CQ125" s="367"/>
      <c r="CR125" s="367"/>
      <c r="CS125" s="387">
        <v>10</v>
      </c>
      <c r="CT125" s="398"/>
      <c r="CU125" s="399"/>
      <c r="CV125" s="399"/>
      <c r="CW125" s="399"/>
      <c r="CX125" s="399"/>
      <c r="CY125" s="399"/>
      <c r="CZ125" s="399">
        <v>1</v>
      </c>
      <c r="DA125" s="400"/>
      <c r="DB125" s="522">
        <v>1</v>
      </c>
    </row>
    <row r="126" spans="1:106" x14ac:dyDescent="0.25">
      <c r="A126" s="468" t="s">
        <v>194</v>
      </c>
      <c r="B126" s="468">
        <v>801</v>
      </c>
      <c r="C126" s="468" t="s">
        <v>1952</v>
      </c>
      <c r="D126" s="468">
        <v>757</v>
      </c>
      <c r="E126" s="468" t="s">
        <v>1953</v>
      </c>
      <c r="F126" s="468" t="s">
        <v>1954</v>
      </c>
      <c r="G126" s="468" t="s">
        <v>1955</v>
      </c>
      <c r="H126" s="468" t="s">
        <v>198</v>
      </c>
      <c r="I126" s="468" t="s">
        <v>199</v>
      </c>
      <c r="J126" s="468" t="s">
        <v>3268</v>
      </c>
      <c r="K126" s="468" t="s">
        <v>1956</v>
      </c>
      <c r="L126" s="468" t="s">
        <v>3766</v>
      </c>
      <c r="M126" s="468" t="s">
        <v>4016</v>
      </c>
      <c r="N126" s="460">
        <v>0</v>
      </c>
      <c r="O126" s="294"/>
      <c r="P126" s="294"/>
      <c r="Q126" s="294"/>
      <c r="R126" s="294"/>
      <c r="S126" s="295"/>
      <c r="T126" s="299"/>
      <c r="U126" s="297"/>
      <c r="V126" s="297"/>
      <c r="W126" s="297"/>
      <c r="X126" s="297"/>
      <c r="Y126" s="297"/>
      <c r="Z126" s="297">
        <v>0</v>
      </c>
      <c r="AA126" s="297"/>
      <c r="AB126" s="293">
        <v>0</v>
      </c>
      <c r="AC126" s="294"/>
      <c r="AD126" s="295"/>
      <c r="AE126" s="298"/>
      <c r="AF126" s="296">
        <v>0</v>
      </c>
      <c r="AG126" s="297"/>
      <c r="AH126" s="297"/>
      <c r="AI126" s="297"/>
      <c r="AJ126" s="297"/>
      <c r="AK126" s="297"/>
      <c r="AL126" s="297"/>
      <c r="AM126" s="297"/>
      <c r="AN126" s="300"/>
      <c r="AO126" s="301"/>
      <c r="AP126" s="301"/>
      <c r="AQ126" s="301"/>
      <c r="AR126" s="301"/>
      <c r="AS126" s="301">
        <v>1500</v>
      </c>
      <c r="AT126" s="301"/>
      <c r="AU126" s="301"/>
      <c r="AV126" s="301"/>
      <c r="AW126" s="301"/>
      <c r="AX126" s="301"/>
      <c r="AY126" s="301"/>
      <c r="AZ126" s="301"/>
      <c r="BA126" s="301"/>
      <c r="BB126" s="301"/>
      <c r="BC126" s="301"/>
      <c r="BD126" s="301"/>
      <c r="BE126" s="301"/>
      <c r="BF126" s="302"/>
      <c r="BG126" s="303"/>
      <c r="BH126" s="304"/>
      <c r="BI126" s="304"/>
      <c r="BJ126" s="304"/>
      <c r="BK126" s="304"/>
      <c r="BL126" s="304">
        <v>10</v>
      </c>
      <c r="BM126" s="304"/>
      <c r="BN126" s="304"/>
      <c r="BO126" s="304"/>
      <c r="BP126" s="304"/>
      <c r="BQ126" s="304"/>
      <c r="BR126" s="304"/>
      <c r="BS126" s="304"/>
      <c r="BT126" s="304"/>
      <c r="BU126" s="304"/>
      <c r="BV126" s="304"/>
      <c r="BW126" s="304"/>
      <c r="BX126" s="304"/>
      <c r="BY126" s="305"/>
      <c r="BZ126" s="308"/>
      <c r="CA126" s="307"/>
      <c r="CB126" s="307"/>
      <c r="CC126" s="307"/>
      <c r="CD126" s="307"/>
      <c r="CE126" s="309">
        <v>1</v>
      </c>
      <c r="CF126" s="307"/>
      <c r="CG126" s="332"/>
      <c r="CH126" s="328"/>
      <c r="CI126" s="328"/>
      <c r="CJ126" s="328"/>
      <c r="CK126" s="328"/>
      <c r="CL126" s="328">
        <v>2</v>
      </c>
      <c r="CM126" s="328"/>
      <c r="CN126" s="370"/>
      <c r="CO126" s="367"/>
      <c r="CP126" s="367"/>
      <c r="CQ126" s="367"/>
      <c r="CR126" s="367"/>
      <c r="CS126" s="387">
        <v>10</v>
      </c>
      <c r="CT126" s="398"/>
      <c r="CU126" s="399"/>
      <c r="CV126" s="399"/>
      <c r="CW126" s="399"/>
      <c r="CX126" s="399"/>
      <c r="CY126" s="399"/>
      <c r="CZ126" s="399">
        <v>1</v>
      </c>
      <c r="DA126" s="400"/>
      <c r="DB126" s="522">
        <v>1</v>
      </c>
    </row>
    <row r="127" spans="1:106" x14ac:dyDescent="0.25">
      <c r="A127" s="468" t="s">
        <v>194</v>
      </c>
      <c r="B127" s="468">
        <v>801</v>
      </c>
      <c r="C127" s="468" t="s">
        <v>3605</v>
      </c>
      <c r="D127" s="468">
        <v>1751</v>
      </c>
      <c r="E127" s="468" t="s">
        <v>1916</v>
      </c>
      <c r="F127" s="468" t="s">
        <v>1917</v>
      </c>
      <c r="G127" s="468" t="s">
        <v>1918</v>
      </c>
      <c r="H127" s="468" t="s">
        <v>198</v>
      </c>
      <c r="I127" s="468" t="s">
        <v>199</v>
      </c>
      <c r="J127" s="468" t="s">
        <v>3606</v>
      </c>
      <c r="K127" s="468" t="s">
        <v>1919</v>
      </c>
      <c r="L127" s="468" t="s">
        <v>3766</v>
      </c>
      <c r="M127" s="468" t="s">
        <v>4016</v>
      </c>
      <c r="N127" s="460">
        <v>0</v>
      </c>
      <c r="O127" s="294"/>
      <c r="P127" s="294"/>
      <c r="Q127" s="294"/>
      <c r="R127" s="294"/>
      <c r="S127" s="295"/>
      <c r="T127" s="299"/>
      <c r="U127" s="297"/>
      <c r="V127" s="297"/>
      <c r="W127" s="297"/>
      <c r="X127" s="297"/>
      <c r="Y127" s="297"/>
      <c r="Z127" s="297">
        <v>2</v>
      </c>
      <c r="AA127" s="297"/>
      <c r="AB127" s="293">
        <v>0</v>
      </c>
      <c r="AC127" s="294"/>
      <c r="AD127" s="295"/>
      <c r="AE127" s="298"/>
      <c r="AF127" s="296">
        <v>0</v>
      </c>
      <c r="AG127" s="297"/>
      <c r="AH127" s="297"/>
      <c r="AI127" s="297"/>
      <c r="AJ127" s="297"/>
      <c r="AK127" s="297"/>
      <c r="AL127" s="297"/>
      <c r="AM127" s="297"/>
      <c r="AN127" s="300"/>
      <c r="AO127" s="301"/>
      <c r="AP127" s="301"/>
      <c r="AQ127" s="301"/>
      <c r="AR127" s="301"/>
      <c r="AS127" s="301">
        <v>1500</v>
      </c>
      <c r="AT127" s="301"/>
      <c r="AU127" s="301"/>
      <c r="AV127" s="301"/>
      <c r="AW127" s="301"/>
      <c r="AX127" s="301"/>
      <c r="AY127" s="301"/>
      <c r="AZ127" s="301"/>
      <c r="BA127" s="301"/>
      <c r="BB127" s="301"/>
      <c r="BC127" s="301"/>
      <c r="BD127" s="301"/>
      <c r="BE127" s="301"/>
      <c r="BF127" s="302"/>
      <c r="BG127" s="303"/>
      <c r="BH127" s="304"/>
      <c r="BI127" s="304"/>
      <c r="BJ127" s="304"/>
      <c r="BK127" s="304"/>
      <c r="BL127" s="304">
        <v>10</v>
      </c>
      <c r="BM127" s="304"/>
      <c r="BN127" s="304"/>
      <c r="BO127" s="304"/>
      <c r="BP127" s="304"/>
      <c r="BQ127" s="304"/>
      <c r="BR127" s="304"/>
      <c r="BS127" s="304"/>
      <c r="BT127" s="304"/>
      <c r="BU127" s="304"/>
      <c r="BV127" s="304"/>
      <c r="BW127" s="304"/>
      <c r="BX127" s="304"/>
      <c r="BY127" s="305"/>
      <c r="BZ127" s="306"/>
      <c r="CA127" s="307"/>
      <c r="CB127" s="307"/>
      <c r="CC127" s="307"/>
      <c r="CD127" s="307"/>
      <c r="CE127" s="307"/>
      <c r="CF127" s="307"/>
      <c r="CG127" s="332"/>
      <c r="CH127" s="328"/>
      <c r="CI127" s="328"/>
      <c r="CJ127" s="328"/>
      <c r="CK127" s="328"/>
      <c r="CL127" s="328">
        <v>2</v>
      </c>
      <c r="CM127" s="328"/>
      <c r="CN127" s="370"/>
      <c r="CO127" s="367"/>
      <c r="CP127" s="367"/>
      <c r="CQ127" s="367"/>
      <c r="CR127" s="367"/>
      <c r="CS127" s="387">
        <v>10</v>
      </c>
      <c r="CT127" s="398"/>
      <c r="CU127" s="399"/>
      <c r="CV127" s="399"/>
      <c r="CW127" s="399"/>
      <c r="CX127" s="399"/>
      <c r="CY127" s="399"/>
      <c r="CZ127" s="399">
        <v>1</v>
      </c>
      <c r="DA127" s="400"/>
      <c r="DB127" s="522">
        <v>1</v>
      </c>
    </row>
    <row r="128" spans="1:106" x14ac:dyDescent="0.25">
      <c r="A128" s="468" t="s">
        <v>194</v>
      </c>
      <c r="B128" s="468">
        <v>801</v>
      </c>
      <c r="C128" s="468" t="s">
        <v>3607</v>
      </c>
      <c r="D128" s="468">
        <v>1752</v>
      </c>
      <c r="E128" s="468" t="s">
        <v>1920</v>
      </c>
      <c r="F128" s="468" t="s">
        <v>1921</v>
      </c>
      <c r="G128" s="468" t="s">
        <v>1922</v>
      </c>
      <c r="H128" s="468" t="s">
        <v>198</v>
      </c>
      <c r="I128" s="468" t="s">
        <v>199</v>
      </c>
      <c r="J128" s="468" t="s">
        <v>3267</v>
      </c>
      <c r="K128" s="468" t="s">
        <v>1923</v>
      </c>
      <c r="L128" s="468" t="s">
        <v>3766</v>
      </c>
      <c r="M128" s="468" t="s">
        <v>4016</v>
      </c>
      <c r="N128" s="460">
        <v>0</v>
      </c>
      <c r="O128" s="294"/>
      <c r="P128" s="294"/>
      <c r="Q128" s="294"/>
      <c r="R128" s="294"/>
      <c r="S128" s="295"/>
      <c r="T128" s="299"/>
      <c r="U128" s="297"/>
      <c r="V128" s="297"/>
      <c r="W128" s="297"/>
      <c r="X128" s="297"/>
      <c r="Y128" s="297"/>
      <c r="Z128" s="297">
        <v>2</v>
      </c>
      <c r="AA128" s="297"/>
      <c r="AB128" s="293">
        <v>0</v>
      </c>
      <c r="AC128" s="294"/>
      <c r="AD128" s="295"/>
      <c r="AE128" s="298"/>
      <c r="AF128" s="296">
        <v>0</v>
      </c>
      <c r="AG128" s="297"/>
      <c r="AH128" s="297"/>
      <c r="AI128" s="297"/>
      <c r="AJ128" s="297"/>
      <c r="AK128" s="297"/>
      <c r="AL128" s="297"/>
      <c r="AM128" s="297"/>
      <c r="AN128" s="300"/>
      <c r="AO128" s="301"/>
      <c r="AP128" s="301"/>
      <c r="AQ128" s="301"/>
      <c r="AR128" s="301"/>
      <c r="AS128" s="301">
        <v>1500</v>
      </c>
      <c r="AT128" s="301"/>
      <c r="AU128" s="301"/>
      <c r="AV128" s="301"/>
      <c r="AW128" s="301"/>
      <c r="AX128" s="301"/>
      <c r="AY128" s="301"/>
      <c r="AZ128" s="301"/>
      <c r="BA128" s="301"/>
      <c r="BB128" s="301"/>
      <c r="BC128" s="301"/>
      <c r="BD128" s="301"/>
      <c r="BE128" s="301"/>
      <c r="BF128" s="302"/>
      <c r="BG128" s="303"/>
      <c r="BH128" s="304"/>
      <c r="BI128" s="304"/>
      <c r="BJ128" s="304"/>
      <c r="BK128" s="304"/>
      <c r="BL128" s="304">
        <v>10</v>
      </c>
      <c r="BM128" s="304"/>
      <c r="BN128" s="304"/>
      <c r="BO128" s="304"/>
      <c r="BP128" s="304"/>
      <c r="BQ128" s="304"/>
      <c r="BR128" s="304"/>
      <c r="BS128" s="304"/>
      <c r="BT128" s="304"/>
      <c r="BU128" s="304"/>
      <c r="BV128" s="304"/>
      <c r="BW128" s="304"/>
      <c r="BX128" s="304"/>
      <c r="BY128" s="305"/>
      <c r="BZ128" s="306"/>
      <c r="CA128" s="307"/>
      <c r="CB128" s="307"/>
      <c r="CC128" s="307"/>
      <c r="CD128" s="307"/>
      <c r="CE128" s="307"/>
      <c r="CF128" s="307"/>
      <c r="CG128" s="332"/>
      <c r="CH128" s="328"/>
      <c r="CI128" s="328"/>
      <c r="CJ128" s="328"/>
      <c r="CK128" s="328"/>
      <c r="CL128" s="328">
        <v>2</v>
      </c>
      <c r="CM128" s="328"/>
      <c r="CN128" s="370"/>
      <c r="CO128" s="367"/>
      <c r="CP128" s="367"/>
      <c r="CQ128" s="367"/>
      <c r="CR128" s="367"/>
      <c r="CS128" s="387">
        <v>10</v>
      </c>
      <c r="CT128" s="398"/>
      <c r="CU128" s="399"/>
      <c r="CV128" s="399"/>
      <c r="CW128" s="399"/>
      <c r="CX128" s="399"/>
      <c r="CY128" s="399"/>
      <c r="CZ128" s="399">
        <v>1</v>
      </c>
      <c r="DA128" s="400"/>
      <c r="DB128" s="522">
        <v>1</v>
      </c>
    </row>
    <row r="129" spans="1:106" x14ac:dyDescent="0.25">
      <c r="A129" s="468" t="s">
        <v>194</v>
      </c>
      <c r="B129" s="468">
        <v>801</v>
      </c>
      <c r="C129" s="468" t="s">
        <v>3674</v>
      </c>
      <c r="D129" s="468">
        <v>2518</v>
      </c>
      <c r="E129" s="468" t="s">
        <v>1924</v>
      </c>
      <c r="F129" s="468" t="s">
        <v>1925</v>
      </c>
      <c r="G129" s="468" t="s">
        <v>1926</v>
      </c>
      <c r="H129" s="468" t="s">
        <v>1927</v>
      </c>
      <c r="I129" s="468" t="s">
        <v>199</v>
      </c>
      <c r="J129" s="468" t="s">
        <v>3675</v>
      </c>
      <c r="K129" s="468" t="s">
        <v>1928</v>
      </c>
      <c r="L129" s="468" t="s">
        <v>3766</v>
      </c>
      <c r="M129" s="468" t="s">
        <v>4016</v>
      </c>
      <c r="N129" s="461"/>
      <c r="O129" s="294">
        <v>1</v>
      </c>
      <c r="P129" s="294"/>
      <c r="Q129" s="294"/>
      <c r="R129" s="294"/>
      <c r="S129" s="295"/>
      <c r="T129" s="296">
        <v>0</v>
      </c>
      <c r="U129" s="297"/>
      <c r="V129" s="297"/>
      <c r="W129" s="297"/>
      <c r="X129" s="297"/>
      <c r="Y129" s="297"/>
      <c r="Z129" s="297"/>
      <c r="AA129" s="297"/>
      <c r="AB129" s="293">
        <v>0</v>
      </c>
      <c r="AC129" s="294"/>
      <c r="AD129" s="295"/>
      <c r="AE129" s="298"/>
      <c r="AF129" s="296">
        <v>0</v>
      </c>
      <c r="AG129" s="297"/>
      <c r="AH129" s="297"/>
      <c r="AI129" s="297"/>
      <c r="AJ129" s="297"/>
      <c r="AK129" s="297"/>
      <c r="AL129" s="297"/>
      <c r="AM129" s="297"/>
      <c r="AN129" s="300"/>
      <c r="AO129" s="301"/>
      <c r="AP129" s="301"/>
      <c r="AQ129" s="301"/>
      <c r="AR129" s="301"/>
      <c r="AS129" s="301">
        <v>1500</v>
      </c>
      <c r="AT129" s="301"/>
      <c r="AU129" s="301"/>
      <c r="AV129" s="301"/>
      <c r="AW129" s="301"/>
      <c r="AX129" s="301"/>
      <c r="AY129" s="301"/>
      <c r="AZ129" s="301"/>
      <c r="BA129" s="301"/>
      <c r="BB129" s="301"/>
      <c r="BC129" s="301"/>
      <c r="BD129" s="301"/>
      <c r="BE129" s="301"/>
      <c r="BF129" s="302"/>
      <c r="BG129" s="303"/>
      <c r="BH129" s="304"/>
      <c r="BI129" s="304"/>
      <c r="BJ129" s="304"/>
      <c r="BK129" s="304"/>
      <c r="BL129" s="304">
        <v>10</v>
      </c>
      <c r="BM129" s="304"/>
      <c r="BN129" s="304"/>
      <c r="BO129" s="304"/>
      <c r="BP129" s="304"/>
      <c r="BQ129" s="304"/>
      <c r="BR129" s="304"/>
      <c r="BS129" s="304"/>
      <c r="BT129" s="304"/>
      <c r="BU129" s="304"/>
      <c r="BV129" s="304"/>
      <c r="BW129" s="304"/>
      <c r="BX129" s="304"/>
      <c r="BY129" s="305"/>
      <c r="BZ129" s="306"/>
      <c r="CA129" s="307"/>
      <c r="CB129" s="307"/>
      <c r="CC129" s="307"/>
      <c r="CD129" s="307"/>
      <c r="CE129" s="307"/>
      <c r="CF129" s="307"/>
      <c r="CG129" s="332"/>
      <c r="CH129" s="328"/>
      <c r="CI129" s="328"/>
      <c r="CJ129" s="328"/>
      <c r="CK129" s="328"/>
      <c r="CL129" s="328">
        <v>2</v>
      </c>
      <c r="CM129" s="328"/>
      <c r="CN129" s="370"/>
      <c r="CO129" s="367"/>
      <c r="CP129" s="367"/>
      <c r="CQ129" s="367"/>
      <c r="CR129" s="367"/>
      <c r="CS129" s="387">
        <v>10</v>
      </c>
      <c r="CT129" s="398"/>
      <c r="CU129" s="399"/>
      <c r="CV129" s="399"/>
      <c r="CW129" s="399"/>
      <c r="CX129" s="399"/>
      <c r="CY129" s="399"/>
      <c r="CZ129" s="399">
        <v>1</v>
      </c>
      <c r="DA129" s="400"/>
      <c r="DB129" s="522">
        <v>1</v>
      </c>
    </row>
    <row r="130" spans="1:106" x14ac:dyDescent="0.25">
      <c r="A130" s="468" t="s">
        <v>208</v>
      </c>
      <c r="B130" s="468">
        <v>815</v>
      </c>
      <c r="C130" s="468" t="s">
        <v>1957</v>
      </c>
      <c r="D130" s="468">
        <v>861</v>
      </c>
      <c r="E130" s="468" t="s">
        <v>1958</v>
      </c>
      <c r="F130" s="468" t="s">
        <v>1959</v>
      </c>
      <c r="G130" s="468" t="s">
        <v>1960</v>
      </c>
      <c r="H130" s="468" t="s">
        <v>1961</v>
      </c>
      <c r="I130" s="468" t="s">
        <v>213</v>
      </c>
      <c r="J130" s="468" t="s">
        <v>3285</v>
      </c>
      <c r="K130" s="468" t="s">
        <v>1962</v>
      </c>
      <c r="L130" s="468" t="s">
        <v>3737</v>
      </c>
      <c r="M130" s="468" t="s">
        <v>4022</v>
      </c>
      <c r="N130" s="460"/>
      <c r="O130" s="294"/>
      <c r="P130" s="294"/>
      <c r="Q130" s="294"/>
      <c r="R130" s="294"/>
      <c r="S130" s="295"/>
      <c r="T130" s="296"/>
      <c r="U130" s="297"/>
      <c r="V130" s="297"/>
      <c r="W130" s="297"/>
      <c r="X130" s="297"/>
      <c r="Y130" s="297"/>
      <c r="Z130" s="297"/>
      <c r="AA130" s="297"/>
      <c r="AB130" s="293"/>
      <c r="AC130" s="294"/>
      <c r="AD130" s="295"/>
      <c r="AE130" s="298"/>
      <c r="AF130" s="296"/>
      <c r="AG130" s="297"/>
      <c r="AH130" s="297"/>
      <c r="AI130" s="297"/>
      <c r="AJ130" s="297"/>
      <c r="AK130" s="297"/>
      <c r="AL130" s="297"/>
      <c r="AM130" s="297"/>
      <c r="AN130" s="300"/>
      <c r="AO130" s="301"/>
      <c r="AP130" s="301"/>
      <c r="AQ130" s="301"/>
      <c r="AR130" s="301">
        <v>1500</v>
      </c>
      <c r="AS130" s="301"/>
      <c r="AT130" s="301"/>
      <c r="AU130" s="301"/>
      <c r="AV130" s="301"/>
      <c r="AW130" s="301"/>
      <c r="AX130" s="301"/>
      <c r="AY130" s="301"/>
      <c r="AZ130" s="301"/>
      <c r="BA130" s="301"/>
      <c r="BB130" s="301"/>
      <c r="BC130" s="301"/>
      <c r="BD130" s="301"/>
      <c r="BE130" s="301"/>
      <c r="BF130" s="302"/>
      <c r="BG130" s="303"/>
      <c r="BH130" s="304"/>
      <c r="BI130" s="304"/>
      <c r="BJ130" s="304"/>
      <c r="BK130" s="304">
        <v>10</v>
      </c>
      <c r="BL130" s="304"/>
      <c r="BM130" s="304"/>
      <c r="BN130" s="304"/>
      <c r="BO130" s="304"/>
      <c r="BP130" s="304"/>
      <c r="BQ130" s="304"/>
      <c r="BR130" s="304"/>
      <c r="BS130" s="304"/>
      <c r="BT130" s="304"/>
      <c r="BU130" s="304"/>
      <c r="BV130" s="304"/>
      <c r="BW130" s="304"/>
      <c r="BX130" s="304"/>
      <c r="BY130" s="305"/>
      <c r="BZ130" s="308"/>
      <c r="CA130" s="307"/>
      <c r="CB130" s="307"/>
      <c r="CC130" s="309">
        <v>1</v>
      </c>
      <c r="CD130" s="307"/>
      <c r="CE130" s="307"/>
      <c r="CF130" s="307"/>
      <c r="CG130" s="332"/>
      <c r="CH130" s="328"/>
      <c r="CI130" s="328"/>
      <c r="CJ130" s="328">
        <v>2</v>
      </c>
      <c r="CK130" s="328"/>
      <c r="CL130" s="328"/>
      <c r="CM130" s="328"/>
      <c r="CN130" s="370"/>
      <c r="CO130" s="367"/>
      <c r="CP130" s="367"/>
      <c r="CQ130" s="367">
        <v>10</v>
      </c>
      <c r="CR130" s="367"/>
      <c r="CS130" s="387"/>
      <c r="CT130" s="398"/>
      <c r="CU130" s="399"/>
      <c r="CV130" s="399"/>
      <c r="CW130" s="399">
        <v>1</v>
      </c>
      <c r="CX130" s="399"/>
      <c r="CY130" s="399"/>
      <c r="CZ130" s="399"/>
      <c r="DA130" s="400"/>
      <c r="DB130" s="522">
        <v>1</v>
      </c>
    </row>
    <row r="131" spans="1:106" x14ac:dyDescent="0.25">
      <c r="A131" s="468" t="s">
        <v>208</v>
      </c>
      <c r="B131" s="468">
        <v>815</v>
      </c>
      <c r="C131" s="468" t="s">
        <v>1974</v>
      </c>
      <c r="D131" s="468">
        <v>864</v>
      </c>
      <c r="E131" s="468" t="s">
        <v>1975</v>
      </c>
      <c r="F131" s="468" t="s">
        <v>1976</v>
      </c>
      <c r="G131" s="468" t="s">
        <v>1977</v>
      </c>
      <c r="H131" s="468" t="s">
        <v>1523</v>
      </c>
      <c r="I131" s="468" t="s">
        <v>213</v>
      </c>
      <c r="J131" s="468" t="s">
        <v>3288</v>
      </c>
      <c r="K131" s="468" t="s">
        <v>1978</v>
      </c>
      <c r="L131" s="468" t="s">
        <v>3737</v>
      </c>
      <c r="M131" s="468" t="s">
        <v>4022</v>
      </c>
      <c r="N131" s="460">
        <v>0</v>
      </c>
      <c r="O131" s="294"/>
      <c r="P131" s="294"/>
      <c r="Q131" s="294"/>
      <c r="R131" s="294"/>
      <c r="S131" s="295"/>
      <c r="T131" s="299"/>
      <c r="U131" s="297"/>
      <c r="V131" s="297"/>
      <c r="W131" s="297"/>
      <c r="X131" s="297">
        <v>1</v>
      </c>
      <c r="Y131" s="297"/>
      <c r="Z131" s="297"/>
      <c r="AA131" s="297"/>
      <c r="AB131" s="293">
        <v>0</v>
      </c>
      <c r="AC131" s="294"/>
      <c r="AD131" s="295"/>
      <c r="AE131" s="298"/>
      <c r="AF131" s="296">
        <v>0</v>
      </c>
      <c r="AG131" s="297"/>
      <c r="AH131" s="297"/>
      <c r="AI131" s="297"/>
      <c r="AJ131" s="297"/>
      <c r="AK131" s="297"/>
      <c r="AL131" s="297"/>
      <c r="AM131" s="297"/>
      <c r="AN131" s="300"/>
      <c r="AO131" s="301"/>
      <c r="AP131" s="301"/>
      <c r="AQ131" s="301"/>
      <c r="AR131" s="301">
        <v>1500</v>
      </c>
      <c r="AS131" s="301"/>
      <c r="AT131" s="301"/>
      <c r="AU131" s="301"/>
      <c r="AV131" s="301"/>
      <c r="AW131" s="301"/>
      <c r="AX131" s="301"/>
      <c r="AY131" s="301"/>
      <c r="AZ131" s="301"/>
      <c r="BA131" s="301"/>
      <c r="BB131" s="301"/>
      <c r="BC131" s="301"/>
      <c r="BD131" s="301"/>
      <c r="BE131" s="301"/>
      <c r="BF131" s="302"/>
      <c r="BG131" s="303"/>
      <c r="BH131" s="304"/>
      <c r="BI131" s="304"/>
      <c r="BJ131" s="304"/>
      <c r="BK131" s="304">
        <v>10</v>
      </c>
      <c r="BL131" s="304"/>
      <c r="BM131" s="304"/>
      <c r="BN131" s="304"/>
      <c r="BO131" s="304"/>
      <c r="BP131" s="304"/>
      <c r="BQ131" s="304"/>
      <c r="BR131" s="304"/>
      <c r="BS131" s="304"/>
      <c r="BT131" s="304"/>
      <c r="BU131" s="304"/>
      <c r="BV131" s="304"/>
      <c r="BW131" s="304"/>
      <c r="BX131" s="304"/>
      <c r="BY131" s="305"/>
      <c r="BZ131" s="306"/>
      <c r="CA131" s="307"/>
      <c r="CB131" s="307"/>
      <c r="CC131" s="307"/>
      <c r="CD131" s="307"/>
      <c r="CE131" s="307"/>
      <c r="CF131" s="307"/>
      <c r="CG131" s="332"/>
      <c r="CH131" s="328"/>
      <c r="CI131" s="328"/>
      <c r="CJ131" s="328">
        <v>2</v>
      </c>
      <c r="CK131" s="328"/>
      <c r="CL131" s="328"/>
      <c r="CM131" s="328"/>
      <c r="CN131" s="370"/>
      <c r="CO131" s="367"/>
      <c r="CP131" s="367"/>
      <c r="CQ131" s="367">
        <v>10</v>
      </c>
      <c r="CR131" s="367"/>
      <c r="CS131" s="387"/>
      <c r="CT131" s="398"/>
      <c r="CU131" s="399"/>
      <c r="CV131" s="399"/>
      <c r="CW131" s="399">
        <v>1</v>
      </c>
      <c r="CX131" s="399"/>
      <c r="CY131" s="399"/>
      <c r="CZ131" s="399"/>
      <c r="DA131" s="400"/>
      <c r="DB131" s="522">
        <v>1</v>
      </c>
    </row>
    <row r="132" spans="1:106" x14ac:dyDescent="0.25">
      <c r="A132" s="468" t="s">
        <v>208</v>
      </c>
      <c r="B132" s="468">
        <v>815</v>
      </c>
      <c r="C132" s="468" t="s">
        <v>209</v>
      </c>
      <c r="D132" s="468">
        <v>865</v>
      </c>
      <c r="E132" s="468" t="s">
        <v>210</v>
      </c>
      <c r="F132" s="468" t="s">
        <v>1979</v>
      </c>
      <c r="G132" s="468" t="s">
        <v>211</v>
      </c>
      <c r="H132" s="468" t="s">
        <v>212</v>
      </c>
      <c r="I132" s="468" t="s">
        <v>213</v>
      </c>
      <c r="J132" s="468" t="s">
        <v>3289</v>
      </c>
      <c r="K132" s="468" t="s">
        <v>214</v>
      </c>
      <c r="L132" s="468" t="s">
        <v>3737</v>
      </c>
      <c r="M132" s="468" t="s">
        <v>4022</v>
      </c>
      <c r="N132" s="460">
        <v>0</v>
      </c>
      <c r="O132" s="294"/>
      <c r="P132" s="294"/>
      <c r="Q132" s="294"/>
      <c r="R132" s="294"/>
      <c r="S132" s="295"/>
      <c r="T132" s="299"/>
      <c r="U132" s="297"/>
      <c r="V132" s="297"/>
      <c r="W132" s="297"/>
      <c r="X132" s="297">
        <v>0</v>
      </c>
      <c r="Y132" s="297"/>
      <c r="Z132" s="297"/>
      <c r="AA132" s="297"/>
      <c r="AB132" s="293">
        <v>0</v>
      </c>
      <c r="AC132" s="294"/>
      <c r="AD132" s="295"/>
      <c r="AE132" s="298"/>
      <c r="AF132" s="299"/>
      <c r="AG132" s="297"/>
      <c r="AH132" s="297"/>
      <c r="AI132" s="297">
        <v>1</v>
      </c>
      <c r="AJ132" s="297"/>
      <c r="AK132" s="297"/>
      <c r="AL132" s="297"/>
      <c r="AM132" s="297"/>
      <c r="AN132" s="300"/>
      <c r="AO132" s="301"/>
      <c r="AP132" s="301"/>
      <c r="AQ132" s="301"/>
      <c r="AR132" s="301">
        <v>1500</v>
      </c>
      <c r="AS132" s="301"/>
      <c r="AT132" s="301"/>
      <c r="AU132" s="301"/>
      <c r="AV132" s="301"/>
      <c r="AW132" s="301"/>
      <c r="AX132" s="301"/>
      <c r="AY132" s="301"/>
      <c r="AZ132" s="301"/>
      <c r="BA132" s="301"/>
      <c r="BB132" s="301"/>
      <c r="BC132" s="301"/>
      <c r="BD132" s="301"/>
      <c r="BE132" s="301"/>
      <c r="BF132" s="302"/>
      <c r="BG132" s="303"/>
      <c r="BH132" s="304"/>
      <c r="BI132" s="304"/>
      <c r="BJ132" s="304"/>
      <c r="BK132" s="304">
        <v>10</v>
      </c>
      <c r="BL132" s="304"/>
      <c r="BM132" s="304"/>
      <c r="BN132" s="304"/>
      <c r="BO132" s="304"/>
      <c r="BP132" s="304"/>
      <c r="BQ132" s="304"/>
      <c r="BR132" s="304"/>
      <c r="BS132" s="304"/>
      <c r="BT132" s="304"/>
      <c r="BU132" s="304"/>
      <c r="BV132" s="304"/>
      <c r="BW132" s="304"/>
      <c r="BX132" s="304"/>
      <c r="BY132" s="305"/>
      <c r="BZ132" s="306"/>
      <c r="CA132" s="307"/>
      <c r="CB132" s="307"/>
      <c r="CC132" s="307"/>
      <c r="CD132" s="307"/>
      <c r="CE132" s="307"/>
      <c r="CF132" s="307"/>
      <c r="CG132" s="332"/>
      <c r="CH132" s="328"/>
      <c r="CI132" s="328"/>
      <c r="CJ132" s="328">
        <v>2</v>
      </c>
      <c r="CK132" s="328"/>
      <c r="CL132" s="328"/>
      <c r="CM132" s="328"/>
      <c r="CN132" s="370"/>
      <c r="CO132" s="367"/>
      <c r="CP132" s="367"/>
      <c r="CQ132" s="367">
        <v>10</v>
      </c>
      <c r="CR132" s="367"/>
      <c r="CS132" s="387"/>
      <c r="CT132" s="398"/>
      <c r="CU132" s="399"/>
      <c r="CV132" s="399"/>
      <c r="CW132" s="399">
        <v>1</v>
      </c>
      <c r="CX132" s="399"/>
      <c r="CY132" s="399"/>
      <c r="CZ132" s="399"/>
      <c r="DA132" s="400"/>
      <c r="DB132" s="522">
        <v>1</v>
      </c>
    </row>
    <row r="133" spans="1:106" x14ac:dyDescent="0.25">
      <c r="A133" s="468" t="s">
        <v>208</v>
      </c>
      <c r="B133" s="468">
        <v>815</v>
      </c>
      <c r="C133" s="468" t="s">
        <v>1980</v>
      </c>
      <c r="D133" s="468">
        <v>866</v>
      </c>
      <c r="E133" s="468" t="s">
        <v>1981</v>
      </c>
      <c r="F133" s="468" t="s">
        <v>1982</v>
      </c>
      <c r="G133" s="468" t="s">
        <v>1983</v>
      </c>
      <c r="H133" s="468" t="s">
        <v>1595</v>
      </c>
      <c r="I133" s="468" t="s">
        <v>213</v>
      </c>
      <c r="J133" s="468" t="s">
        <v>3290</v>
      </c>
      <c r="K133" s="468" t="s">
        <v>1984</v>
      </c>
      <c r="L133" s="468" t="s">
        <v>3737</v>
      </c>
      <c r="M133" s="468" t="s">
        <v>4022</v>
      </c>
      <c r="N133" s="460">
        <v>0</v>
      </c>
      <c r="O133" s="294"/>
      <c r="P133" s="294"/>
      <c r="Q133" s="294"/>
      <c r="R133" s="294"/>
      <c r="S133" s="295"/>
      <c r="T133" s="299"/>
      <c r="U133" s="297"/>
      <c r="V133" s="297"/>
      <c r="W133" s="297"/>
      <c r="X133" s="297">
        <v>0</v>
      </c>
      <c r="Y133" s="297"/>
      <c r="Z133" s="297"/>
      <c r="AA133" s="297"/>
      <c r="AB133" s="293">
        <v>0</v>
      </c>
      <c r="AC133" s="294"/>
      <c r="AD133" s="295"/>
      <c r="AE133" s="298"/>
      <c r="AF133" s="299"/>
      <c r="AG133" s="297"/>
      <c r="AH133" s="297"/>
      <c r="AI133" s="297">
        <v>1</v>
      </c>
      <c r="AJ133" s="297"/>
      <c r="AK133" s="297"/>
      <c r="AL133" s="297"/>
      <c r="AM133" s="297"/>
      <c r="AN133" s="300"/>
      <c r="AO133" s="301"/>
      <c r="AP133" s="301"/>
      <c r="AQ133" s="301"/>
      <c r="AR133" s="301">
        <v>1500</v>
      </c>
      <c r="AS133" s="301"/>
      <c r="AT133" s="301"/>
      <c r="AU133" s="301"/>
      <c r="AV133" s="301"/>
      <c r="AW133" s="301"/>
      <c r="AX133" s="301"/>
      <c r="AY133" s="301"/>
      <c r="AZ133" s="301"/>
      <c r="BA133" s="301"/>
      <c r="BB133" s="301"/>
      <c r="BC133" s="301"/>
      <c r="BD133" s="301"/>
      <c r="BE133" s="301"/>
      <c r="BF133" s="302"/>
      <c r="BG133" s="303"/>
      <c r="BH133" s="304"/>
      <c r="BI133" s="304"/>
      <c r="BJ133" s="304"/>
      <c r="BK133" s="304">
        <v>10</v>
      </c>
      <c r="BL133" s="304"/>
      <c r="BM133" s="304"/>
      <c r="BN133" s="304"/>
      <c r="BO133" s="304"/>
      <c r="BP133" s="304"/>
      <c r="BQ133" s="304"/>
      <c r="BR133" s="304"/>
      <c r="BS133" s="304"/>
      <c r="BT133" s="304"/>
      <c r="BU133" s="304"/>
      <c r="BV133" s="304"/>
      <c r="BW133" s="304"/>
      <c r="BX133" s="304"/>
      <c r="BY133" s="305"/>
      <c r="BZ133" s="306"/>
      <c r="CA133" s="307"/>
      <c r="CB133" s="307"/>
      <c r="CC133" s="307"/>
      <c r="CD133" s="307"/>
      <c r="CE133" s="307"/>
      <c r="CF133" s="307"/>
      <c r="CG133" s="332"/>
      <c r="CH133" s="328"/>
      <c r="CI133" s="328"/>
      <c r="CJ133" s="328">
        <v>2</v>
      </c>
      <c r="CK133" s="328"/>
      <c r="CL133" s="328"/>
      <c r="CM133" s="328"/>
      <c r="CN133" s="370"/>
      <c r="CO133" s="367"/>
      <c r="CP133" s="367"/>
      <c r="CQ133" s="367">
        <v>10</v>
      </c>
      <c r="CR133" s="367"/>
      <c r="CS133" s="387"/>
      <c r="CT133" s="398"/>
      <c r="CU133" s="399"/>
      <c r="CV133" s="399"/>
      <c r="CW133" s="399">
        <v>1</v>
      </c>
      <c r="CX133" s="399"/>
      <c r="CY133" s="399"/>
      <c r="CZ133" s="399"/>
      <c r="DA133" s="400"/>
      <c r="DB133" s="522">
        <v>1</v>
      </c>
    </row>
    <row r="134" spans="1:106" x14ac:dyDescent="0.25">
      <c r="A134" s="468" t="s">
        <v>208</v>
      </c>
      <c r="B134" s="468">
        <v>815</v>
      </c>
      <c r="C134" s="468" t="s">
        <v>1990</v>
      </c>
      <c r="D134" s="468">
        <v>868</v>
      </c>
      <c r="E134" s="468" t="s">
        <v>1991</v>
      </c>
      <c r="F134" s="468" t="s">
        <v>1992</v>
      </c>
      <c r="G134" s="468" t="s">
        <v>1993</v>
      </c>
      <c r="H134" s="468" t="s">
        <v>333</v>
      </c>
      <c r="I134" s="468" t="s">
        <v>213</v>
      </c>
      <c r="J134" s="468" t="s">
        <v>3292</v>
      </c>
      <c r="K134" s="468" t="s">
        <v>1994</v>
      </c>
      <c r="L134" s="468" t="s">
        <v>3737</v>
      </c>
      <c r="M134" s="468" t="s">
        <v>4022</v>
      </c>
      <c r="N134" s="460">
        <v>0</v>
      </c>
      <c r="O134" s="294"/>
      <c r="P134" s="294"/>
      <c r="Q134" s="294"/>
      <c r="R134" s="294"/>
      <c r="S134" s="295"/>
      <c r="T134" s="299"/>
      <c r="U134" s="297"/>
      <c r="V134" s="297"/>
      <c r="W134" s="297"/>
      <c r="X134" s="297">
        <v>2</v>
      </c>
      <c r="Y134" s="297"/>
      <c r="Z134" s="297"/>
      <c r="AA134" s="297"/>
      <c r="AB134" s="293">
        <v>0</v>
      </c>
      <c r="AC134" s="294"/>
      <c r="AD134" s="295"/>
      <c r="AE134" s="298"/>
      <c r="AF134" s="296">
        <v>0</v>
      </c>
      <c r="AG134" s="297"/>
      <c r="AH134" s="297"/>
      <c r="AI134" s="297"/>
      <c r="AJ134" s="297"/>
      <c r="AK134" s="297"/>
      <c r="AL134" s="297"/>
      <c r="AM134" s="297"/>
      <c r="AN134" s="300"/>
      <c r="AO134" s="301"/>
      <c r="AP134" s="301"/>
      <c r="AQ134" s="301"/>
      <c r="AR134" s="301">
        <v>1500</v>
      </c>
      <c r="AS134" s="301"/>
      <c r="AT134" s="301"/>
      <c r="AU134" s="301"/>
      <c r="AV134" s="301"/>
      <c r="AW134" s="301"/>
      <c r="AX134" s="301"/>
      <c r="AY134" s="301"/>
      <c r="AZ134" s="301"/>
      <c r="BA134" s="301"/>
      <c r="BB134" s="301"/>
      <c r="BC134" s="301"/>
      <c r="BD134" s="301"/>
      <c r="BE134" s="301"/>
      <c r="BF134" s="302"/>
      <c r="BG134" s="303"/>
      <c r="BH134" s="304"/>
      <c r="BI134" s="304"/>
      <c r="BJ134" s="304"/>
      <c r="BK134" s="304">
        <v>10</v>
      </c>
      <c r="BL134" s="304"/>
      <c r="BM134" s="304"/>
      <c r="BN134" s="304"/>
      <c r="BO134" s="304"/>
      <c r="BP134" s="304"/>
      <c r="BQ134" s="304"/>
      <c r="BR134" s="304"/>
      <c r="BS134" s="304"/>
      <c r="BT134" s="304"/>
      <c r="BU134" s="304"/>
      <c r="BV134" s="304"/>
      <c r="BW134" s="304"/>
      <c r="BX134" s="304"/>
      <c r="BY134" s="305"/>
      <c r="BZ134" s="306"/>
      <c r="CA134" s="307"/>
      <c r="CB134" s="307"/>
      <c r="CC134" s="307"/>
      <c r="CD134" s="307"/>
      <c r="CE134" s="307"/>
      <c r="CF134" s="307"/>
      <c r="CG134" s="332"/>
      <c r="CH134" s="328"/>
      <c r="CI134" s="328"/>
      <c r="CJ134" s="328">
        <v>2</v>
      </c>
      <c r="CK134" s="328"/>
      <c r="CL134" s="328"/>
      <c r="CM134" s="328"/>
      <c r="CN134" s="370"/>
      <c r="CO134" s="367"/>
      <c r="CP134" s="367"/>
      <c r="CQ134" s="367">
        <v>10</v>
      </c>
      <c r="CR134" s="367"/>
      <c r="CS134" s="387"/>
      <c r="CT134" s="398"/>
      <c r="CU134" s="399"/>
      <c r="CV134" s="399"/>
      <c r="CW134" s="399">
        <v>1</v>
      </c>
      <c r="CX134" s="399"/>
      <c r="CY134" s="399"/>
      <c r="CZ134" s="399"/>
      <c r="DA134" s="400"/>
      <c r="DB134" s="522">
        <v>1</v>
      </c>
    </row>
    <row r="135" spans="1:106" x14ac:dyDescent="0.25">
      <c r="A135" s="468" t="s">
        <v>120</v>
      </c>
      <c r="B135" s="468">
        <v>806</v>
      </c>
      <c r="C135" s="468" t="s">
        <v>2066</v>
      </c>
      <c r="D135" s="468">
        <v>398</v>
      </c>
      <c r="E135" s="468" t="s">
        <v>2067</v>
      </c>
      <c r="F135" s="468" t="s">
        <v>2068</v>
      </c>
      <c r="G135" s="468" t="s">
        <v>2069</v>
      </c>
      <c r="H135" s="468" t="s">
        <v>124</v>
      </c>
      <c r="I135" s="468" t="s">
        <v>39</v>
      </c>
      <c r="J135" s="468" t="s">
        <v>3174</v>
      </c>
      <c r="K135" s="468" t="s">
        <v>2070</v>
      </c>
      <c r="L135" s="468" t="s">
        <v>3775</v>
      </c>
      <c r="M135" s="468" t="s">
        <v>3776</v>
      </c>
      <c r="N135" s="460">
        <v>0</v>
      </c>
      <c r="O135" s="294"/>
      <c r="P135" s="294"/>
      <c r="Q135" s="294"/>
      <c r="R135" s="294"/>
      <c r="S135" s="295"/>
      <c r="T135" s="296">
        <v>0</v>
      </c>
      <c r="U135" s="297"/>
      <c r="V135" s="297"/>
      <c r="W135" s="297"/>
      <c r="X135" s="297"/>
      <c r="Y135" s="297"/>
      <c r="Z135" s="297"/>
      <c r="AA135" s="297"/>
      <c r="AB135" s="293">
        <v>0</v>
      </c>
      <c r="AC135" s="294"/>
      <c r="AD135" s="295"/>
      <c r="AE135" s="298"/>
      <c r="AF135" s="296">
        <v>0</v>
      </c>
      <c r="AG135" s="297"/>
      <c r="AH135" s="297"/>
      <c r="AI135" s="297"/>
      <c r="AJ135" s="297"/>
      <c r="AK135" s="297"/>
      <c r="AL135" s="297"/>
      <c r="AM135" s="297"/>
      <c r="AN135" s="300"/>
      <c r="AO135" s="301"/>
      <c r="AP135" s="301"/>
      <c r="AQ135" s="301"/>
      <c r="AR135" s="301"/>
      <c r="AS135" s="301"/>
      <c r="AT135" s="301"/>
      <c r="AU135" s="301"/>
      <c r="AV135" s="301"/>
      <c r="AW135" s="301"/>
      <c r="AX135" s="301"/>
      <c r="AY135" s="301"/>
      <c r="AZ135" s="301"/>
      <c r="BA135" s="301"/>
      <c r="BB135" s="301"/>
      <c r="BC135" s="301"/>
      <c r="BD135" s="301">
        <v>1500</v>
      </c>
      <c r="BE135" s="301"/>
      <c r="BF135" s="302"/>
      <c r="BG135" s="303"/>
      <c r="BH135" s="304"/>
      <c r="BI135" s="304"/>
      <c r="BJ135" s="304"/>
      <c r="BK135" s="304"/>
      <c r="BL135" s="304"/>
      <c r="BM135" s="304"/>
      <c r="BN135" s="304"/>
      <c r="BO135" s="304"/>
      <c r="BP135" s="304"/>
      <c r="BQ135" s="304"/>
      <c r="BR135" s="304"/>
      <c r="BS135" s="304"/>
      <c r="BT135" s="304"/>
      <c r="BU135" s="304"/>
      <c r="BV135" s="304"/>
      <c r="BW135" s="304">
        <v>10</v>
      </c>
      <c r="BX135" s="304"/>
      <c r="BY135" s="305"/>
      <c r="BZ135" s="308"/>
      <c r="CA135" s="307"/>
      <c r="CB135" s="307"/>
      <c r="CC135" s="307"/>
      <c r="CD135" s="309">
        <v>1</v>
      </c>
      <c r="CE135" s="307"/>
      <c r="CF135" s="307"/>
      <c r="CG135" s="332"/>
      <c r="CH135" s="328"/>
      <c r="CI135" s="328"/>
      <c r="CJ135" s="328"/>
      <c r="CK135" s="328">
        <v>2</v>
      </c>
      <c r="CL135" s="328"/>
      <c r="CM135" s="328"/>
      <c r="CN135" s="370"/>
      <c r="CO135" s="367"/>
      <c r="CP135" s="367"/>
      <c r="CQ135" s="367"/>
      <c r="CR135" s="378">
        <v>10</v>
      </c>
      <c r="CS135" s="387"/>
      <c r="CT135" s="398"/>
      <c r="CU135" s="399"/>
      <c r="CV135" s="399"/>
      <c r="CW135" s="399"/>
      <c r="CX135" s="399"/>
      <c r="CY135" s="399">
        <v>1</v>
      </c>
      <c r="CZ135" s="399"/>
      <c r="DA135" s="400"/>
      <c r="DB135" s="522">
        <v>1</v>
      </c>
    </row>
    <row r="136" spans="1:106" x14ac:dyDescent="0.25">
      <c r="A136" s="468" t="s">
        <v>120</v>
      </c>
      <c r="B136" s="468">
        <v>806</v>
      </c>
      <c r="C136" s="468" t="s">
        <v>2071</v>
      </c>
      <c r="D136" s="468">
        <v>399</v>
      </c>
      <c r="E136" s="468" t="s">
        <v>2072</v>
      </c>
      <c r="F136" s="468" t="s">
        <v>2073</v>
      </c>
      <c r="G136" s="468" t="s">
        <v>2074</v>
      </c>
      <c r="H136" s="468" t="s">
        <v>124</v>
      </c>
      <c r="I136" s="468" t="s">
        <v>39</v>
      </c>
      <c r="J136" s="468" t="s">
        <v>3172</v>
      </c>
      <c r="K136" s="468" t="s">
        <v>2075</v>
      </c>
      <c r="L136" s="468" t="s">
        <v>3775</v>
      </c>
      <c r="M136" s="468" t="s">
        <v>3776</v>
      </c>
      <c r="N136" s="460">
        <v>0</v>
      </c>
      <c r="O136" s="294"/>
      <c r="P136" s="294"/>
      <c r="Q136" s="294"/>
      <c r="R136" s="294"/>
      <c r="S136" s="295"/>
      <c r="T136" s="299"/>
      <c r="U136" s="297"/>
      <c r="V136" s="297"/>
      <c r="W136" s="297"/>
      <c r="X136" s="297"/>
      <c r="Y136" s="297">
        <v>2</v>
      </c>
      <c r="Z136" s="297"/>
      <c r="AA136" s="297"/>
      <c r="AB136" s="293">
        <v>0</v>
      </c>
      <c r="AC136" s="294"/>
      <c r="AD136" s="295"/>
      <c r="AE136" s="298"/>
      <c r="AF136" s="296">
        <v>0</v>
      </c>
      <c r="AG136" s="297"/>
      <c r="AH136" s="297"/>
      <c r="AI136" s="297"/>
      <c r="AJ136" s="297"/>
      <c r="AK136" s="297"/>
      <c r="AL136" s="297"/>
      <c r="AM136" s="297"/>
      <c r="AN136" s="300"/>
      <c r="AO136" s="301"/>
      <c r="AP136" s="301"/>
      <c r="AQ136" s="301"/>
      <c r="AR136" s="301"/>
      <c r="AS136" s="301"/>
      <c r="AT136" s="301"/>
      <c r="AU136" s="301"/>
      <c r="AV136" s="301"/>
      <c r="AW136" s="301"/>
      <c r="AX136" s="301"/>
      <c r="AY136" s="301"/>
      <c r="AZ136" s="301"/>
      <c r="BA136" s="301"/>
      <c r="BB136" s="301"/>
      <c r="BC136" s="301"/>
      <c r="BD136" s="301">
        <v>1500</v>
      </c>
      <c r="BE136" s="301"/>
      <c r="BF136" s="302"/>
      <c r="BG136" s="303"/>
      <c r="BH136" s="304"/>
      <c r="BI136" s="304"/>
      <c r="BJ136" s="304"/>
      <c r="BK136" s="304"/>
      <c r="BL136" s="304"/>
      <c r="BM136" s="304"/>
      <c r="BN136" s="304"/>
      <c r="BO136" s="304"/>
      <c r="BP136" s="304"/>
      <c r="BQ136" s="304"/>
      <c r="BR136" s="304"/>
      <c r="BS136" s="304"/>
      <c r="BT136" s="304"/>
      <c r="BU136" s="304"/>
      <c r="BV136" s="304"/>
      <c r="BW136" s="304">
        <v>10</v>
      </c>
      <c r="BX136" s="304"/>
      <c r="BY136" s="305"/>
      <c r="BZ136" s="306"/>
      <c r="CA136" s="307"/>
      <c r="CB136" s="307"/>
      <c r="CC136" s="307"/>
      <c r="CD136" s="307"/>
      <c r="CE136" s="307"/>
      <c r="CF136" s="307"/>
      <c r="CG136" s="332"/>
      <c r="CH136" s="328"/>
      <c r="CI136" s="328"/>
      <c r="CJ136" s="328"/>
      <c r="CK136" s="328">
        <v>2</v>
      </c>
      <c r="CL136" s="328"/>
      <c r="CM136" s="328"/>
      <c r="CN136" s="370"/>
      <c r="CO136" s="367"/>
      <c r="CP136" s="367"/>
      <c r="CQ136" s="367"/>
      <c r="CR136" s="378">
        <v>10</v>
      </c>
      <c r="CS136" s="387"/>
      <c r="CT136" s="398"/>
      <c r="CU136" s="399"/>
      <c r="CV136" s="399"/>
      <c r="CW136" s="399"/>
      <c r="CX136" s="399"/>
      <c r="CY136" s="399">
        <v>1</v>
      </c>
      <c r="CZ136" s="399"/>
      <c r="DA136" s="400"/>
      <c r="DB136" s="522">
        <v>1</v>
      </c>
    </row>
    <row r="137" spans="1:106" x14ac:dyDescent="0.25">
      <c r="A137" s="468" t="s">
        <v>120</v>
      </c>
      <c r="B137" s="468">
        <v>806</v>
      </c>
      <c r="C137" s="468" t="s">
        <v>3498</v>
      </c>
      <c r="D137" s="468">
        <v>1394</v>
      </c>
      <c r="E137" s="468" t="s">
        <v>2008</v>
      </c>
      <c r="F137" s="468" t="s">
        <v>2009</v>
      </c>
      <c r="G137" s="468" t="s">
        <v>2010</v>
      </c>
      <c r="H137" s="468" t="s">
        <v>124</v>
      </c>
      <c r="I137" s="468" t="s">
        <v>39</v>
      </c>
      <c r="J137" s="468" t="s">
        <v>3499</v>
      </c>
      <c r="K137" s="468" t="s">
        <v>2011</v>
      </c>
      <c r="L137" s="468" t="s">
        <v>3775</v>
      </c>
      <c r="M137" s="468" t="s">
        <v>3776</v>
      </c>
      <c r="N137" s="461"/>
      <c r="O137" s="294"/>
      <c r="P137" s="294"/>
      <c r="Q137" s="294"/>
      <c r="R137" s="294"/>
      <c r="S137" s="295">
        <v>1</v>
      </c>
      <c r="T137" s="299"/>
      <c r="U137" s="297"/>
      <c r="V137" s="297"/>
      <c r="W137" s="297"/>
      <c r="X137" s="297"/>
      <c r="Y137" s="297"/>
      <c r="Z137" s="297"/>
      <c r="AA137" s="297"/>
      <c r="AB137" s="293"/>
      <c r="AC137" s="294"/>
      <c r="AD137" s="295"/>
      <c r="AE137" s="298"/>
      <c r="AF137" s="296"/>
      <c r="AG137" s="297"/>
      <c r="AH137" s="297"/>
      <c r="AI137" s="297"/>
      <c r="AJ137" s="297"/>
      <c r="AK137" s="297"/>
      <c r="AL137" s="297"/>
      <c r="AM137" s="297"/>
      <c r="AN137" s="300"/>
      <c r="AO137" s="301"/>
      <c r="AP137" s="301"/>
      <c r="AQ137" s="301"/>
      <c r="AR137" s="301"/>
      <c r="AS137" s="301"/>
      <c r="AT137" s="301"/>
      <c r="AU137" s="301"/>
      <c r="AV137" s="301"/>
      <c r="AW137" s="301"/>
      <c r="AX137" s="301"/>
      <c r="AY137" s="301"/>
      <c r="AZ137" s="301"/>
      <c r="BA137" s="301"/>
      <c r="BB137" s="301"/>
      <c r="BC137" s="301"/>
      <c r="BD137" s="301">
        <v>1500</v>
      </c>
      <c r="BE137" s="301"/>
      <c r="BF137" s="302"/>
      <c r="BG137" s="303"/>
      <c r="BH137" s="304"/>
      <c r="BI137" s="304"/>
      <c r="BJ137" s="304"/>
      <c r="BK137" s="304"/>
      <c r="BL137" s="304"/>
      <c r="BM137" s="304"/>
      <c r="BN137" s="304"/>
      <c r="BO137" s="304"/>
      <c r="BP137" s="304"/>
      <c r="BQ137" s="304"/>
      <c r="BR137" s="304"/>
      <c r="BS137" s="304"/>
      <c r="BT137" s="304"/>
      <c r="BU137" s="304"/>
      <c r="BV137" s="304"/>
      <c r="BW137" s="304">
        <v>10</v>
      </c>
      <c r="BX137" s="304"/>
      <c r="BY137" s="305"/>
      <c r="BZ137" s="306"/>
      <c r="CA137" s="307"/>
      <c r="CB137" s="307"/>
      <c r="CC137" s="307"/>
      <c r="CD137" s="307"/>
      <c r="CE137" s="307"/>
      <c r="CF137" s="307"/>
      <c r="CG137" s="332"/>
      <c r="CH137" s="328"/>
      <c r="CI137" s="328"/>
      <c r="CJ137" s="328"/>
      <c r="CK137" s="328">
        <v>2</v>
      </c>
      <c r="CL137" s="328"/>
      <c r="CM137" s="328"/>
      <c r="CN137" s="370"/>
      <c r="CO137" s="367"/>
      <c r="CP137" s="367"/>
      <c r="CQ137" s="367"/>
      <c r="CR137" s="378">
        <v>10</v>
      </c>
      <c r="CS137" s="387"/>
      <c r="CT137" s="398"/>
      <c r="CU137" s="399"/>
      <c r="CV137" s="399"/>
      <c r="CW137" s="399"/>
      <c r="CX137" s="399"/>
      <c r="CY137" s="399">
        <v>1</v>
      </c>
      <c r="CZ137" s="399"/>
      <c r="DA137" s="400"/>
      <c r="DB137" s="522">
        <v>1</v>
      </c>
    </row>
    <row r="138" spans="1:106" x14ac:dyDescent="0.25">
      <c r="A138" s="468" t="s">
        <v>120</v>
      </c>
      <c r="B138" s="468">
        <v>806</v>
      </c>
      <c r="C138" s="468" t="s">
        <v>3500</v>
      </c>
      <c r="D138" s="468">
        <v>1395</v>
      </c>
      <c r="E138" s="468" t="s">
        <v>2012</v>
      </c>
      <c r="F138" s="468" t="s">
        <v>2013</v>
      </c>
      <c r="G138" s="468" t="s">
        <v>2014</v>
      </c>
      <c r="H138" s="468" t="s">
        <v>2015</v>
      </c>
      <c r="I138" s="468" t="s">
        <v>39</v>
      </c>
      <c r="J138" s="468" t="s">
        <v>3173</v>
      </c>
      <c r="K138" s="468" t="s">
        <v>2016</v>
      </c>
      <c r="L138" s="468" t="s">
        <v>3775</v>
      </c>
      <c r="M138" s="468" t="s">
        <v>3776</v>
      </c>
      <c r="N138" s="461"/>
      <c r="O138" s="294"/>
      <c r="P138" s="294"/>
      <c r="Q138" s="294"/>
      <c r="R138" s="294"/>
      <c r="S138" s="295">
        <v>0</v>
      </c>
      <c r="T138" s="299"/>
      <c r="U138" s="297"/>
      <c r="V138" s="297"/>
      <c r="W138" s="297"/>
      <c r="X138" s="297"/>
      <c r="Y138" s="297">
        <v>1</v>
      </c>
      <c r="Z138" s="297"/>
      <c r="AA138" s="297"/>
      <c r="AB138" s="293">
        <v>0</v>
      </c>
      <c r="AC138" s="294"/>
      <c r="AD138" s="295"/>
      <c r="AE138" s="298"/>
      <c r="AF138" s="296">
        <v>0</v>
      </c>
      <c r="AG138" s="297"/>
      <c r="AH138" s="297"/>
      <c r="AI138" s="297"/>
      <c r="AJ138" s="297"/>
      <c r="AK138" s="297"/>
      <c r="AL138" s="297"/>
      <c r="AM138" s="297"/>
      <c r="AN138" s="300"/>
      <c r="AO138" s="301"/>
      <c r="AP138" s="301"/>
      <c r="AQ138" s="301"/>
      <c r="AR138" s="301"/>
      <c r="AS138" s="301"/>
      <c r="AT138" s="301"/>
      <c r="AU138" s="301"/>
      <c r="AV138" s="301"/>
      <c r="AW138" s="301"/>
      <c r="AX138" s="301"/>
      <c r="AY138" s="301"/>
      <c r="AZ138" s="301"/>
      <c r="BA138" s="301"/>
      <c r="BB138" s="301"/>
      <c r="BC138" s="301"/>
      <c r="BD138" s="301">
        <v>1500</v>
      </c>
      <c r="BE138" s="301"/>
      <c r="BF138" s="302"/>
      <c r="BG138" s="303"/>
      <c r="BH138" s="304"/>
      <c r="BI138" s="304"/>
      <c r="BJ138" s="304"/>
      <c r="BK138" s="304"/>
      <c r="BL138" s="304"/>
      <c r="BM138" s="304"/>
      <c r="BN138" s="304"/>
      <c r="BO138" s="304"/>
      <c r="BP138" s="304"/>
      <c r="BQ138" s="304"/>
      <c r="BR138" s="304"/>
      <c r="BS138" s="304"/>
      <c r="BT138" s="304"/>
      <c r="BU138" s="304"/>
      <c r="BV138" s="304"/>
      <c r="BW138" s="304">
        <v>10</v>
      </c>
      <c r="BX138" s="304"/>
      <c r="BY138" s="305"/>
      <c r="BZ138" s="306"/>
      <c r="CA138" s="307"/>
      <c r="CB138" s="307"/>
      <c r="CC138" s="307"/>
      <c r="CD138" s="307"/>
      <c r="CE138" s="307"/>
      <c r="CF138" s="307"/>
      <c r="CG138" s="332"/>
      <c r="CH138" s="328"/>
      <c r="CI138" s="328"/>
      <c r="CJ138" s="328"/>
      <c r="CK138" s="328">
        <v>2</v>
      </c>
      <c r="CL138" s="328"/>
      <c r="CM138" s="328"/>
      <c r="CN138" s="370"/>
      <c r="CO138" s="367"/>
      <c r="CP138" s="367"/>
      <c r="CQ138" s="367"/>
      <c r="CR138" s="378">
        <v>10</v>
      </c>
      <c r="CS138" s="387"/>
      <c r="CT138" s="398"/>
      <c r="CU138" s="399"/>
      <c r="CV138" s="399"/>
      <c r="CW138" s="399"/>
      <c r="CX138" s="399"/>
      <c r="CY138" s="399">
        <v>1</v>
      </c>
      <c r="CZ138" s="399"/>
      <c r="DA138" s="400"/>
      <c r="DB138" s="522">
        <v>1</v>
      </c>
    </row>
    <row r="139" spans="1:106" x14ac:dyDescent="0.25">
      <c r="A139" s="468" t="s">
        <v>120</v>
      </c>
      <c r="B139" s="468">
        <v>806</v>
      </c>
      <c r="C139" s="468" t="s">
        <v>3671</v>
      </c>
      <c r="D139" s="468">
        <v>2502</v>
      </c>
      <c r="E139" s="468" t="s">
        <v>2017</v>
      </c>
      <c r="F139" s="468" t="s">
        <v>2018</v>
      </c>
      <c r="G139" s="468" t="s">
        <v>2019</v>
      </c>
      <c r="H139" s="468" t="s">
        <v>124</v>
      </c>
      <c r="I139" s="468" t="s">
        <v>39</v>
      </c>
      <c r="J139" s="468" t="s">
        <v>3178</v>
      </c>
      <c r="K139" s="468" t="s">
        <v>2020</v>
      </c>
      <c r="L139" s="468" t="s">
        <v>3775</v>
      </c>
      <c r="M139" s="468" t="s">
        <v>3776</v>
      </c>
      <c r="N139" s="461"/>
      <c r="O139" s="294"/>
      <c r="P139" s="294"/>
      <c r="Q139" s="294"/>
      <c r="R139" s="294"/>
      <c r="S139" s="295">
        <v>1</v>
      </c>
      <c r="T139" s="299"/>
      <c r="U139" s="297"/>
      <c r="V139" s="297"/>
      <c r="W139" s="297"/>
      <c r="X139" s="297"/>
      <c r="Y139" s="297">
        <v>0</v>
      </c>
      <c r="Z139" s="297"/>
      <c r="AA139" s="297"/>
      <c r="AB139" s="293">
        <v>0</v>
      </c>
      <c r="AC139" s="294"/>
      <c r="AD139" s="295"/>
      <c r="AE139" s="298"/>
      <c r="AF139" s="296">
        <v>0</v>
      </c>
      <c r="AG139" s="297"/>
      <c r="AH139" s="297"/>
      <c r="AI139" s="297"/>
      <c r="AJ139" s="297"/>
      <c r="AK139" s="297"/>
      <c r="AL139" s="297"/>
      <c r="AM139" s="297"/>
      <c r="AN139" s="300"/>
      <c r="AO139" s="301"/>
      <c r="AP139" s="301"/>
      <c r="AQ139" s="301"/>
      <c r="AR139" s="301"/>
      <c r="AS139" s="301"/>
      <c r="AT139" s="301"/>
      <c r="AU139" s="301"/>
      <c r="AV139" s="301"/>
      <c r="AW139" s="301"/>
      <c r="AX139" s="301"/>
      <c r="AY139" s="301"/>
      <c r="AZ139" s="301"/>
      <c r="BA139" s="301"/>
      <c r="BB139" s="301"/>
      <c r="BC139" s="301"/>
      <c r="BD139" s="301">
        <v>1500</v>
      </c>
      <c r="BE139" s="301"/>
      <c r="BF139" s="302"/>
      <c r="BG139" s="303"/>
      <c r="BH139" s="304"/>
      <c r="BI139" s="304"/>
      <c r="BJ139" s="304"/>
      <c r="BK139" s="304"/>
      <c r="BL139" s="304"/>
      <c r="BM139" s="304"/>
      <c r="BN139" s="304"/>
      <c r="BO139" s="304"/>
      <c r="BP139" s="304"/>
      <c r="BQ139" s="304"/>
      <c r="BR139" s="304"/>
      <c r="BS139" s="304"/>
      <c r="BT139" s="304"/>
      <c r="BU139" s="304"/>
      <c r="BV139" s="304"/>
      <c r="BW139" s="304">
        <v>10</v>
      </c>
      <c r="BX139" s="304"/>
      <c r="BY139" s="305"/>
      <c r="BZ139" s="306"/>
      <c r="CA139" s="307"/>
      <c r="CB139" s="307"/>
      <c r="CC139" s="307"/>
      <c r="CD139" s="307"/>
      <c r="CE139" s="307"/>
      <c r="CF139" s="307"/>
      <c r="CG139" s="332"/>
      <c r="CH139" s="328"/>
      <c r="CI139" s="328"/>
      <c r="CJ139" s="328"/>
      <c r="CK139" s="328">
        <v>2</v>
      </c>
      <c r="CL139" s="328"/>
      <c r="CM139" s="328"/>
      <c r="CN139" s="370"/>
      <c r="CO139" s="367"/>
      <c r="CP139" s="367"/>
      <c r="CQ139" s="367"/>
      <c r="CR139" s="378">
        <v>10</v>
      </c>
      <c r="CS139" s="387"/>
      <c r="CT139" s="398"/>
      <c r="CU139" s="399"/>
      <c r="CV139" s="399"/>
      <c r="CW139" s="399"/>
      <c r="CX139" s="399"/>
      <c r="CY139" s="399">
        <v>1</v>
      </c>
      <c r="CZ139" s="399"/>
      <c r="DA139" s="400"/>
      <c r="DB139" s="522">
        <v>1</v>
      </c>
    </row>
    <row r="140" spans="1:106" x14ac:dyDescent="0.25">
      <c r="A140" s="468" t="s">
        <v>120</v>
      </c>
      <c r="B140" s="468">
        <v>806</v>
      </c>
      <c r="C140" s="468" t="s">
        <v>3672</v>
      </c>
      <c r="D140" s="468">
        <v>2504</v>
      </c>
      <c r="E140" s="468" t="s">
        <v>2021</v>
      </c>
      <c r="F140" s="468" t="s">
        <v>2022</v>
      </c>
      <c r="G140" s="468" t="s">
        <v>2023</v>
      </c>
      <c r="H140" s="468" t="s">
        <v>2015</v>
      </c>
      <c r="I140" s="468" t="s">
        <v>39</v>
      </c>
      <c r="J140" s="468" t="s">
        <v>3673</v>
      </c>
      <c r="K140" s="468" t="s">
        <v>2024</v>
      </c>
      <c r="L140" s="468" t="s">
        <v>3775</v>
      </c>
      <c r="M140" s="468" t="s">
        <v>3776</v>
      </c>
      <c r="N140" s="461"/>
      <c r="O140" s="294"/>
      <c r="P140" s="294"/>
      <c r="Q140" s="294"/>
      <c r="R140" s="294"/>
      <c r="S140" s="295">
        <v>1</v>
      </c>
      <c r="T140" s="299"/>
      <c r="U140" s="297"/>
      <c r="V140" s="297"/>
      <c r="W140" s="297"/>
      <c r="X140" s="297"/>
      <c r="Y140" s="297">
        <v>0</v>
      </c>
      <c r="Z140" s="297"/>
      <c r="AA140" s="297"/>
      <c r="AB140" s="293">
        <v>0</v>
      </c>
      <c r="AC140" s="294"/>
      <c r="AD140" s="295"/>
      <c r="AE140" s="298"/>
      <c r="AF140" s="296">
        <v>0</v>
      </c>
      <c r="AG140" s="297"/>
      <c r="AH140" s="297"/>
      <c r="AI140" s="297"/>
      <c r="AJ140" s="297"/>
      <c r="AK140" s="297"/>
      <c r="AL140" s="297"/>
      <c r="AM140" s="297"/>
      <c r="AN140" s="300"/>
      <c r="AO140" s="301"/>
      <c r="AP140" s="301"/>
      <c r="AQ140" s="301"/>
      <c r="AR140" s="301"/>
      <c r="AS140" s="301"/>
      <c r="AT140" s="301"/>
      <c r="AU140" s="301"/>
      <c r="AV140" s="301"/>
      <c r="AW140" s="301"/>
      <c r="AX140" s="301"/>
      <c r="AY140" s="301"/>
      <c r="AZ140" s="301"/>
      <c r="BA140" s="301"/>
      <c r="BB140" s="301"/>
      <c r="BC140" s="301"/>
      <c r="BD140" s="301">
        <v>1500</v>
      </c>
      <c r="BE140" s="301"/>
      <c r="BF140" s="302"/>
      <c r="BG140" s="303"/>
      <c r="BH140" s="304"/>
      <c r="BI140" s="304"/>
      <c r="BJ140" s="304"/>
      <c r="BK140" s="304"/>
      <c r="BL140" s="304"/>
      <c r="BM140" s="304"/>
      <c r="BN140" s="304"/>
      <c r="BO140" s="304"/>
      <c r="BP140" s="304"/>
      <c r="BQ140" s="304"/>
      <c r="BR140" s="304"/>
      <c r="BS140" s="304"/>
      <c r="BT140" s="304"/>
      <c r="BU140" s="304"/>
      <c r="BV140" s="304"/>
      <c r="BW140" s="304">
        <v>10</v>
      </c>
      <c r="BX140" s="304"/>
      <c r="BY140" s="305"/>
      <c r="BZ140" s="306"/>
      <c r="CA140" s="307"/>
      <c r="CB140" s="307"/>
      <c r="CC140" s="307"/>
      <c r="CD140" s="307"/>
      <c r="CE140" s="307"/>
      <c r="CF140" s="307"/>
      <c r="CG140" s="332"/>
      <c r="CH140" s="328"/>
      <c r="CI140" s="328"/>
      <c r="CJ140" s="328"/>
      <c r="CK140" s="328">
        <v>2</v>
      </c>
      <c r="CL140" s="328"/>
      <c r="CM140" s="328"/>
      <c r="CN140" s="370"/>
      <c r="CO140" s="367"/>
      <c r="CP140" s="367"/>
      <c r="CQ140" s="367"/>
      <c r="CR140" s="378">
        <v>10</v>
      </c>
      <c r="CS140" s="387"/>
      <c r="CT140" s="398"/>
      <c r="CU140" s="399"/>
      <c r="CV140" s="399"/>
      <c r="CW140" s="399"/>
      <c r="CX140" s="399"/>
      <c r="CY140" s="399">
        <v>1</v>
      </c>
      <c r="CZ140" s="399"/>
      <c r="DA140" s="400"/>
      <c r="DB140" s="522">
        <v>1</v>
      </c>
    </row>
    <row r="141" spans="1:106" x14ac:dyDescent="0.25">
      <c r="A141" s="468" t="s">
        <v>253</v>
      </c>
      <c r="B141" s="468">
        <v>801</v>
      </c>
      <c r="C141" s="468" t="s">
        <v>3593</v>
      </c>
      <c r="D141" s="468">
        <v>1686</v>
      </c>
      <c r="E141" s="468" t="s">
        <v>254</v>
      </c>
      <c r="F141" s="468" t="s">
        <v>2108</v>
      </c>
      <c r="G141" s="468" t="s">
        <v>255</v>
      </c>
      <c r="H141" s="468" t="s">
        <v>256</v>
      </c>
      <c r="I141" s="468" t="s">
        <v>257</v>
      </c>
      <c r="J141" s="468" t="s">
        <v>3594</v>
      </c>
      <c r="K141" s="468" t="s">
        <v>258</v>
      </c>
      <c r="L141" s="468" t="s">
        <v>3737</v>
      </c>
      <c r="M141" s="468" t="s">
        <v>3851</v>
      </c>
      <c r="N141" s="461"/>
      <c r="O141" s="294"/>
      <c r="P141" s="294"/>
      <c r="Q141" s="294"/>
      <c r="R141" s="294">
        <v>2</v>
      </c>
      <c r="S141" s="295"/>
      <c r="T141" s="299"/>
      <c r="U141" s="297"/>
      <c r="V141" s="297"/>
      <c r="W141" s="297"/>
      <c r="X141" s="297"/>
      <c r="Y141" s="297">
        <v>0</v>
      </c>
      <c r="Z141" s="297"/>
      <c r="AA141" s="297"/>
      <c r="AB141" s="293">
        <v>0</v>
      </c>
      <c r="AC141" s="294"/>
      <c r="AD141" s="295"/>
      <c r="AE141" s="298"/>
      <c r="AF141" s="296">
        <v>0</v>
      </c>
      <c r="AG141" s="297"/>
      <c r="AH141" s="297"/>
      <c r="AI141" s="297"/>
      <c r="AJ141" s="297"/>
      <c r="AK141" s="297"/>
      <c r="AL141" s="297"/>
      <c r="AM141" s="297"/>
      <c r="AN141" s="300"/>
      <c r="AO141" s="301"/>
      <c r="AP141" s="301"/>
      <c r="AQ141" s="301"/>
      <c r="AR141" s="301"/>
      <c r="AS141" s="301"/>
      <c r="AT141" s="301"/>
      <c r="AU141" s="301"/>
      <c r="AV141" s="301"/>
      <c r="AW141" s="301"/>
      <c r="AX141" s="301"/>
      <c r="AY141" s="301"/>
      <c r="AZ141" s="301"/>
      <c r="BA141" s="301"/>
      <c r="BB141" s="301"/>
      <c r="BC141" s="301">
        <v>1500</v>
      </c>
      <c r="BD141" s="301"/>
      <c r="BE141" s="301"/>
      <c r="BF141" s="302"/>
      <c r="BG141" s="303"/>
      <c r="BH141" s="304"/>
      <c r="BI141" s="304"/>
      <c r="BJ141" s="304"/>
      <c r="BK141" s="304"/>
      <c r="BL141" s="304"/>
      <c r="BM141" s="304"/>
      <c r="BN141" s="304"/>
      <c r="BO141" s="304"/>
      <c r="BP141" s="304"/>
      <c r="BQ141" s="304"/>
      <c r="BR141" s="304"/>
      <c r="BS141" s="304"/>
      <c r="BT141" s="304"/>
      <c r="BU141" s="304"/>
      <c r="BV141" s="304">
        <v>10</v>
      </c>
      <c r="BW141" s="304"/>
      <c r="BX141" s="304"/>
      <c r="BY141" s="305"/>
      <c r="BZ141" s="306"/>
      <c r="CA141" s="307"/>
      <c r="CB141" s="307"/>
      <c r="CC141" s="307"/>
      <c r="CD141" s="307"/>
      <c r="CE141" s="307"/>
      <c r="CF141" s="307"/>
      <c r="CG141" s="332"/>
      <c r="CH141" s="328"/>
      <c r="CI141" s="328"/>
      <c r="CJ141" s="328">
        <v>2</v>
      </c>
      <c r="CK141" s="328"/>
      <c r="CL141" s="328"/>
      <c r="CM141" s="328"/>
      <c r="CN141" s="370"/>
      <c r="CO141" s="367"/>
      <c r="CP141" s="367"/>
      <c r="CQ141" s="367">
        <v>10</v>
      </c>
      <c r="CR141" s="367"/>
      <c r="CS141" s="387"/>
      <c r="CT141" s="398"/>
      <c r="CU141" s="399"/>
      <c r="CV141" s="399"/>
      <c r="CW141" s="399"/>
      <c r="CX141" s="399">
        <v>1</v>
      </c>
      <c r="CY141" s="399"/>
      <c r="CZ141" s="399"/>
      <c r="DA141" s="400"/>
      <c r="DB141" s="522">
        <v>1</v>
      </c>
    </row>
    <row r="142" spans="1:106" x14ac:dyDescent="0.25">
      <c r="A142" s="468" t="s">
        <v>253</v>
      </c>
      <c r="B142" s="468">
        <v>801</v>
      </c>
      <c r="C142" s="468" t="s">
        <v>3595</v>
      </c>
      <c r="D142" s="468">
        <v>1687</v>
      </c>
      <c r="E142" s="468" t="s">
        <v>2101</v>
      </c>
      <c r="F142" s="468" t="s">
        <v>2102</v>
      </c>
      <c r="G142" s="468" t="s">
        <v>2103</v>
      </c>
      <c r="H142" s="468" t="s">
        <v>2104</v>
      </c>
      <c r="I142" s="468" t="s">
        <v>257</v>
      </c>
      <c r="J142" s="468" t="s">
        <v>3596</v>
      </c>
      <c r="K142" s="468" t="s">
        <v>2105</v>
      </c>
      <c r="L142" s="468" t="s">
        <v>3737</v>
      </c>
      <c r="M142" s="468" t="s">
        <v>3851</v>
      </c>
      <c r="N142" s="461"/>
      <c r="O142" s="294"/>
      <c r="P142" s="294"/>
      <c r="Q142" s="294"/>
      <c r="R142" s="294">
        <v>1</v>
      </c>
      <c r="S142" s="295"/>
      <c r="T142" s="299"/>
      <c r="U142" s="297"/>
      <c r="V142" s="297"/>
      <c r="W142" s="297"/>
      <c r="X142" s="297"/>
      <c r="Y142" s="297"/>
      <c r="Z142" s="297"/>
      <c r="AA142" s="297"/>
      <c r="AB142" s="293"/>
      <c r="AC142" s="294"/>
      <c r="AD142" s="295"/>
      <c r="AE142" s="298"/>
      <c r="AF142" s="296"/>
      <c r="AG142" s="297"/>
      <c r="AH142" s="297"/>
      <c r="AI142" s="297"/>
      <c r="AJ142" s="297"/>
      <c r="AK142" s="297"/>
      <c r="AL142" s="297"/>
      <c r="AM142" s="297"/>
      <c r="AN142" s="300"/>
      <c r="AO142" s="301"/>
      <c r="AP142" s="301"/>
      <c r="AQ142" s="301"/>
      <c r="AR142" s="301"/>
      <c r="AS142" s="301"/>
      <c r="AT142" s="301"/>
      <c r="AU142" s="301"/>
      <c r="AV142" s="301"/>
      <c r="AW142" s="301"/>
      <c r="AX142" s="301"/>
      <c r="AY142" s="301"/>
      <c r="AZ142" s="301"/>
      <c r="BA142" s="301"/>
      <c r="BB142" s="301"/>
      <c r="BC142" s="301">
        <v>1500</v>
      </c>
      <c r="BD142" s="301"/>
      <c r="BE142" s="301"/>
      <c r="BF142" s="302"/>
      <c r="BG142" s="303"/>
      <c r="BH142" s="304"/>
      <c r="BI142" s="304"/>
      <c r="BJ142" s="304"/>
      <c r="BK142" s="304"/>
      <c r="BL142" s="304"/>
      <c r="BM142" s="304"/>
      <c r="BN142" s="304"/>
      <c r="BO142" s="304"/>
      <c r="BP142" s="304"/>
      <c r="BQ142" s="304"/>
      <c r="BR142" s="304"/>
      <c r="BS142" s="304"/>
      <c r="BT142" s="304"/>
      <c r="BU142" s="304"/>
      <c r="BV142" s="304">
        <v>10</v>
      </c>
      <c r="BW142" s="304"/>
      <c r="BX142" s="304"/>
      <c r="BY142" s="305"/>
      <c r="BZ142" s="306"/>
      <c r="CA142" s="307"/>
      <c r="CB142" s="307"/>
      <c r="CC142" s="307"/>
      <c r="CD142" s="307"/>
      <c r="CE142" s="307"/>
      <c r="CF142" s="307"/>
      <c r="CG142" s="332"/>
      <c r="CH142" s="328"/>
      <c r="CI142" s="328"/>
      <c r="CJ142" s="328">
        <v>2</v>
      </c>
      <c r="CK142" s="328"/>
      <c r="CL142" s="328"/>
      <c r="CM142" s="328"/>
      <c r="CN142" s="370"/>
      <c r="CO142" s="367"/>
      <c r="CP142" s="367"/>
      <c r="CQ142" s="367">
        <v>10</v>
      </c>
      <c r="CR142" s="367"/>
      <c r="CS142" s="387"/>
      <c r="CT142" s="398"/>
      <c r="CU142" s="399"/>
      <c r="CV142" s="399"/>
      <c r="CW142" s="399"/>
      <c r="CX142" s="399">
        <v>1</v>
      </c>
      <c r="CY142" s="399"/>
      <c r="CZ142" s="399"/>
      <c r="DA142" s="400"/>
      <c r="DB142" s="522">
        <v>1</v>
      </c>
    </row>
    <row r="143" spans="1:106" x14ac:dyDescent="0.25">
      <c r="A143" s="468" t="s">
        <v>201</v>
      </c>
      <c r="B143" s="468">
        <v>816</v>
      </c>
      <c r="C143" s="468" t="s">
        <v>2134</v>
      </c>
      <c r="D143" s="468">
        <v>832</v>
      </c>
      <c r="E143" s="468" t="s">
        <v>2135</v>
      </c>
      <c r="F143" s="468" t="s">
        <v>2136</v>
      </c>
      <c r="G143" s="468" t="s">
        <v>2137</v>
      </c>
      <c r="H143" s="468" t="s">
        <v>2138</v>
      </c>
      <c r="I143" s="468" t="s">
        <v>205</v>
      </c>
      <c r="J143" s="468" t="s">
        <v>3273</v>
      </c>
      <c r="K143" s="468" t="s">
        <v>2139</v>
      </c>
      <c r="L143" s="468" t="s">
        <v>3775</v>
      </c>
      <c r="M143" s="468" t="s">
        <v>3776</v>
      </c>
      <c r="N143" s="460">
        <v>0</v>
      </c>
      <c r="O143" s="294"/>
      <c r="P143" s="294"/>
      <c r="Q143" s="294"/>
      <c r="R143" s="294"/>
      <c r="S143" s="295"/>
      <c r="T143" s="299"/>
      <c r="U143" s="297"/>
      <c r="V143" s="297"/>
      <c r="W143" s="297"/>
      <c r="X143" s="297"/>
      <c r="Y143" s="297">
        <v>0</v>
      </c>
      <c r="Z143" s="297"/>
      <c r="AA143" s="297"/>
      <c r="AB143" s="293">
        <v>0</v>
      </c>
      <c r="AC143" s="294"/>
      <c r="AD143" s="295"/>
      <c r="AE143" s="298"/>
      <c r="AF143" s="299"/>
      <c r="AG143" s="297"/>
      <c r="AH143" s="297"/>
      <c r="AI143" s="297"/>
      <c r="AJ143" s="297">
        <v>1</v>
      </c>
      <c r="AK143" s="297"/>
      <c r="AL143" s="297"/>
      <c r="AM143" s="297"/>
      <c r="AN143" s="300"/>
      <c r="AO143" s="301"/>
      <c r="AP143" s="301"/>
      <c r="AQ143" s="301"/>
      <c r="AR143" s="301"/>
      <c r="AS143" s="301"/>
      <c r="AT143" s="301"/>
      <c r="AU143" s="301"/>
      <c r="AV143" s="301"/>
      <c r="AW143" s="301"/>
      <c r="AX143" s="301"/>
      <c r="AY143" s="301"/>
      <c r="AZ143" s="301"/>
      <c r="BA143" s="301"/>
      <c r="BB143" s="301"/>
      <c r="BC143" s="301"/>
      <c r="BD143" s="301">
        <v>1500</v>
      </c>
      <c r="BE143" s="301"/>
      <c r="BF143" s="302"/>
      <c r="BG143" s="303"/>
      <c r="BH143" s="304"/>
      <c r="BI143" s="304"/>
      <c r="BJ143" s="304"/>
      <c r="BK143" s="304"/>
      <c r="BL143" s="304"/>
      <c r="BM143" s="304"/>
      <c r="BN143" s="304"/>
      <c r="BO143" s="304"/>
      <c r="BP143" s="304"/>
      <c r="BQ143" s="304"/>
      <c r="BR143" s="304"/>
      <c r="BS143" s="304"/>
      <c r="BT143" s="304"/>
      <c r="BU143" s="304"/>
      <c r="BV143" s="304"/>
      <c r="BW143" s="304">
        <v>10</v>
      </c>
      <c r="BX143" s="304"/>
      <c r="BY143" s="305"/>
      <c r="BZ143" s="306"/>
      <c r="CA143" s="307"/>
      <c r="CB143" s="307"/>
      <c r="CC143" s="307"/>
      <c r="CD143" s="307"/>
      <c r="CE143" s="307"/>
      <c r="CF143" s="307"/>
      <c r="CG143" s="332"/>
      <c r="CH143" s="328"/>
      <c r="CI143" s="328"/>
      <c r="CJ143" s="328"/>
      <c r="CK143" s="328">
        <v>2</v>
      </c>
      <c r="CL143" s="328"/>
      <c r="CM143" s="328"/>
      <c r="CN143" s="370"/>
      <c r="CO143" s="367"/>
      <c r="CP143" s="367"/>
      <c r="CQ143" s="367"/>
      <c r="CR143" s="378">
        <v>10</v>
      </c>
      <c r="CS143" s="387"/>
      <c r="CT143" s="398"/>
      <c r="CU143" s="399"/>
      <c r="CV143" s="399"/>
      <c r="CW143" s="399"/>
      <c r="CX143" s="399"/>
      <c r="CY143" s="399">
        <v>1</v>
      </c>
      <c r="CZ143" s="399"/>
      <c r="DA143" s="400"/>
      <c r="DB143" s="522">
        <v>1</v>
      </c>
    </row>
    <row r="144" spans="1:106" x14ac:dyDescent="0.25">
      <c r="A144" s="468" t="s">
        <v>201</v>
      </c>
      <c r="B144" s="468">
        <v>816</v>
      </c>
      <c r="C144" s="468" t="s">
        <v>2144</v>
      </c>
      <c r="D144" s="468">
        <v>834</v>
      </c>
      <c r="E144" s="468" t="s">
        <v>2145</v>
      </c>
      <c r="F144" s="468" t="s">
        <v>2146</v>
      </c>
      <c r="G144" s="468" t="s">
        <v>2147</v>
      </c>
      <c r="H144" s="468" t="s">
        <v>2148</v>
      </c>
      <c r="I144" s="468" t="s">
        <v>205</v>
      </c>
      <c r="J144" s="468" t="s">
        <v>3275</v>
      </c>
      <c r="K144" s="468" t="s">
        <v>2149</v>
      </c>
      <c r="L144" s="468" t="s">
        <v>3775</v>
      </c>
      <c r="M144" s="468" t="s">
        <v>3776</v>
      </c>
      <c r="N144" s="460">
        <v>0</v>
      </c>
      <c r="O144" s="294"/>
      <c r="P144" s="294"/>
      <c r="Q144" s="294"/>
      <c r="R144" s="294"/>
      <c r="S144" s="295"/>
      <c r="T144" s="299"/>
      <c r="U144" s="297"/>
      <c r="V144" s="297"/>
      <c r="W144" s="297"/>
      <c r="X144" s="297"/>
      <c r="Y144" s="297">
        <v>2</v>
      </c>
      <c r="Z144" s="297"/>
      <c r="AA144" s="297"/>
      <c r="AB144" s="293">
        <v>0</v>
      </c>
      <c r="AC144" s="294"/>
      <c r="AD144" s="295"/>
      <c r="AE144" s="298"/>
      <c r="AF144" s="299"/>
      <c r="AG144" s="297"/>
      <c r="AH144" s="297"/>
      <c r="AI144" s="297"/>
      <c r="AJ144" s="297">
        <v>0</v>
      </c>
      <c r="AK144" s="297"/>
      <c r="AL144" s="297"/>
      <c r="AM144" s="297"/>
      <c r="AN144" s="300"/>
      <c r="AO144" s="301"/>
      <c r="AP144" s="301"/>
      <c r="AQ144" s="301"/>
      <c r="AR144" s="301"/>
      <c r="AS144" s="301"/>
      <c r="AT144" s="301"/>
      <c r="AU144" s="301"/>
      <c r="AV144" s="301"/>
      <c r="AW144" s="301"/>
      <c r="AX144" s="301"/>
      <c r="AY144" s="301"/>
      <c r="AZ144" s="301"/>
      <c r="BA144" s="301"/>
      <c r="BB144" s="301"/>
      <c r="BC144" s="301"/>
      <c r="BD144" s="301">
        <v>1500</v>
      </c>
      <c r="BE144" s="301"/>
      <c r="BF144" s="302"/>
      <c r="BG144" s="303"/>
      <c r="BH144" s="304"/>
      <c r="BI144" s="304"/>
      <c r="BJ144" s="304"/>
      <c r="BK144" s="304"/>
      <c r="BL144" s="304"/>
      <c r="BM144" s="304"/>
      <c r="BN144" s="304"/>
      <c r="BO144" s="304"/>
      <c r="BP144" s="304"/>
      <c r="BQ144" s="304"/>
      <c r="BR144" s="304"/>
      <c r="BS144" s="304"/>
      <c r="BT144" s="304"/>
      <c r="BU144" s="304"/>
      <c r="BV144" s="304"/>
      <c r="BW144" s="304">
        <v>10</v>
      </c>
      <c r="BX144" s="304"/>
      <c r="BY144" s="305"/>
      <c r="BZ144" s="306"/>
      <c r="CA144" s="307"/>
      <c r="CB144" s="307"/>
      <c r="CC144" s="307"/>
      <c r="CD144" s="307"/>
      <c r="CE144" s="307"/>
      <c r="CF144" s="307"/>
      <c r="CG144" s="332"/>
      <c r="CH144" s="328"/>
      <c r="CI144" s="328"/>
      <c r="CJ144" s="328"/>
      <c r="CK144" s="328">
        <v>2</v>
      </c>
      <c r="CL144" s="328"/>
      <c r="CM144" s="328"/>
      <c r="CN144" s="370"/>
      <c r="CO144" s="367"/>
      <c r="CP144" s="367"/>
      <c r="CQ144" s="367"/>
      <c r="CR144" s="378">
        <v>10</v>
      </c>
      <c r="CS144" s="387"/>
      <c r="CT144" s="398"/>
      <c r="CU144" s="399"/>
      <c r="CV144" s="399"/>
      <c r="CW144" s="399"/>
      <c r="CX144" s="399"/>
      <c r="CY144" s="399">
        <v>1</v>
      </c>
      <c r="CZ144" s="399"/>
      <c r="DA144" s="400"/>
      <c r="DB144" s="522">
        <v>1</v>
      </c>
    </row>
    <row r="145" spans="1:106" x14ac:dyDescent="0.25">
      <c r="A145" s="468" t="s">
        <v>201</v>
      </c>
      <c r="B145" s="468">
        <v>816</v>
      </c>
      <c r="C145" s="468" t="s">
        <v>2150</v>
      </c>
      <c r="D145" s="468">
        <v>835</v>
      </c>
      <c r="E145" s="468" t="s">
        <v>2151</v>
      </c>
      <c r="F145" s="468" t="s">
        <v>2152</v>
      </c>
      <c r="G145" s="468" t="s">
        <v>2153</v>
      </c>
      <c r="H145" s="468" t="s">
        <v>2154</v>
      </c>
      <c r="I145" s="468" t="s">
        <v>205</v>
      </c>
      <c r="J145" s="468" t="s">
        <v>3276</v>
      </c>
      <c r="K145" s="468" t="s">
        <v>2155</v>
      </c>
      <c r="L145" s="468" t="s">
        <v>3775</v>
      </c>
      <c r="M145" s="468" t="s">
        <v>3776</v>
      </c>
      <c r="N145" s="460">
        <v>0</v>
      </c>
      <c r="O145" s="294"/>
      <c r="P145" s="294"/>
      <c r="Q145" s="294"/>
      <c r="R145" s="294"/>
      <c r="S145" s="295"/>
      <c r="T145" s="299"/>
      <c r="U145" s="297"/>
      <c r="V145" s="297"/>
      <c r="W145" s="297"/>
      <c r="X145" s="297"/>
      <c r="Y145" s="297">
        <v>1</v>
      </c>
      <c r="Z145" s="297"/>
      <c r="AA145" s="297"/>
      <c r="AB145" s="293">
        <v>0</v>
      </c>
      <c r="AC145" s="294"/>
      <c r="AD145" s="295"/>
      <c r="AE145" s="298"/>
      <c r="AF145" s="299"/>
      <c r="AG145" s="297"/>
      <c r="AH145" s="297"/>
      <c r="AI145" s="297"/>
      <c r="AJ145" s="297">
        <v>0</v>
      </c>
      <c r="AK145" s="297"/>
      <c r="AL145" s="297"/>
      <c r="AM145" s="297"/>
      <c r="AN145" s="300"/>
      <c r="AO145" s="301"/>
      <c r="AP145" s="301"/>
      <c r="AQ145" s="301"/>
      <c r="AR145" s="301"/>
      <c r="AS145" s="301"/>
      <c r="AT145" s="301"/>
      <c r="AU145" s="301"/>
      <c r="AV145" s="301"/>
      <c r="AW145" s="301"/>
      <c r="AX145" s="301"/>
      <c r="AY145" s="301"/>
      <c r="AZ145" s="301"/>
      <c r="BA145" s="301"/>
      <c r="BB145" s="301"/>
      <c r="BC145" s="301"/>
      <c r="BD145" s="301">
        <v>1500</v>
      </c>
      <c r="BE145" s="301"/>
      <c r="BF145" s="302"/>
      <c r="BG145" s="303"/>
      <c r="BH145" s="304"/>
      <c r="BI145" s="304"/>
      <c r="BJ145" s="304"/>
      <c r="BK145" s="304"/>
      <c r="BL145" s="304"/>
      <c r="BM145" s="304"/>
      <c r="BN145" s="304"/>
      <c r="BO145" s="304"/>
      <c r="BP145" s="304"/>
      <c r="BQ145" s="304"/>
      <c r="BR145" s="304"/>
      <c r="BS145" s="304"/>
      <c r="BT145" s="304"/>
      <c r="BU145" s="304"/>
      <c r="BV145" s="304"/>
      <c r="BW145" s="304">
        <v>10</v>
      </c>
      <c r="BX145" s="304"/>
      <c r="BY145" s="305"/>
      <c r="BZ145" s="306"/>
      <c r="CA145" s="307"/>
      <c r="CB145" s="307"/>
      <c r="CC145" s="307"/>
      <c r="CD145" s="307"/>
      <c r="CE145" s="307"/>
      <c r="CF145" s="307"/>
      <c r="CG145" s="332"/>
      <c r="CH145" s="328"/>
      <c r="CI145" s="328"/>
      <c r="CJ145" s="328"/>
      <c r="CK145" s="328">
        <v>2</v>
      </c>
      <c r="CL145" s="328"/>
      <c r="CM145" s="328"/>
      <c r="CN145" s="370"/>
      <c r="CO145" s="367"/>
      <c r="CP145" s="367"/>
      <c r="CQ145" s="367"/>
      <c r="CR145" s="378">
        <v>10</v>
      </c>
      <c r="CS145" s="387"/>
      <c r="CT145" s="398"/>
      <c r="CU145" s="399"/>
      <c r="CV145" s="399"/>
      <c r="CW145" s="399"/>
      <c r="CX145" s="399"/>
      <c r="CY145" s="399">
        <v>1</v>
      </c>
      <c r="CZ145" s="399"/>
      <c r="DA145" s="400"/>
      <c r="DB145" s="522">
        <v>1</v>
      </c>
    </row>
    <row r="146" spans="1:106" x14ac:dyDescent="0.25">
      <c r="A146" s="468" t="s">
        <v>201</v>
      </c>
      <c r="B146" s="468">
        <v>816</v>
      </c>
      <c r="C146" s="468" t="s">
        <v>2162</v>
      </c>
      <c r="D146" s="468">
        <v>837</v>
      </c>
      <c r="E146" s="468" t="s">
        <v>2163</v>
      </c>
      <c r="F146" s="468" t="s">
        <v>2164</v>
      </c>
      <c r="G146" s="468" t="s">
        <v>2165</v>
      </c>
      <c r="H146" s="468" t="s">
        <v>2160</v>
      </c>
      <c r="I146" s="468" t="s">
        <v>205</v>
      </c>
      <c r="J146" s="468" t="s">
        <v>3278</v>
      </c>
      <c r="K146" s="468" t="s">
        <v>2166</v>
      </c>
      <c r="L146" s="468" t="s">
        <v>3775</v>
      </c>
      <c r="M146" s="468" t="s">
        <v>3776</v>
      </c>
      <c r="N146" s="460">
        <v>0</v>
      </c>
      <c r="O146" s="294"/>
      <c r="P146" s="294"/>
      <c r="Q146" s="294"/>
      <c r="R146" s="294"/>
      <c r="S146" s="295"/>
      <c r="T146" s="296">
        <v>0</v>
      </c>
      <c r="U146" s="297"/>
      <c r="V146" s="297"/>
      <c r="W146" s="297"/>
      <c r="X146" s="297"/>
      <c r="Y146" s="297"/>
      <c r="Z146" s="297"/>
      <c r="AA146" s="297"/>
      <c r="AB146" s="293">
        <v>0</v>
      </c>
      <c r="AC146" s="294"/>
      <c r="AD146" s="295"/>
      <c r="AE146" s="298"/>
      <c r="AF146" s="299"/>
      <c r="AG146" s="297"/>
      <c r="AH146" s="297"/>
      <c r="AI146" s="297"/>
      <c r="AJ146" s="297">
        <v>1</v>
      </c>
      <c r="AK146" s="297"/>
      <c r="AL146" s="297"/>
      <c r="AM146" s="297"/>
      <c r="AN146" s="300"/>
      <c r="AO146" s="301"/>
      <c r="AP146" s="301"/>
      <c r="AQ146" s="301"/>
      <c r="AR146" s="301"/>
      <c r="AS146" s="301"/>
      <c r="AT146" s="301"/>
      <c r="AU146" s="301"/>
      <c r="AV146" s="301"/>
      <c r="AW146" s="301"/>
      <c r="AX146" s="301"/>
      <c r="AY146" s="301"/>
      <c r="AZ146" s="301"/>
      <c r="BA146" s="301"/>
      <c r="BB146" s="301"/>
      <c r="BC146" s="301"/>
      <c r="BD146" s="301">
        <v>1500</v>
      </c>
      <c r="BE146" s="301"/>
      <c r="BF146" s="302"/>
      <c r="BG146" s="303"/>
      <c r="BH146" s="304"/>
      <c r="BI146" s="304"/>
      <c r="BJ146" s="304"/>
      <c r="BK146" s="304"/>
      <c r="BL146" s="304"/>
      <c r="BM146" s="304"/>
      <c r="BN146" s="304"/>
      <c r="BO146" s="304"/>
      <c r="BP146" s="304"/>
      <c r="BQ146" s="304"/>
      <c r="BR146" s="304"/>
      <c r="BS146" s="304"/>
      <c r="BT146" s="304"/>
      <c r="BU146" s="304"/>
      <c r="BV146" s="304"/>
      <c r="BW146" s="304">
        <v>10</v>
      </c>
      <c r="BX146" s="304"/>
      <c r="BY146" s="305"/>
      <c r="BZ146" s="306"/>
      <c r="CA146" s="307"/>
      <c r="CB146" s="307"/>
      <c r="CC146" s="307"/>
      <c r="CD146" s="307"/>
      <c r="CE146" s="307"/>
      <c r="CF146" s="307"/>
      <c r="CG146" s="332"/>
      <c r="CH146" s="328"/>
      <c r="CI146" s="328"/>
      <c r="CJ146" s="328"/>
      <c r="CK146" s="328">
        <v>2</v>
      </c>
      <c r="CL146" s="328"/>
      <c r="CM146" s="328"/>
      <c r="CN146" s="370"/>
      <c r="CO146" s="367"/>
      <c r="CP146" s="367"/>
      <c r="CQ146" s="367"/>
      <c r="CR146" s="378">
        <v>10</v>
      </c>
      <c r="CS146" s="387"/>
      <c r="CT146" s="398"/>
      <c r="CU146" s="399"/>
      <c r="CV146" s="399"/>
      <c r="CW146" s="399"/>
      <c r="CX146" s="399"/>
      <c r="CY146" s="399">
        <v>1</v>
      </c>
      <c r="CZ146" s="399"/>
      <c r="DA146" s="400"/>
      <c r="DB146" s="522">
        <v>1</v>
      </c>
    </row>
    <row r="147" spans="1:106" x14ac:dyDescent="0.25">
      <c r="A147" s="468" t="s">
        <v>201</v>
      </c>
      <c r="B147" s="468">
        <v>816</v>
      </c>
      <c r="C147" s="468" t="s">
        <v>2194</v>
      </c>
      <c r="D147" s="468">
        <v>844</v>
      </c>
      <c r="E147" s="468" t="s">
        <v>2195</v>
      </c>
      <c r="F147" s="468" t="s">
        <v>2196</v>
      </c>
      <c r="G147" s="468" t="s">
        <v>2197</v>
      </c>
      <c r="H147" s="468" t="s">
        <v>2198</v>
      </c>
      <c r="I147" s="468" t="s">
        <v>205</v>
      </c>
      <c r="J147" s="468" t="s">
        <v>2199</v>
      </c>
      <c r="K147" s="468" t="s">
        <v>2200</v>
      </c>
      <c r="L147" s="468" t="s">
        <v>3775</v>
      </c>
      <c r="M147" s="468" t="s">
        <v>3776</v>
      </c>
      <c r="N147" s="461"/>
      <c r="O147" s="294"/>
      <c r="P147" s="294"/>
      <c r="Q147" s="294"/>
      <c r="R147" s="294"/>
      <c r="S147" s="295">
        <v>2</v>
      </c>
      <c r="T147" s="296">
        <v>0</v>
      </c>
      <c r="U147" s="297"/>
      <c r="V147" s="297"/>
      <c r="W147" s="297"/>
      <c r="X147" s="297"/>
      <c r="Y147" s="297"/>
      <c r="Z147" s="297"/>
      <c r="AA147" s="297"/>
      <c r="AB147" s="293">
        <v>0</v>
      </c>
      <c r="AC147" s="294"/>
      <c r="AD147" s="295"/>
      <c r="AE147" s="298"/>
      <c r="AF147" s="296">
        <v>0</v>
      </c>
      <c r="AG147" s="297"/>
      <c r="AH147" s="297"/>
      <c r="AI147" s="297"/>
      <c r="AJ147" s="297"/>
      <c r="AK147" s="297"/>
      <c r="AL147" s="297"/>
      <c r="AM147" s="297"/>
      <c r="AN147" s="300"/>
      <c r="AO147" s="301"/>
      <c r="AP147" s="301"/>
      <c r="AQ147" s="301"/>
      <c r="AR147" s="301"/>
      <c r="AS147" s="301"/>
      <c r="AT147" s="301"/>
      <c r="AU147" s="301"/>
      <c r="AV147" s="301"/>
      <c r="AW147" s="301"/>
      <c r="AX147" s="301"/>
      <c r="AY147" s="301"/>
      <c r="AZ147" s="301"/>
      <c r="BA147" s="301"/>
      <c r="BB147" s="301"/>
      <c r="BC147" s="301"/>
      <c r="BD147" s="301">
        <v>1500</v>
      </c>
      <c r="BE147" s="301"/>
      <c r="BF147" s="302"/>
      <c r="BG147" s="303"/>
      <c r="BH147" s="304"/>
      <c r="BI147" s="304"/>
      <c r="BJ147" s="304"/>
      <c r="BK147" s="304"/>
      <c r="BL147" s="304"/>
      <c r="BM147" s="304"/>
      <c r="BN147" s="304"/>
      <c r="BO147" s="304"/>
      <c r="BP147" s="304"/>
      <c r="BQ147" s="304"/>
      <c r="BR147" s="304"/>
      <c r="BS147" s="304"/>
      <c r="BT147" s="304"/>
      <c r="BU147" s="304"/>
      <c r="BV147" s="304"/>
      <c r="BW147" s="304">
        <v>10</v>
      </c>
      <c r="BX147" s="304"/>
      <c r="BY147" s="305"/>
      <c r="BZ147" s="306"/>
      <c r="CA147" s="307"/>
      <c r="CB147" s="307"/>
      <c r="CC147" s="307"/>
      <c r="CD147" s="307"/>
      <c r="CE147" s="307"/>
      <c r="CF147" s="307"/>
      <c r="CG147" s="332"/>
      <c r="CH147" s="328"/>
      <c r="CI147" s="328"/>
      <c r="CJ147" s="328"/>
      <c r="CK147" s="328">
        <v>2</v>
      </c>
      <c r="CL147" s="328"/>
      <c r="CM147" s="328"/>
      <c r="CN147" s="370"/>
      <c r="CO147" s="367"/>
      <c r="CP147" s="367"/>
      <c r="CQ147" s="367"/>
      <c r="CR147" s="378">
        <v>10</v>
      </c>
      <c r="CS147" s="387"/>
      <c r="CT147" s="398"/>
      <c r="CU147" s="399"/>
      <c r="CV147" s="399"/>
      <c r="CW147" s="399"/>
      <c r="CX147" s="399"/>
      <c r="CY147" s="399">
        <v>1</v>
      </c>
      <c r="CZ147" s="399"/>
      <c r="DA147" s="400"/>
      <c r="DB147" s="522">
        <v>1</v>
      </c>
    </row>
    <row r="148" spans="1:106" x14ac:dyDescent="0.25">
      <c r="A148" s="468" t="s">
        <v>201</v>
      </c>
      <c r="B148" s="468">
        <v>816</v>
      </c>
      <c r="C148" s="468" t="s">
        <v>2207</v>
      </c>
      <c r="D148" s="468">
        <v>846</v>
      </c>
      <c r="E148" s="468" t="s">
        <v>2208</v>
      </c>
      <c r="F148" s="468" t="s">
        <v>2209</v>
      </c>
      <c r="G148" s="468" t="s">
        <v>2210</v>
      </c>
      <c r="H148" s="468" t="s">
        <v>2198</v>
      </c>
      <c r="I148" s="468" t="s">
        <v>205</v>
      </c>
      <c r="J148" s="468" t="s">
        <v>2211</v>
      </c>
      <c r="K148" s="468" t="s">
        <v>2212</v>
      </c>
      <c r="L148" s="468" t="s">
        <v>3775</v>
      </c>
      <c r="M148" s="468" t="s">
        <v>3776</v>
      </c>
      <c r="N148" s="461"/>
      <c r="O148" s="294"/>
      <c r="P148" s="294"/>
      <c r="Q148" s="294"/>
      <c r="R148" s="294"/>
      <c r="S148" s="295">
        <v>1</v>
      </c>
      <c r="T148" s="296">
        <v>0</v>
      </c>
      <c r="U148" s="297"/>
      <c r="V148" s="297"/>
      <c r="W148" s="297"/>
      <c r="X148" s="297"/>
      <c r="Y148" s="297"/>
      <c r="Z148" s="297"/>
      <c r="AA148" s="297"/>
      <c r="AB148" s="293">
        <v>0</v>
      </c>
      <c r="AC148" s="294"/>
      <c r="AD148" s="295"/>
      <c r="AE148" s="298"/>
      <c r="AF148" s="296">
        <v>0</v>
      </c>
      <c r="AG148" s="297"/>
      <c r="AH148" s="297"/>
      <c r="AI148" s="297"/>
      <c r="AJ148" s="297"/>
      <c r="AK148" s="297"/>
      <c r="AL148" s="297"/>
      <c r="AM148" s="297"/>
      <c r="AN148" s="300"/>
      <c r="AO148" s="301"/>
      <c r="AP148" s="301"/>
      <c r="AQ148" s="301"/>
      <c r="AR148" s="301"/>
      <c r="AS148" s="301"/>
      <c r="AT148" s="301"/>
      <c r="AU148" s="301"/>
      <c r="AV148" s="301"/>
      <c r="AW148" s="301"/>
      <c r="AX148" s="301"/>
      <c r="AY148" s="301"/>
      <c r="AZ148" s="301"/>
      <c r="BA148" s="301"/>
      <c r="BB148" s="301"/>
      <c r="BC148" s="301"/>
      <c r="BD148" s="301">
        <v>1500</v>
      </c>
      <c r="BE148" s="301"/>
      <c r="BF148" s="302"/>
      <c r="BG148" s="303"/>
      <c r="BH148" s="304"/>
      <c r="BI148" s="304"/>
      <c r="BJ148" s="304"/>
      <c r="BK148" s="304"/>
      <c r="BL148" s="304"/>
      <c r="BM148" s="304"/>
      <c r="BN148" s="304"/>
      <c r="BO148" s="304"/>
      <c r="BP148" s="304"/>
      <c r="BQ148" s="304"/>
      <c r="BR148" s="304"/>
      <c r="BS148" s="304"/>
      <c r="BT148" s="304"/>
      <c r="BU148" s="304"/>
      <c r="BV148" s="304"/>
      <c r="BW148" s="304">
        <v>10</v>
      </c>
      <c r="BX148" s="304"/>
      <c r="BY148" s="305"/>
      <c r="BZ148" s="306"/>
      <c r="CA148" s="307"/>
      <c r="CB148" s="307"/>
      <c r="CC148" s="307"/>
      <c r="CD148" s="307"/>
      <c r="CE148" s="307"/>
      <c r="CF148" s="307"/>
      <c r="CG148" s="332"/>
      <c r="CH148" s="328"/>
      <c r="CI148" s="328"/>
      <c r="CJ148" s="328"/>
      <c r="CK148" s="328">
        <v>2</v>
      </c>
      <c r="CL148" s="328"/>
      <c r="CM148" s="328"/>
      <c r="CN148" s="370"/>
      <c r="CO148" s="367"/>
      <c r="CP148" s="367"/>
      <c r="CQ148" s="367"/>
      <c r="CR148" s="378">
        <v>10</v>
      </c>
      <c r="CS148" s="387"/>
      <c r="CT148" s="398"/>
      <c r="CU148" s="399"/>
      <c r="CV148" s="399"/>
      <c r="CW148" s="399"/>
      <c r="CX148" s="399"/>
      <c r="CY148" s="399">
        <v>1</v>
      </c>
      <c r="CZ148" s="399"/>
      <c r="DA148" s="400"/>
      <c r="DB148" s="522">
        <v>1</v>
      </c>
    </row>
    <row r="149" spans="1:106" x14ac:dyDescent="0.25">
      <c r="A149" s="468" t="s">
        <v>201</v>
      </c>
      <c r="B149" s="468">
        <v>816</v>
      </c>
      <c r="C149" s="468" t="s">
        <v>2969</v>
      </c>
      <c r="D149" s="468">
        <v>847</v>
      </c>
      <c r="E149" s="468" t="s">
        <v>2970</v>
      </c>
      <c r="F149" s="468" t="s">
        <v>2971</v>
      </c>
      <c r="G149" s="468" t="s">
        <v>2972</v>
      </c>
      <c r="H149" s="468" t="s">
        <v>2973</v>
      </c>
      <c r="I149" s="468" t="s">
        <v>205</v>
      </c>
      <c r="J149" s="468" t="s">
        <v>3284</v>
      </c>
      <c r="K149" s="468" t="s">
        <v>2974</v>
      </c>
      <c r="L149" s="468" t="s">
        <v>3775</v>
      </c>
      <c r="M149" s="468" t="s">
        <v>3776</v>
      </c>
      <c r="N149" s="461"/>
      <c r="O149" s="294"/>
      <c r="P149" s="294"/>
      <c r="Q149" s="294"/>
      <c r="R149" s="294"/>
      <c r="S149" s="295">
        <v>1</v>
      </c>
      <c r="T149" s="296"/>
      <c r="U149" s="297"/>
      <c r="V149" s="297"/>
      <c r="W149" s="297"/>
      <c r="X149" s="297"/>
      <c r="Y149" s="297"/>
      <c r="Z149" s="297"/>
      <c r="AA149" s="297"/>
      <c r="AB149" s="293"/>
      <c r="AC149" s="294"/>
      <c r="AD149" s="295"/>
      <c r="AE149" s="298"/>
      <c r="AF149" s="296"/>
      <c r="AG149" s="297"/>
      <c r="AH149" s="297"/>
      <c r="AI149" s="297"/>
      <c r="AJ149" s="297"/>
      <c r="AK149" s="297"/>
      <c r="AL149" s="297"/>
      <c r="AM149" s="297"/>
      <c r="AN149" s="300"/>
      <c r="AO149" s="301"/>
      <c r="AP149" s="301"/>
      <c r="AQ149" s="301"/>
      <c r="AR149" s="301"/>
      <c r="AS149" s="301"/>
      <c r="AT149" s="301"/>
      <c r="AU149" s="301"/>
      <c r="AV149" s="301"/>
      <c r="AW149" s="301"/>
      <c r="AX149" s="301"/>
      <c r="AY149" s="301"/>
      <c r="AZ149" s="301"/>
      <c r="BA149" s="301"/>
      <c r="BB149" s="301"/>
      <c r="BC149" s="301"/>
      <c r="BD149" s="301">
        <v>1500</v>
      </c>
      <c r="BE149" s="301"/>
      <c r="BF149" s="302"/>
      <c r="BG149" s="303"/>
      <c r="BH149" s="304"/>
      <c r="BI149" s="304"/>
      <c r="BJ149" s="304"/>
      <c r="BK149" s="304"/>
      <c r="BL149" s="304"/>
      <c r="BM149" s="304"/>
      <c r="BN149" s="304"/>
      <c r="BO149" s="304"/>
      <c r="BP149" s="304"/>
      <c r="BQ149" s="304"/>
      <c r="BR149" s="304"/>
      <c r="BS149" s="304"/>
      <c r="BT149" s="304"/>
      <c r="BU149" s="304"/>
      <c r="BV149" s="304"/>
      <c r="BW149" s="304">
        <v>10</v>
      </c>
      <c r="BX149" s="304"/>
      <c r="BY149" s="305"/>
      <c r="BZ149" s="306"/>
      <c r="CA149" s="307"/>
      <c r="CB149" s="307"/>
      <c r="CC149" s="307"/>
      <c r="CD149" s="307"/>
      <c r="CE149" s="307"/>
      <c r="CF149" s="307"/>
      <c r="CG149" s="332"/>
      <c r="CH149" s="328"/>
      <c r="CI149" s="328"/>
      <c r="CJ149" s="328"/>
      <c r="CK149" s="328">
        <v>2</v>
      </c>
      <c r="CL149" s="328"/>
      <c r="CM149" s="328"/>
      <c r="CN149" s="370"/>
      <c r="CO149" s="367"/>
      <c r="CP149" s="367"/>
      <c r="CQ149" s="367"/>
      <c r="CR149" s="378">
        <v>10</v>
      </c>
      <c r="CS149" s="387"/>
      <c r="CT149" s="398"/>
      <c r="CU149" s="399"/>
      <c r="CV149" s="399"/>
      <c r="CW149" s="399"/>
      <c r="CX149" s="399"/>
      <c r="CY149" s="399">
        <v>1</v>
      </c>
      <c r="CZ149" s="399"/>
      <c r="DA149" s="400"/>
      <c r="DB149" s="522">
        <v>1</v>
      </c>
    </row>
    <row r="150" spans="1:106" x14ac:dyDescent="0.25">
      <c r="A150" s="468" t="s">
        <v>88</v>
      </c>
      <c r="B150" s="468">
        <v>806</v>
      </c>
      <c r="C150" s="468" t="s">
        <v>89</v>
      </c>
      <c r="D150" s="468">
        <v>306</v>
      </c>
      <c r="E150" s="468" t="s">
        <v>90</v>
      </c>
      <c r="F150" s="468" t="s">
        <v>2244</v>
      </c>
      <c r="G150" s="468" t="s">
        <v>91</v>
      </c>
      <c r="H150" s="468" t="s">
        <v>92</v>
      </c>
      <c r="I150" s="468" t="s">
        <v>32</v>
      </c>
      <c r="J150" s="468" t="s">
        <v>3136</v>
      </c>
      <c r="K150" s="468" t="s">
        <v>93</v>
      </c>
      <c r="L150" s="468" t="s">
        <v>3928</v>
      </c>
      <c r="M150" s="468" t="s">
        <v>3929</v>
      </c>
      <c r="N150" s="460">
        <v>0</v>
      </c>
      <c r="O150" s="294"/>
      <c r="P150" s="294"/>
      <c r="Q150" s="294"/>
      <c r="R150" s="294"/>
      <c r="S150" s="295"/>
      <c r="T150" s="296">
        <v>0</v>
      </c>
      <c r="U150" s="297"/>
      <c r="V150" s="297"/>
      <c r="W150" s="297"/>
      <c r="X150" s="297"/>
      <c r="Y150" s="297"/>
      <c r="Z150" s="297"/>
      <c r="AA150" s="297"/>
      <c r="AB150" s="293">
        <v>0</v>
      </c>
      <c r="AC150" s="294"/>
      <c r="AD150" s="295"/>
      <c r="AE150" s="298"/>
      <c r="AF150" s="296">
        <v>1</v>
      </c>
      <c r="AG150" s="297"/>
      <c r="AH150" s="297"/>
      <c r="AI150" s="297"/>
      <c r="AJ150" s="297"/>
      <c r="AK150" s="297"/>
      <c r="AL150" s="297"/>
      <c r="AM150" s="297"/>
      <c r="AN150" s="300"/>
      <c r="AO150" s="301"/>
      <c r="AP150" s="301"/>
      <c r="AQ150" s="301"/>
      <c r="AR150" s="301"/>
      <c r="AS150" s="301"/>
      <c r="AT150" s="301"/>
      <c r="AU150" s="301">
        <v>1500</v>
      </c>
      <c r="AV150" s="301"/>
      <c r="AW150" s="301"/>
      <c r="AX150" s="301"/>
      <c r="AY150" s="301"/>
      <c r="AZ150" s="301"/>
      <c r="BA150" s="301"/>
      <c r="BB150" s="301"/>
      <c r="BC150" s="301"/>
      <c r="BD150" s="301"/>
      <c r="BE150" s="301"/>
      <c r="BF150" s="302"/>
      <c r="BG150" s="303"/>
      <c r="BH150" s="304"/>
      <c r="BI150" s="304"/>
      <c r="BJ150" s="304"/>
      <c r="BK150" s="304"/>
      <c r="BL150" s="304"/>
      <c r="BM150" s="304"/>
      <c r="BN150" s="304">
        <v>10</v>
      </c>
      <c r="BO150" s="304"/>
      <c r="BP150" s="304"/>
      <c r="BQ150" s="304"/>
      <c r="BR150" s="304"/>
      <c r="BS150" s="304"/>
      <c r="BT150" s="304"/>
      <c r="BU150" s="304"/>
      <c r="BV150" s="304"/>
      <c r="BW150" s="304"/>
      <c r="BX150" s="304"/>
      <c r="BY150" s="305"/>
      <c r="BZ150" s="306"/>
      <c r="CA150" s="307"/>
      <c r="CB150" s="307"/>
      <c r="CC150" s="307"/>
      <c r="CD150" s="307"/>
      <c r="CE150" s="307"/>
      <c r="CF150" s="307"/>
      <c r="CG150" s="332"/>
      <c r="CH150" s="328">
        <v>2</v>
      </c>
      <c r="CI150" s="328"/>
      <c r="CJ150" s="328"/>
      <c r="CK150" s="328"/>
      <c r="CL150" s="328"/>
      <c r="CM150" s="328"/>
      <c r="CN150" s="370"/>
      <c r="CO150" s="367">
        <v>10</v>
      </c>
      <c r="CP150" s="367"/>
      <c r="CQ150" s="367"/>
      <c r="CR150" s="367"/>
      <c r="CS150" s="387"/>
      <c r="CT150" s="398"/>
      <c r="CU150" s="399">
        <v>1</v>
      </c>
      <c r="CV150" s="399"/>
      <c r="CW150" s="399"/>
      <c r="CX150" s="399"/>
      <c r="CY150" s="399"/>
      <c r="CZ150" s="399"/>
      <c r="DA150" s="400"/>
      <c r="DB150" s="522">
        <v>1</v>
      </c>
    </row>
    <row r="151" spans="1:106" x14ac:dyDescent="0.25">
      <c r="A151" s="468" t="s">
        <v>88</v>
      </c>
      <c r="B151" s="468">
        <v>806</v>
      </c>
      <c r="C151" s="468" t="s">
        <v>2245</v>
      </c>
      <c r="D151" s="468">
        <v>308</v>
      </c>
      <c r="E151" s="468" t="s">
        <v>2246</v>
      </c>
      <c r="F151" s="468" t="s">
        <v>2247</v>
      </c>
      <c r="G151" s="468" t="s">
        <v>2248</v>
      </c>
      <c r="H151" s="468" t="s">
        <v>2249</v>
      </c>
      <c r="I151" s="468" t="s">
        <v>32</v>
      </c>
      <c r="J151" s="468" t="s">
        <v>3137</v>
      </c>
      <c r="K151" s="468" t="s">
        <v>2250</v>
      </c>
      <c r="L151" s="468" t="s">
        <v>3928</v>
      </c>
      <c r="M151" s="468" t="s">
        <v>3929</v>
      </c>
      <c r="N151" s="460">
        <v>0</v>
      </c>
      <c r="O151" s="294"/>
      <c r="P151" s="294"/>
      <c r="Q151" s="294"/>
      <c r="R151" s="294"/>
      <c r="S151" s="295"/>
      <c r="T151" s="299"/>
      <c r="U151" s="297">
        <v>2</v>
      </c>
      <c r="V151" s="297"/>
      <c r="W151" s="297"/>
      <c r="X151" s="297"/>
      <c r="Y151" s="297"/>
      <c r="Z151" s="297"/>
      <c r="AA151" s="297"/>
      <c r="AB151" s="293">
        <v>0</v>
      </c>
      <c r="AC151" s="294"/>
      <c r="AD151" s="295"/>
      <c r="AE151" s="298"/>
      <c r="AF151" s="296">
        <v>0</v>
      </c>
      <c r="AG151" s="297"/>
      <c r="AH151" s="297"/>
      <c r="AI151" s="297"/>
      <c r="AJ151" s="297"/>
      <c r="AK151" s="297"/>
      <c r="AL151" s="297"/>
      <c r="AM151" s="297"/>
      <c r="AN151" s="300"/>
      <c r="AO151" s="301"/>
      <c r="AP151" s="301"/>
      <c r="AQ151" s="301"/>
      <c r="AR151" s="301"/>
      <c r="AS151" s="301"/>
      <c r="AT151" s="301"/>
      <c r="AU151" s="301">
        <v>1500</v>
      </c>
      <c r="AV151" s="301"/>
      <c r="AW151" s="301"/>
      <c r="AX151" s="301"/>
      <c r="AY151" s="301"/>
      <c r="AZ151" s="301"/>
      <c r="BA151" s="301"/>
      <c r="BB151" s="301"/>
      <c r="BC151" s="301"/>
      <c r="BD151" s="301"/>
      <c r="BE151" s="301"/>
      <c r="BF151" s="302"/>
      <c r="BG151" s="303"/>
      <c r="BH151" s="304"/>
      <c r="BI151" s="304"/>
      <c r="BJ151" s="304"/>
      <c r="BK151" s="304"/>
      <c r="BL151" s="304"/>
      <c r="BM151" s="304"/>
      <c r="BN151" s="304">
        <v>10</v>
      </c>
      <c r="BO151" s="304"/>
      <c r="BP151" s="304"/>
      <c r="BQ151" s="304"/>
      <c r="BR151" s="304"/>
      <c r="BS151" s="304"/>
      <c r="BT151" s="304"/>
      <c r="BU151" s="304"/>
      <c r="BV151" s="304"/>
      <c r="BW151" s="304"/>
      <c r="BX151" s="304"/>
      <c r="BY151" s="305"/>
      <c r="BZ151" s="306"/>
      <c r="CA151" s="307"/>
      <c r="CB151" s="307"/>
      <c r="CC151" s="307"/>
      <c r="CD151" s="307"/>
      <c r="CE151" s="307"/>
      <c r="CF151" s="307"/>
      <c r="CG151" s="332"/>
      <c r="CH151" s="328">
        <v>2</v>
      </c>
      <c r="CI151" s="328"/>
      <c r="CJ151" s="328"/>
      <c r="CK151" s="328"/>
      <c r="CL151" s="328"/>
      <c r="CM151" s="328"/>
      <c r="CN151" s="370"/>
      <c r="CO151" s="367">
        <v>10</v>
      </c>
      <c r="CP151" s="367"/>
      <c r="CQ151" s="367"/>
      <c r="CR151" s="367"/>
      <c r="CS151" s="387"/>
      <c r="CT151" s="398"/>
      <c r="CU151" s="399">
        <v>1</v>
      </c>
      <c r="CV151" s="399"/>
      <c r="CW151" s="399"/>
      <c r="CX151" s="399"/>
      <c r="CY151" s="399"/>
      <c r="CZ151" s="399"/>
      <c r="DA151" s="400"/>
      <c r="DB151" s="522">
        <v>1</v>
      </c>
    </row>
    <row r="152" spans="1:106" x14ac:dyDescent="0.25">
      <c r="A152" s="468" t="s">
        <v>88</v>
      </c>
      <c r="B152" s="468">
        <v>806</v>
      </c>
      <c r="C152" s="468" t="s">
        <v>2251</v>
      </c>
      <c r="D152" s="468">
        <v>309</v>
      </c>
      <c r="E152" s="468" t="s">
        <v>2252</v>
      </c>
      <c r="F152" s="468" t="s">
        <v>3138</v>
      </c>
      <c r="G152" s="468" t="s">
        <v>2253</v>
      </c>
      <c r="H152" s="468" t="s">
        <v>92</v>
      </c>
      <c r="I152" s="468" t="s">
        <v>32</v>
      </c>
      <c r="J152" s="468" t="s">
        <v>3139</v>
      </c>
      <c r="K152" s="468" t="s">
        <v>2254</v>
      </c>
      <c r="L152" s="468" t="s">
        <v>3928</v>
      </c>
      <c r="M152" s="468" t="s">
        <v>3929</v>
      </c>
      <c r="N152" s="460">
        <v>0</v>
      </c>
      <c r="O152" s="294"/>
      <c r="P152" s="294"/>
      <c r="Q152" s="294"/>
      <c r="R152" s="294"/>
      <c r="S152" s="295"/>
      <c r="T152" s="299"/>
      <c r="U152" s="297">
        <v>2</v>
      </c>
      <c r="V152" s="297"/>
      <c r="W152" s="297"/>
      <c r="X152" s="297"/>
      <c r="Y152" s="297"/>
      <c r="Z152" s="297"/>
      <c r="AA152" s="297"/>
      <c r="AB152" s="293">
        <v>0</v>
      </c>
      <c r="AC152" s="294"/>
      <c r="AD152" s="295"/>
      <c r="AE152" s="298"/>
      <c r="AF152" s="296">
        <v>0</v>
      </c>
      <c r="AG152" s="297"/>
      <c r="AH152" s="297"/>
      <c r="AI152" s="297"/>
      <c r="AJ152" s="297"/>
      <c r="AK152" s="297"/>
      <c r="AL152" s="297"/>
      <c r="AM152" s="297"/>
      <c r="AN152" s="300"/>
      <c r="AO152" s="301"/>
      <c r="AP152" s="301"/>
      <c r="AQ152" s="301"/>
      <c r="AR152" s="301"/>
      <c r="AS152" s="301"/>
      <c r="AT152" s="301"/>
      <c r="AU152" s="301">
        <v>1500</v>
      </c>
      <c r="AV152" s="301"/>
      <c r="AW152" s="301"/>
      <c r="AX152" s="301"/>
      <c r="AY152" s="301"/>
      <c r="AZ152" s="301"/>
      <c r="BA152" s="301"/>
      <c r="BB152" s="301"/>
      <c r="BC152" s="301"/>
      <c r="BD152" s="301"/>
      <c r="BE152" s="301"/>
      <c r="BF152" s="302"/>
      <c r="BG152" s="303"/>
      <c r="BH152" s="304"/>
      <c r="BI152" s="304"/>
      <c r="BJ152" s="304"/>
      <c r="BK152" s="304"/>
      <c r="BL152" s="304"/>
      <c r="BM152" s="304"/>
      <c r="BN152" s="304">
        <v>10</v>
      </c>
      <c r="BO152" s="304"/>
      <c r="BP152" s="304"/>
      <c r="BQ152" s="304"/>
      <c r="BR152" s="304"/>
      <c r="BS152" s="304"/>
      <c r="BT152" s="304"/>
      <c r="BU152" s="304"/>
      <c r="BV152" s="304"/>
      <c r="BW152" s="304"/>
      <c r="BX152" s="304"/>
      <c r="BY152" s="305"/>
      <c r="BZ152" s="306"/>
      <c r="CA152" s="307"/>
      <c r="CB152" s="307"/>
      <c r="CC152" s="307"/>
      <c r="CD152" s="307"/>
      <c r="CE152" s="307"/>
      <c r="CF152" s="307"/>
      <c r="CG152" s="332"/>
      <c r="CH152" s="328">
        <v>2</v>
      </c>
      <c r="CI152" s="328"/>
      <c r="CJ152" s="328"/>
      <c r="CK152" s="328"/>
      <c r="CL152" s="328"/>
      <c r="CM152" s="328"/>
      <c r="CN152" s="370"/>
      <c r="CO152" s="367">
        <v>10</v>
      </c>
      <c r="CP152" s="367"/>
      <c r="CQ152" s="367"/>
      <c r="CR152" s="367"/>
      <c r="CS152" s="387"/>
      <c r="CT152" s="398"/>
      <c r="CU152" s="399">
        <v>1</v>
      </c>
      <c r="CV152" s="399"/>
      <c r="CW152" s="399"/>
      <c r="CX152" s="399"/>
      <c r="CY152" s="399"/>
      <c r="CZ152" s="399"/>
      <c r="DA152" s="400"/>
      <c r="DB152" s="522">
        <v>1</v>
      </c>
    </row>
    <row r="153" spans="1:106" x14ac:dyDescent="0.25">
      <c r="A153" s="468" t="s">
        <v>88</v>
      </c>
      <c r="B153" s="468">
        <v>806</v>
      </c>
      <c r="C153" s="468" t="s">
        <v>2261</v>
      </c>
      <c r="D153" s="468">
        <v>318</v>
      </c>
      <c r="E153" s="468" t="s">
        <v>2262</v>
      </c>
      <c r="F153" s="468" t="s">
        <v>3138</v>
      </c>
      <c r="G153" s="468" t="s">
        <v>2263</v>
      </c>
      <c r="H153" s="468" t="s">
        <v>92</v>
      </c>
      <c r="I153" s="468" t="s">
        <v>32</v>
      </c>
      <c r="J153" s="468" t="s">
        <v>3136</v>
      </c>
      <c r="K153" s="468" t="s">
        <v>2264</v>
      </c>
      <c r="L153" s="468" t="s">
        <v>3928</v>
      </c>
      <c r="M153" s="468" t="s">
        <v>3929</v>
      </c>
      <c r="N153" s="460">
        <v>0</v>
      </c>
      <c r="O153" s="294"/>
      <c r="P153" s="294"/>
      <c r="Q153" s="294"/>
      <c r="R153" s="294"/>
      <c r="S153" s="295"/>
      <c r="T153" s="296">
        <v>0</v>
      </c>
      <c r="U153" s="297"/>
      <c r="V153" s="297"/>
      <c r="W153" s="297"/>
      <c r="X153" s="297"/>
      <c r="Y153" s="297"/>
      <c r="Z153" s="297"/>
      <c r="AA153" s="297"/>
      <c r="AB153" s="310"/>
      <c r="AC153" s="294"/>
      <c r="AD153" s="295">
        <v>2</v>
      </c>
      <c r="AE153" s="298"/>
      <c r="AF153" s="296">
        <v>0</v>
      </c>
      <c r="AG153" s="297"/>
      <c r="AH153" s="297"/>
      <c r="AI153" s="297"/>
      <c r="AJ153" s="297"/>
      <c r="AK153" s="297"/>
      <c r="AL153" s="297"/>
      <c r="AM153" s="297"/>
      <c r="AN153" s="300"/>
      <c r="AO153" s="301"/>
      <c r="AP153" s="301"/>
      <c r="AQ153" s="301"/>
      <c r="AR153" s="301"/>
      <c r="AS153" s="301"/>
      <c r="AT153" s="301"/>
      <c r="AU153" s="301">
        <v>1500</v>
      </c>
      <c r="AV153" s="301"/>
      <c r="AW153" s="301"/>
      <c r="AX153" s="301"/>
      <c r="AY153" s="301"/>
      <c r="AZ153" s="301"/>
      <c r="BA153" s="301"/>
      <c r="BB153" s="301"/>
      <c r="BC153" s="301"/>
      <c r="BD153" s="301"/>
      <c r="BE153" s="301"/>
      <c r="BF153" s="302"/>
      <c r="BG153" s="303"/>
      <c r="BH153" s="304"/>
      <c r="BI153" s="304"/>
      <c r="BJ153" s="304"/>
      <c r="BK153" s="304"/>
      <c r="BL153" s="304"/>
      <c r="BM153" s="304"/>
      <c r="BN153" s="304">
        <v>10</v>
      </c>
      <c r="BO153" s="304"/>
      <c r="BP153" s="304"/>
      <c r="BQ153" s="304"/>
      <c r="BR153" s="304"/>
      <c r="BS153" s="304"/>
      <c r="BT153" s="304"/>
      <c r="BU153" s="304"/>
      <c r="BV153" s="304"/>
      <c r="BW153" s="304"/>
      <c r="BX153" s="304"/>
      <c r="BY153" s="305"/>
      <c r="BZ153" s="306"/>
      <c r="CA153" s="307"/>
      <c r="CB153" s="307"/>
      <c r="CC153" s="307"/>
      <c r="CD153" s="307"/>
      <c r="CE153" s="307"/>
      <c r="CF153" s="307"/>
      <c r="CG153" s="332"/>
      <c r="CH153" s="328">
        <v>2</v>
      </c>
      <c r="CI153" s="328"/>
      <c r="CJ153" s="328"/>
      <c r="CK153" s="328"/>
      <c r="CL153" s="328"/>
      <c r="CM153" s="328"/>
      <c r="CN153" s="370"/>
      <c r="CO153" s="367">
        <v>10</v>
      </c>
      <c r="CP153" s="367"/>
      <c r="CQ153" s="367"/>
      <c r="CR153" s="367"/>
      <c r="CS153" s="387"/>
      <c r="CT153" s="398"/>
      <c r="CU153" s="399">
        <v>1</v>
      </c>
      <c r="CV153" s="399"/>
      <c r="CW153" s="399"/>
      <c r="CX153" s="399"/>
      <c r="CY153" s="399"/>
      <c r="CZ153" s="399"/>
      <c r="DA153" s="400"/>
      <c r="DB153" s="522">
        <v>1</v>
      </c>
    </row>
    <row r="154" spans="1:106" x14ac:dyDescent="0.25">
      <c r="A154" s="468" t="s">
        <v>114</v>
      </c>
      <c r="B154" s="468">
        <v>806</v>
      </c>
      <c r="C154" s="468" t="s">
        <v>3477</v>
      </c>
      <c r="D154" s="468">
        <v>1351</v>
      </c>
      <c r="E154" s="468" t="s">
        <v>2265</v>
      </c>
      <c r="F154" s="468" t="s">
        <v>2266</v>
      </c>
      <c r="G154" s="468" t="s">
        <v>2267</v>
      </c>
      <c r="H154" s="468" t="s">
        <v>118</v>
      </c>
      <c r="I154" s="468" t="s">
        <v>32</v>
      </c>
      <c r="J154" s="468" t="s">
        <v>3170</v>
      </c>
      <c r="K154" s="468" t="s">
        <v>2268</v>
      </c>
      <c r="L154" s="468" t="s">
        <v>3766</v>
      </c>
      <c r="M154" s="468" t="s">
        <v>4011</v>
      </c>
      <c r="N154" s="460">
        <v>0</v>
      </c>
      <c r="O154" s="294"/>
      <c r="P154" s="294"/>
      <c r="Q154" s="294"/>
      <c r="R154" s="294"/>
      <c r="S154" s="295"/>
      <c r="T154" s="299"/>
      <c r="U154" s="297"/>
      <c r="V154" s="297"/>
      <c r="W154" s="297"/>
      <c r="X154" s="297"/>
      <c r="Y154" s="297"/>
      <c r="Z154" s="297"/>
      <c r="AA154" s="297">
        <v>2</v>
      </c>
      <c r="AB154" s="293">
        <v>0</v>
      </c>
      <c r="AC154" s="294"/>
      <c r="AD154" s="295"/>
      <c r="AE154" s="298"/>
      <c r="AF154" s="296">
        <v>0</v>
      </c>
      <c r="AG154" s="297"/>
      <c r="AH154" s="297"/>
      <c r="AI154" s="297"/>
      <c r="AJ154" s="297"/>
      <c r="AK154" s="297"/>
      <c r="AL154" s="297"/>
      <c r="AM154" s="297"/>
      <c r="AN154" s="300">
        <v>1500</v>
      </c>
      <c r="AO154" s="301"/>
      <c r="AP154" s="301"/>
      <c r="AQ154" s="301"/>
      <c r="AR154" s="301"/>
      <c r="AS154" s="301"/>
      <c r="AT154" s="301"/>
      <c r="AU154" s="301"/>
      <c r="AV154" s="301"/>
      <c r="AW154" s="301"/>
      <c r="AX154" s="301"/>
      <c r="AY154" s="301"/>
      <c r="AZ154" s="301"/>
      <c r="BA154" s="301"/>
      <c r="BB154" s="301"/>
      <c r="BC154" s="301"/>
      <c r="BD154" s="301"/>
      <c r="BE154" s="301"/>
      <c r="BF154" s="302"/>
      <c r="BG154" s="303">
        <v>10</v>
      </c>
      <c r="BH154" s="304"/>
      <c r="BI154" s="304"/>
      <c r="BJ154" s="304"/>
      <c r="BK154" s="304"/>
      <c r="BL154" s="304"/>
      <c r="BM154" s="304"/>
      <c r="BN154" s="304"/>
      <c r="BO154" s="304"/>
      <c r="BP154" s="304"/>
      <c r="BQ154" s="304"/>
      <c r="BR154" s="304"/>
      <c r="BS154" s="304"/>
      <c r="BT154" s="304"/>
      <c r="BU154" s="304"/>
      <c r="BV154" s="304"/>
      <c r="BW154" s="304"/>
      <c r="BX154" s="304"/>
      <c r="BY154" s="305"/>
      <c r="BZ154" s="306"/>
      <c r="CA154" s="307"/>
      <c r="CB154" s="307"/>
      <c r="CC154" s="307"/>
      <c r="CD154" s="307"/>
      <c r="CE154" s="307"/>
      <c r="CF154" s="307"/>
      <c r="CG154" s="332"/>
      <c r="CH154" s="328"/>
      <c r="CI154" s="328"/>
      <c r="CJ154" s="328"/>
      <c r="CK154" s="328"/>
      <c r="CL154" s="328"/>
      <c r="CM154" s="328">
        <v>2</v>
      </c>
      <c r="CN154" s="370"/>
      <c r="CO154" s="367"/>
      <c r="CP154" s="367"/>
      <c r="CQ154" s="367"/>
      <c r="CR154" s="367"/>
      <c r="CS154" s="387">
        <v>10</v>
      </c>
      <c r="CT154" s="398"/>
      <c r="CU154" s="399"/>
      <c r="CV154" s="399"/>
      <c r="CW154" s="399"/>
      <c r="CX154" s="399"/>
      <c r="CY154" s="399"/>
      <c r="CZ154" s="399"/>
      <c r="DA154" s="400">
        <v>1</v>
      </c>
      <c r="DB154" s="522">
        <v>1</v>
      </c>
    </row>
    <row r="155" spans="1:106" x14ac:dyDescent="0.25">
      <c r="A155" s="468" t="s">
        <v>114</v>
      </c>
      <c r="B155" s="468">
        <v>806</v>
      </c>
      <c r="C155" s="468" t="s">
        <v>3488</v>
      </c>
      <c r="D155" s="468">
        <v>1361</v>
      </c>
      <c r="E155" s="468" t="s">
        <v>2293</v>
      </c>
      <c r="F155" s="468" t="s">
        <v>2294</v>
      </c>
      <c r="G155" s="468" t="s">
        <v>2295</v>
      </c>
      <c r="H155" s="468" t="s">
        <v>118</v>
      </c>
      <c r="I155" s="468" t="s">
        <v>32</v>
      </c>
      <c r="J155" s="468" t="s">
        <v>3163</v>
      </c>
      <c r="K155" s="468" t="s">
        <v>2296</v>
      </c>
      <c r="L155" s="468" t="s">
        <v>3766</v>
      </c>
      <c r="M155" s="468" t="s">
        <v>4011</v>
      </c>
      <c r="N155" s="460">
        <v>0</v>
      </c>
      <c r="O155" s="294"/>
      <c r="P155" s="294"/>
      <c r="Q155" s="294"/>
      <c r="R155" s="294"/>
      <c r="S155" s="295"/>
      <c r="T155" s="299"/>
      <c r="U155" s="297"/>
      <c r="V155" s="297"/>
      <c r="W155" s="297"/>
      <c r="X155" s="297"/>
      <c r="Y155" s="297"/>
      <c r="Z155" s="297"/>
      <c r="AA155" s="297">
        <v>2</v>
      </c>
      <c r="AB155" s="293">
        <v>0</v>
      </c>
      <c r="AC155" s="294"/>
      <c r="AD155" s="295"/>
      <c r="AE155" s="298"/>
      <c r="AF155" s="296">
        <v>0</v>
      </c>
      <c r="AG155" s="297"/>
      <c r="AH155" s="297"/>
      <c r="AI155" s="297"/>
      <c r="AJ155" s="297"/>
      <c r="AK155" s="297"/>
      <c r="AL155" s="297"/>
      <c r="AM155" s="297"/>
      <c r="AN155" s="300">
        <v>1500</v>
      </c>
      <c r="AO155" s="301"/>
      <c r="AP155" s="301"/>
      <c r="AQ155" s="301"/>
      <c r="AR155" s="301"/>
      <c r="AS155" s="301"/>
      <c r="AT155" s="301"/>
      <c r="AU155" s="301"/>
      <c r="AV155" s="301"/>
      <c r="AW155" s="301"/>
      <c r="AX155" s="301"/>
      <c r="AY155" s="301"/>
      <c r="AZ155" s="301"/>
      <c r="BA155" s="301"/>
      <c r="BB155" s="301"/>
      <c r="BC155" s="301"/>
      <c r="BD155" s="301"/>
      <c r="BE155" s="301"/>
      <c r="BF155" s="302"/>
      <c r="BG155" s="303">
        <v>10</v>
      </c>
      <c r="BH155" s="304"/>
      <c r="BI155" s="304"/>
      <c r="BJ155" s="304"/>
      <c r="BK155" s="304"/>
      <c r="BL155" s="304"/>
      <c r="BM155" s="304"/>
      <c r="BN155" s="304"/>
      <c r="BO155" s="304"/>
      <c r="BP155" s="304"/>
      <c r="BQ155" s="304"/>
      <c r="BR155" s="304"/>
      <c r="BS155" s="304"/>
      <c r="BT155" s="304"/>
      <c r="BU155" s="304"/>
      <c r="BV155" s="304"/>
      <c r="BW155" s="304"/>
      <c r="BX155" s="304"/>
      <c r="BY155" s="305"/>
      <c r="BZ155" s="306"/>
      <c r="CA155" s="307"/>
      <c r="CB155" s="307"/>
      <c r="CC155" s="307"/>
      <c r="CD155" s="307"/>
      <c r="CE155" s="307"/>
      <c r="CF155" s="307"/>
      <c r="CG155" s="332"/>
      <c r="CH155" s="328"/>
      <c r="CI155" s="328"/>
      <c r="CJ155" s="328"/>
      <c r="CK155" s="328"/>
      <c r="CL155" s="328"/>
      <c r="CM155" s="328">
        <v>2</v>
      </c>
      <c r="CN155" s="370"/>
      <c r="CO155" s="367"/>
      <c r="CP155" s="367"/>
      <c r="CQ155" s="367"/>
      <c r="CR155" s="367"/>
      <c r="CS155" s="387">
        <v>10</v>
      </c>
      <c r="CT155" s="398"/>
      <c r="CU155" s="399"/>
      <c r="CV155" s="399"/>
      <c r="CW155" s="399"/>
      <c r="CX155" s="399"/>
      <c r="CY155" s="399"/>
      <c r="CZ155" s="399"/>
      <c r="DA155" s="400">
        <v>1</v>
      </c>
      <c r="DB155" s="522">
        <v>1</v>
      </c>
    </row>
    <row r="156" spans="1:106" x14ac:dyDescent="0.25">
      <c r="A156" s="468" t="s">
        <v>114</v>
      </c>
      <c r="B156" s="468">
        <v>806</v>
      </c>
      <c r="C156" s="468" t="s">
        <v>3691</v>
      </c>
      <c r="D156" s="468">
        <v>2546</v>
      </c>
      <c r="E156" s="468" t="s">
        <v>418</v>
      </c>
      <c r="F156" s="468" t="s">
        <v>2960</v>
      </c>
      <c r="G156" s="468" t="s">
        <v>419</v>
      </c>
      <c r="H156" s="468" t="s">
        <v>118</v>
      </c>
      <c r="I156" s="468" t="s">
        <v>32</v>
      </c>
      <c r="J156" s="468" t="s">
        <v>3165</v>
      </c>
      <c r="K156" s="468" t="s">
        <v>2961</v>
      </c>
      <c r="L156" s="468" t="s">
        <v>3766</v>
      </c>
      <c r="M156" s="468" t="s">
        <v>4011</v>
      </c>
      <c r="N156" s="460">
        <v>1</v>
      </c>
      <c r="O156" s="294"/>
      <c r="P156" s="294"/>
      <c r="Q156" s="294"/>
      <c r="R156" s="294"/>
      <c r="S156" s="295"/>
      <c r="T156" s="299"/>
      <c r="U156" s="297"/>
      <c r="V156" s="297"/>
      <c r="W156" s="297"/>
      <c r="X156" s="297"/>
      <c r="Y156" s="297"/>
      <c r="Z156" s="297"/>
      <c r="AA156" s="297"/>
      <c r="AB156" s="293"/>
      <c r="AC156" s="294"/>
      <c r="AD156" s="295"/>
      <c r="AE156" s="298"/>
      <c r="AF156" s="296"/>
      <c r="AG156" s="297"/>
      <c r="AH156" s="297"/>
      <c r="AI156" s="297"/>
      <c r="AJ156" s="297"/>
      <c r="AK156" s="297"/>
      <c r="AL156" s="297"/>
      <c r="AM156" s="297"/>
      <c r="AN156" s="300">
        <v>1500</v>
      </c>
      <c r="AO156" s="301"/>
      <c r="AP156" s="301"/>
      <c r="AQ156" s="301"/>
      <c r="AR156" s="301"/>
      <c r="AS156" s="301"/>
      <c r="AT156" s="301"/>
      <c r="AU156" s="301"/>
      <c r="AV156" s="301"/>
      <c r="AW156" s="301"/>
      <c r="AX156" s="301"/>
      <c r="AY156" s="301"/>
      <c r="AZ156" s="301"/>
      <c r="BA156" s="301"/>
      <c r="BB156" s="301"/>
      <c r="BC156" s="301"/>
      <c r="BD156" s="301"/>
      <c r="BE156" s="301"/>
      <c r="BF156" s="302"/>
      <c r="BG156" s="303">
        <v>10</v>
      </c>
      <c r="BH156" s="304"/>
      <c r="BI156" s="304"/>
      <c r="BJ156" s="304"/>
      <c r="BK156" s="304"/>
      <c r="BL156" s="304"/>
      <c r="BM156" s="304"/>
      <c r="BN156" s="304"/>
      <c r="BO156" s="304"/>
      <c r="BP156" s="304"/>
      <c r="BQ156" s="304"/>
      <c r="BR156" s="304"/>
      <c r="BS156" s="304"/>
      <c r="BT156" s="304"/>
      <c r="BU156" s="304"/>
      <c r="BV156" s="304"/>
      <c r="BW156" s="304"/>
      <c r="BX156" s="304"/>
      <c r="BY156" s="305"/>
      <c r="BZ156" s="306"/>
      <c r="CA156" s="307"/>
      <c r="CB156" s="307"/>
      <c r="CC156" s="307"/>
      <c r="CD156" s="307"/>
      <c r="CE156" s="307"/>
      <c r="CF156" s="307"/>
      <c r="CG156" s="332"/>
      <c r="CH156" s="328"/>
      <c r="CI156" s="328"/>
      <c r="CJ156" s="328"/>
      <c r="CK156" s="328"/>
      <c r="CL156" s="328"/>
      <c r="CM156" s="328">
        <v>2</v>
      </c>
      <c r="CN156" s="370"/>
      <c r="CO156" s="367"/>
      <c r="CP156" s="367"/>
      <c r="CQ156" s="367"/>
      <c r="CR156" s="367"/>
      <c r="CS156" s="387">
        <v>10</v>
      </c>
      <c r="CT156" s="398"/>
      <c r="CU156" s="399"/>
      <c r="CV156" s="399"/>
      <c r="CW156" s="399"/>
      <c r="CX156" s="399"/>
      <c r="CY156" s="399"/>
      <c r="CZ156" s="399"/>
      <c r="DA156" s="400">
        <v>1</v>
      </c>
      <c r="DB156" s="522">
        <v>1</v>
      </c>
    </row>
    <row r="157" spans="1:106" x14ac:dyDescent="0.25">
      <c r="A157" s="468" t="s">
        <v>27</v>
      </c>
      <c r="B157" s="468">
        <v>804</v>
      </c>
      <c r="C157" s="468" t="s">
        <v>2496</v>
      </c>
      <c r="D157" s="468">
        <v>15</v>
      </c>
      <c r="E157" s="468" t="s">
        <v>2497</v>
      </c>
      <c r="F157" s="468" t="s">
        <v>3024</v>
      </c>
      <c r="G157" s="468" t="s">
        <v>2499</v>
      </c>
      <c r="H157" s="468" t="s">
        <v>31</v>
      </c>
      <c r="I157" s="468" t="s">
        <v>32</v>
      </c>
      <c r="J157" s="468" t="s">
        <v>3063</v>
      </c>
      <c r="K157" s="468" t="s">
        <v>2500</v>
      </c>
      <c r="L157" s="468" t="s">
        <v>3766</v>
      </c>
      <c r="M157" s="468" t="s">
        <v>4011</v>
      </c>
      <c r="N157" s="460">
        <v>0</v>
      </c>
      <c r="O157" s="294"/>
      <c r="P157" s="294"/>
      <c r="Q157" s="294"/>
      <c r="R157" s="294"/>
      <c r="S157" s="295"/>
      <c r="T157" s="299"/>
      <c r="U157" s="297"/>
      <c r="V157" s="297"/>
      <c r="W157" s="297"/>
      <c r="X157" s="297"/>
      <c r="Y157" s="297"/>
      <c r="Z157" s="297"/>
      <c r="AA157" s="297">
        <v>0</v>
      </c>
      <c r="AB157" s="293">
        <v>0</v>
      </c>
      <c r="AC157" s="294"/>
      <c r="AD157" s="295"/>
      <c r="AE157" s="298"/>
      <c r="AF157" s="296">
        <v>0</v>
      </c>
      <c r="AG157" s="297"/>
      <c r="AH157" s="297"/>
      <c r="AI157" s="297"/>
      <c r="AJ157" s="297"/>
      <c r="AK157" s="297"/>
      <c r="AL157" s="297"/>
      <c r="AM157" s="297"/>
      <c r="AN157" s="300">
        <v>1500</v>
      </c>
      <c r="AO157" s="301"/>
      <c r="AP157" s="301"/>
      <c r="AQ157" s="301"/>
      <c r="AR157" s="301"/>
      <c r="AS157" s="301"/>
      <c r="AT157" s="301"/>
      <c r="AU157" s="301"/>
      <c r="AV157" s="301"/>
      <c r="AW157" s="301"/>
      <c r="AX157" s="301"/>
      <c r="AY157" s="301"/>
      <c r="AZ157" s="301"/>
      <c r="BA157" s="301"/>
      <c r="BB157" s="301"/>
      <c r="BC157" s="301"/>
      <c r="BD157" s="301"/>
      <c r="BE157" s="301"/>
      <c r="BF157" s="302"/>
      <c r="BG157" s="303">
        <v>10</v>
      </c>
      <c r="BH157" s="304"/>
      <c r="BI157" s="304"/>
      <c r="BJ157" s="304"/>
      <c r="BK157" s="304"/>
      <c r="BL157" s="304"/>
      <c r="BM157" s="304"/>
      <c r="BN157" s="304"/>
      <c r="BO157" s="304"/>
      <c r="BP157" s="304"/>
      <c r="BQ157" s="304"/>
      <c r="BR157" s="304"/>
      <c r="BS157" s="304"/>
      <c r="BT157" s="304"/>
      <c r="BU157" s="304"/>
      <c r="BV157" s="304"/>
      <c r="BW157" s="304"/>
      <c r="BX157" s="304"/>
      <c r="BY157" s="305"/>
      <c r="BZ157" s="308"/>
      <c r="CA157" s="307"/>
      <c r="CB157" s="307"/>
      <c r="CC157" s="307"/>
      <c r="CD157" s="307"/>
      <c r="CE157" s="307"/>
      <c r="CF157" s="309">
        <v>1</v>
      </c>
      <c r="CG157" s="332"/>
      <c r="CH157" s="328"/>
      <c r="CI157" s="328"/>
      <c r="CJ157" s="328"/>
      <c r="CK157" s="328"/>
      <c r="CL157" s="328"/>
      <c r="CM157" s="328">
        <v>2</v>
      </c>
      <c r="CN157" s="370"/>
      <c r="CO157" s="367"/>
      <c r="CP157" s="367"/>
      <c r="CQ157" s="367"/>
      <c r="CR157" s="367"/>
      <c r="CS157" s="387">
        <v>10</v>
      </c>
      <c r="CT157" s="398"/>
      <c r="CU157" s="399"/>
      <c r="CV157" s="399"/>
      <c r="CW157" s="399"/>
      <c r="CX157" s="399"/>
      <c r="CY157" s="399"/>
      <c r="CZ157" s="399"/>
      <c r="DA157" s="400">
        <v>1</v>
      </c>
      <c r="DB157" s="522">
        <v>1</v>
      </c>
    </row>
    <row r="158" spans="1:106" x14ac:dyDescent="0.25">
      <c r="A158" s="468" t="s">
        <v>27</v>
      </c>
      <c r="B158" s="468">
        <v>804</v>
      </c>
      <c r="C158" s="468" t="s">
        <v>2501</v>
      </c>
      <c r="D158" s="468">
        <v>16</v>
      </c>
      <c r="E158" s="468" t="s">
        <v>2502</v>
      </c>
      <c r="F158" s="468" t="s">
        <v>3025</v>
      </c>
      <c r="G158" s="468" t="s">
        <v>2503</v>
      </c>
      <c r="H158" s="468" t="s">
        <v>2504</v>
      </c>
      <c r="I158" s="468" t="s">
        <v>32</v>
      </c>
      <c r="J158" s="468" t="s">
        <v>3066</v>
      </c>
      <c r="K158" s="468" t="s">
        <v>2505</v>
      </c>
      <c r="L158" s="468" t="s">
        <v>3766</v>
      </c>
      <c r="M158" s="468" t="s">
        <v>4011</v>
      </c>
      <c r="N158" s="460">
        <v>0</v>
      </c>
      <c r="O158" s="294"/>
      <c r="P158" s="294"/>
      <c r="Q158" s="294"/>
      <c r="R158" s="294"/>
      <c r="S158" s="295"/>
      <c r="T158" s="299"/>
      <c r="U158" s="297"/>
      <c r="V158" s="297"/>
      <c r="W158" s="297"/>
      <c r="X158" s="297"/>
      <c r="Y158" s="297"/>
      <c r="Z158" s="297"/>
      <c r="AA158" s="297">
        <v>0</v>
      </c>
      <c r="AB158" s="293">
        <v>0</v>
      </c>
      <c r="AC158" s="294"/>
      <c r="AD158" s="295"/>
      <c r="AE158" s="298"/>
      <c r="AF158" s="299"/>
      <c r="AG158" s="297"/>
      <c r="AH158" s="297"/>
      <c r="AI158" s="297"/>
      <c r="AJ158" s="297"/>
      <c r="AK158" s="297"/>
      <c r="AL158" s="297">
        <v>1</v>
      </c>
      <c r="AM158" s="297"/>
      <c r="AN158" s="300">
        <v>1500</v>
      </c>
      <c r="AO158" s="301"/>
      <c r="AP158" s="301"/>
      <c r="AQ158" s="301"/>
      <c r="AR158" s="301"/>
      <c r="AS158" s="301"/>
      <c r="AT158" s="301"/>
      <c r="AU158" s="301"/>
      <c r="AV158" s="301"/>
      <c r="AW158" s="301"/>
      <c r="AX158" s="301"/>
      <c r="AY158" s="301"/>
      <c r="AZ158" s="301"/>
      <c r="BA158" s="301"/>
      <c r="BB158" s="301"/>
      <c r="BC158" s="301"/>
      <c r="BD158" s="301"/>
      <c r="BE158" s="301"/>
      <c r="BF158" s="302"/>
      <c r="BG158" s="303">
        <v>10</v>
      </c>
      <c r="BH158" s="304"/>
      <c r="BI158" s="304"/>
      <c r="BJ158" s="304"/>
      <c r="BK158" s="304"/>
      <c r="BL158" s="304"/>
      <c r="BM158" s="304"/>
      <c r="BN158" s="304"/>
      <c r="BO158" s="304"/>
      <c r="BP158" s="304"/>
      <c r="BQ158" s="304"/>
      <c r="BR158" s="304"/>
      <c r="BS158" s="304"/>
      <c r="BT158" s="304"/>
      <c r="BU158" s="304"/>
      <c r="BV158" s="304"/>
      <c r="BW158" s="304"/>
      <c r="BX158" s="304"/>
      <c r="BY158" s="305"/>
      <c r="BZ158" s="308"/>
      <c r="CA158" s="307"/>
      <c r="CB158" s="307"/>
      <c r="CC158" s="307"/>
      <c r="CD158" s="307"/>
      <c r="CE158" s="307"/>
      <c r="CF158" s="309"/>
      <c r="CG158" s="332"/>
      <c r="CH158" s="328"/>
      <c r="CI158" s="328"/>
      <c r="CJ158" s="328"/>
      <c r="CK158" s="328"/>
      <c r="CL158" s="328"/>
      <c r="CM158" s="328">
        <v>2</v>
      </c>
      <c r="CN158" s="370"/>
      <c r="CO158" s="367"/>
      <c r="CP158" s="367"/>
      <c r="CQ158" s="367"/>
      <c r="CR158" s="367"/>
      <c r="CS158" s="387">
        <v>10</v>
      </c>
      <c r="CT158" s="398"/>
      <c r="CU158" s="399"/>
      <c r="CV158" s="399"/>
      <c r="CW158" s="399"/>
      <c r="CX158" s="399"/>
      <c r="CY158" s="399"/>
      <c r="CZ158" s="399"/>
      <c r="DA158" s="400">
        <v>1</v>
      </c>
      <c r="DB158" s="522">
        <v>1</v>
      </c>
    </row>
    <row r="159" spans="1:106" x14ac:dyDescent="0.25">
      <c r="A159" s="468" t="s">
        <v>27</v>
      </c>
      <c r="B159" s="468">
        <v>804</v>
      </c>
      <c r="C159" s="468" t="s">
        <v>2506</v>
      </c>
      <c r="D159" s="468">
        <v>17</v>
      </c>
      <c r="E159" s="468" t="s">
        <v>2507</v>
      </c>
      <c r="F159" s="468" t="s">
        <v>2963</v>
      </c>
      <c r="G159" s="468" t="s">
        <v>2509</v>
      </c>
      <c r="H159" s="468" t="s">
        <v>31</v>
      </c>
      <c r="I159" s="468" t="s">
        <v>32</v>
      </c>
      <c r="J159" s="468" t="s">
        <v>3067</v>
      </c>
      <c r="K159" s="468" t="s">
        <v>2510</v>
      </c>
      <c r="L159" s="468" t="s">
        <v>3766</v>
      </c>
      <c r="M159" s="468" t="s">
        <v>4011</v>
      </c>
      <c r="N159" s="460">
        <v>0</v>
      </c>
      <c r="O159" s="294"/>
      <c r="P159" s="294"/>
      <c r="Q159" s="294"/>
      <c r="R159" s="294"/>
      <c r="S159" s="295"/>
      <c r="T159" s="299"/>
      <c r="U159" s="297"/>
      <c r="V159" s="297"/>
      <c r="W159" s="297"/>
      <c r="X159" s="297"/>
      <c r="Y159" s="297"/>
      <c r="Z159" s="297"/>
      <c r="AA159" s="297">
        <v>0</v>
      </c>
      <c r="AB159" s="293">
        <v>0</v>
      </c>
      <c r="AC159" s="294"/>
      <c r="AD159" s="295"/>
      <c r="AE159" s="298"/>
      <c r="AF159" s="296">
        <v>0</v>
      </c>
      <c r="AG159" s="297"/>
      <c r="AH159" s="297"/>
      <c r="AI159" s="297"/>
      <c r="AJ159" s="297"/>
      <c r="AK159" s="297"/>
      <c r="AL159" s="297"/>
      <c r="AM159" s="297"/>
      <c r="AN159" s="300">
        <v>1500</v>
      </c>
      <c r="AO159" s="301"/>
      <c r="AP159" s="301"/>
      <c r="AQ159" s="301"/>
      <c r="AR159" s="301"/>
      <c r="AS159" s="301"/>
      <c r="AT159" s="301"/>
      <c r="AU159" s="301"/>
      <c r="AV159" s="301"/>
      <c r="AW159" s="301"/>
      <c r="AX159" s="301"/>
      <c r="AY159" s="301"/>
      <c r="AZ159" s="301"/>
      <c r="BA159" s="301"/>
      <c r="BB159" s="301"/>
      <c r="BC159" s="301"/>
      <c r="BD159" s="301"/>
      <c r="BE159" s="301"/>
      <c r="BF159" s="302"/>
      <c r="BG159" s="303">
        <v>10</v>
      </c>
      <c r="BH159" s="304"/>
      <c r="BI159" s="304"/>
      <c r="BJ159" s="304"/>
      <c r="BK159" s="304"/>
      <c r="BL159" s="304"/>
      <c r="BM159" s="304"/>
      <c r="BN159" s="304"/>
      <c r="BO159" s="304"/>
      <c r="BP159" s="304"/>
      <c r="BQ159" s="304"/>
      <c r="BR159" s="304"/>
      <c r="BS159" s="304"/>
      <c r="BT159" s="304"/>
      <c r="BU159" s="304"/>
      <c r="BV159" s="304"/>
      <c r="BW159" s="304"/>
      <c r="BX159" s="304"/>
      <c r="BY159" s="305"/>
      <c r="BZ159" s="308"/>
      <c r="CA159" s="307"/>
      <c r="CB159" s="307"/>
      <c r="CC159" s="307"/>
      <c r="CD159" s="307"/>
      <c r="CE159" s="307"/>
      <c r="CF159" s="309">
        <v>1</v>
      </c>
      <c r="CG159" s="332"/>
      <c r="CH159" s="328"/>
      <c r="CI159" s="328"/>
      <c r="CJ159" s="328"/>
      <c r="CK159" s="328"/>
      <c r="CL159" s="328"/>
      <c r="CM159" s="328">
        <v>2</v>
      </c>
      <c r="CN159" s="370"/>
      <c r="CO159" s="367"/>
      <c r="CP159" s="367"/>
      <c r="CQ159" s="367"/>
      <c r="CR159" s="367"/>
      <c r="CS159" s="387">
        <v>10</v>
      </c>
      <c r="CT159" s="398"/>
      <c r="CU159" s="399"/>
      <c r="CV159" s="399"/>
      <c r="CW159" s="399"/>
      <c r="CX159" s="399"/>
      <c r="CY159" s="399"/>
      <c r="CZ159" s="399"/>
      <c r="DA159" s="400">
        <v>1</v>
      </c>
      <c r="DB159" s="522">
        <v>1</v>
      </c>
    </row>
    <row r="160" spans="1:106" x14ac:dyDescent="0.25">
      <c r="A160" s="468" t="s">
        <v>27</v>
      </c>
      <c r="B160" s="468">
        <v>804</v>
      </c>
      <c r="C160" s="468" t="s">
        <v>2519</v>
      </c>
      <c r="D160" s="468">
        <v>20</v>
      </c>
      <c r="E160" s="468" t="s">
        <v>2520</v>
      </c>
      <c r="F160" s="468" t="s">
        <v>2989</v>
      </c>
      <c r="G160" s="468" t="s">
        <v>2522</v>
      </c>
      <c r="H160" s="468" t="s">
        <v>2386</v>
      </c>
      <c r="I160" s="468" t="s">
        <v>32</v>
      </c>
      <c r="J160" s="468" t="s">
        <v>3070</v>
      </c>
      <c r="K160" s="468" t="s">
        <v>2523</v>
      </c>
      <c r="L160" s="468" t="s">
        <v>3766</v>
      </c>
      <c r="M160" s="468" t="s">
        <v>4011</v>
      </c>
      <c r="N160" s="460">
        <v>0</v>
      </c>
      <c r="O160" s="294"/>
      <c r="P160" s="294"/>
      <c r="Q160" s="294"/>
      <c r="R160" s="294"/>
      <c r="S160" s="295"/>
      <c r="T160" s="299"/>
      <c r="U160" s="297"/>
      <c r="V160" s="297"/>
      <c r="W160" s="297"/>
      <c r="X160" s="297"/>
      <c r="Y160" s="297"/>
      <c r="Z160" s="297"/>
      <c r="AA160" s="297">
        <v>2</v>
      </c>
      <c r="AB160" s="293">
        <v>0</v>
      </c>
      <c r="AC160" s="294"/>
      <c r="AD160" s="295"/>
      <c r="AE160" s="298"/>
      <c r="AF160" s="296">
        <v>0</v>
      </c>
      <c r="AG160" s="297"/>
      <c r="AH160" s="297"/>
      <c r="AI160" s="297"/>
      <c r="AJ160" s="297"/>
      <c r="AK160" s="297"/>
      <c r="AL160" s="297"/>
      <c r="AM160" s="297"/>
      <c r="AN160" s="300">
        <v>1500</v>
      </c>
      <c r="AO160" s="301"/>
      <c r="AP160" s="301"/>
      <c r="AQ160" s="301"/>
      <c r="AR160" s="301"/>
      <c r="AS160" s="301"/>
      <c r="AT160" s="301"/>
      <c r="AU160" s="301"/>
      <c r="AV160" s="301"/>
      <c r="AW160" s="301"/>
      <c r="AX160" s="301"/>
      <c r="AY160" s="301"/>
      <c r="AZ160" s="301"/>
      <c r="BA160" s="301"/>
      <c r="BB160" s="301"/>
      <c r="BC160" s="301"/>
      <c r="BD160" s="301"/>
      <c r="BE160" s="301"/>
      <c r="BF160" s="302"/>
      <c r="BG160" s="303">
        <v>10</v>
      </c>
      <c r="BH160" s="304"/>
      <c r="BI160" s="304"/>
      <c r="BJ160" s="304"/>
      <c r="BK160" s="304"/>
      <c r="BL160" s="304"/>
      <c r="BM160" s="304"/>
      <c r="BN160" s="304"/>
      <c r="BO160" s="304"/>
      <c r="BP160" s="304"/>
      <c r="BQ160" s="304"/>
      <c r="BR160" s="304"/>
      <c r="BS160" s="304"/>
      <c r="BT160" s="304"/>
      <c r="BU160" s="304"/>
      <c r="BV160" s="304"/>
      <c r="BW160" s="304"/>
      <c r="BX160" s="304"/>
      <c r="BY160" s="305"/>
      <c r="BZ160" s="306"/>
      <c r="CA160" s="307"/>
      <c r="CB160" s="307"/>
      <c r="CC160" s="307"/>
      <c r="CD160" s="307"/>
      <c r="CE160" s="307"/>
      <c r="CF160" s="307"/>
      <c r="CG160" s="332"/>
      <c r="CH160" s="328"/>
      <c r="CI160" s="328"/>
      <c r="CJ160" s="328"/>
      <c r="CK160" s="328"/>
      <c r="CL160" s="328"/>
      <c r="CM160" s="328">
        <v>2</v>
      </c>
      <c r="CN160" s="370"/>
      <c r="CO160" s="367"/>
      <c r="CP160" s="367"/>
      <c r="CQ160" s="367"/>
      <c r="CR160" s="367"/>
      <c r="CS160" s="387">
        <v>10</v>
      </c>
      <c r="CT160" s="398"/>
      <c r="CU160" s="399"/>
      <c r="CV160" s="399"/>
      <c r="CW160" s="399"/>
      <c r="CX160" s="399"/>
      <c r="CY160" s="399"/>
      <c r="CZ160" s="399"/>
      <c r="DA160" s="400">
        <v>1</v>
      </c>
      <c r="DB160" s="522">
        <v>1</v>
      </c>
    </row>
    <row r="161" spans="1:106" x14ac:dyDescent="0.25">
      <c r="A161" s="468" t="s">
        <v>27</v>
      </c>
      <c r="B161" s="468">
        <v>804</v>
      </c>
      <c r="C161" s="468" t="s">
        <v>2564</v>
      </c>
      <c r="D161" s="468">
        <v>29</v>
      </c>
      <c r="E161" s="468" t="s">
        <v>2565</v>
      </c>
      <c r="F161" s="468" t="s">
        <v>2566</v>
      </c>
      <c r="G161" s="468" t="s">
        <v>2567</v>
      </c>
      <c r="H161" s="468" t="s">
        <v>2504</v>
      </c>
      <c r="I161" s="468" t="s">
        <v>32</v>
      </c>
      <c r="J161" s="468" t="s">
        <v>3079</v>
      </c>
      <c r="K161" s="468" t="s">
        <v>2568</v>
      </c>
      <c r="L161" s="468" t="s">
        <v>3766</v>
      </c>
      <c r="M161" s="468" t="s">
        <v>4011</v>
      </c>
      <c r="N161" s="460">
        <v>0</v>
      </c>
      <c r="O161" s="294"/>
      <c r="P161" s="294"/>
      <c r="Q161" s="294"/>
      <c r="R161" s="294"/>
      <c r="S161" s="295"/>
      <c r="T161" s="299"/>
      <c r="U161" s="297"/>
      <c r="V161" s="297"/>
      <c r="W161" s="297"/>
      <c r="X161" s="297"/>
      <c r="Y161" s="297"/>
      <c r="Z161" s="297"/>
      <c r="AA161" s="297">
        <v>1</v>
      </c>
      <c r="AB161" s="293">
        <v>0</v>
      </c>
      <c r="AC161" s="294"/>
      <c r="AD161" s="295"/>
      <c r="AE161" s="298"/>
      <c r="AF161" s="296">
        <v>0</v>
      </c>
      <c r="AG161" s="297"/>
      <c r="AH161" s="297"/>
      <c r="AI161" s="297"/>
      <c r="AJ161" s="297"/>
      <c r="AK161" s="297"/>
      <c r="AL161" s="297"/>
      <c r="AM161" s="297"/>
      <c r="AN161" s="300">
        <v>1500</v>
      </c>
      <c r="AO161" s="301"/>
      <c r="AP161" s="301"/>
      <c r="AQ161" s="301"/>
      <c r="AR161" s="301"/>
      <c r="AS161" s="301"/>
      <c r="AT161" s="301"/>
      <c r="AU161" s="301"/>
      <c r="AV161" s="301"/>
      <c r="AW161" s="301"/>
      <c r="AX161" s="301"/>
      <c r="AY161" s="301"/>
      <c r="AZ161" s="301"/>
      <c r="BA161" s="301"/>
      <c r="BB161" s="301"/>
      <c r="BC161" s="301"/>
      <c r="BD161" s="301"/>
      <c r="BE161" s="301"/>
      <c r="BF161" s="302"/>
      <c r="BG161" s="303">
        <v>10</v>
      </c>
      <c r="BH161" s="304"/>
      <c r="BI161" s="304"/>
      <c r="BJ161" s="304"/>
      <c r="BK161" s="304"/>
      <c r="BL161" s="304"/>
      <c r="BM161" s="304"/>
      <c r="BN161" s="304"/>
      <c r="BO161" s="304"/>
      <c r="BP161" s="304"/>
      <c r="BQ161" s="304"/>
      <c r="BR161" s="304"/>
      <c r="BS161" s="304"/>
      <c r="BT161" s="304"/>
      <c r="BU161" s="304"/>
      <c r="BV161" s="304"/>
      <c r="BW161" s="304"/>
      <c r="BX161" s="304"/>
      <c r="BY161" s="305"/>
      <c r="BZ161" s="306"/>
      <c r="CA161" s="307"/>
      <c r="CB161" s="307"/>
      <c r="CC161" s="307"/>
      <c r="CD161" s="307"/>
      <c r="CE161" s="307"/>
      <c r="CF161" s="307"/>
      <c r="CG161" s="332"/>
      <c r="CH161" s="328"/>
      <c r="CI161" s="328"/>
      <c r="CJ161" s="328"/>
      <c r="CK161" s="328"/>
      <c r="CL161" s="328"/>
      <c r="CM161" s="328">
        <v>2</v>
      </c>
      <c r="CN161" s="370"/>
      <c r="CO161" s="367"/>
      <c r="CP161" s="367"/>
      <c r="CQ161" s="367"/>
      <c r="CR161" s="367"/>
      <c r="CS161" s="387">
        <v>10</v>
      </c>
      <c r="CT161" s="398"/>
      <c r="CU161" s="399"/>
      <c r="CV161" s="399"/>
      <c r="CW161" s="399"/>
      <c r="CX161" s="399"/>
      <c r="CY161" s="399"/>
      <c r="CZ161" s="399"/>
      <c r="DA161" s="400">
        <v>1</v>
      </c>
      <c r="DB161" s="522">
        <v>1</v>
      </c>
    </row>
    <row r="162" spans="1:106" x14ac:dyDescent="0.25">
      <c r="A162" s="468" t="s">
        <v>27</v>
      </c>
      <c r="B162" s="468">
        <v>805</v>
      </c>
      <c r="C162" s="468" t="s">
        <v>2586</v>
      </c>
      <c r="D162" s="468">
        <v>150</v>
      </c>
      <c r="E162" s="468" t="s">
        <v>2587</v>
      </c>
      <c r="F162" s="468" t="s">
        <v>2992</v>
      </c>
      <c r="G162" s="468" t="s">
        <v>2588</v>
      </c>
      <c r="H162" s="468" t="s">
        <v>31</v>
      </c>
      <c r="I162" s="468" t="s">
        <v>32</v>
      </c>
      <c r="J162" s="468" t="s">
        <v>3087</v>
      </c>
      <c r="K162" s="468" t="s">
        <v>2589</v>
      </c>
      <c r="L162" s="468" t="s">
        <v>3766</v>
      </c>
      <c r="M162" s="468" t="s">
        <v>4011</v>
      </c>
      <c r="N162" s="460">
        <v>0</v>
      </c>
      <c r="O162" s="294"/>
      <c r="P162" s="294"/>
      <c r="Q162" s="294"/>
      <c r="R162" s="294"/>
      <c r="S162" s="295"/>
      <c r="T162" s="299"/>
      <c r="U162" s="297"/>
      <c r="V162" s="297"/>
      <c r="W162" s="297"/>
      <c r="X162" s="297"/>
      <c r="Y162" s="297"/>
      <c r="Z162" s="297"/>
      <c r="AA162" s="297">
        <v>2</v>
      </c>
      <c r="AB162" s="293">
        <v>0</v>
      </c>
      <c r="AC162" s="294"/>
      <c r="AD162" s="295"/>
      <c r="AE162" s="298"/>
      <c r="AF162" s="296">
        <v>0</v>
      </c>
      <c r="AG162" s="297"/>
      <c r="AH162" s="297"/>
      <c r="AI162" s="297"/>
      <c r="AJ162" s="297"/>
      <c r="AK162" s="297"/>
      <c r="AL162" s="297"/>
      <c r="AM162" s="297"/>
      <c r="AN162" s="300">
        <v>1500</v>
      </c>
      <c r="AO162" s="301"/>
      <c r="AP162" s="301"/>
      <c r="AQ162" s="301"/>
      <c r="AR162" s="301"/>
      <c r="AS162" s="301"/>
      <c r="AT162" s="301"/>
      <c r="AU162" s="301"/>
      <c r="AV162" s="301"/>
      <c r="AW162" s="301"/>
      <c r="AX162" s="301"/>
      <c r="AY162" s="301"/>
      <c r="AZ162" s="301"/>
      <c r="BA162" s="301"/>
      <c r="BB162" s="301"/>
      <c r="BC162" s="301"/>
      <c r="BD162" s="301"/>
      <c r="BE162" s="301"/>
      <c r="BF162" s="302"/>
      <c r="BG162" s="303">
        <v>10</v>
      </c>
      <c r="BH162" s="304"/>
      <c r="BI162" s="304"/>
      <c r="BJ162" s="304"/>
      <c r="BK162" s="304"/>
      <c r="BL162" s="304"/>
      <c r="BM162" s="304"/>
      <c r="BN162" s="304"/>
      <c r="BO162" s="304"/>
      <c r="BP162" s="304"/>
      <c r="BQ162" s="304"/>
      <c r="BR162" s="304"/>
      <c r="BS162" s="304"/>
      <c r="BT162" s="304"/>
      <c r="BU162" s="304"/>
      <c r="BV162" s="304"/>
      <c r="BW162" s="304"/>
      <c r="BX162" s="304"/>
      <c r="BY162" s="305"/>
      <c r="BZ162" s="306"/>
      <c r="CA162" s="307"/>
      <c r="CB162" s="307"/>
      <c r="CC162" s="307"/>
      <c r="CD162" s="307"/>
      <c r="CE162" s="307"/>
      <c r="CF162" s="307"/>
      <c r="CG162" s="332"/>
      <c r="CH162" s="328"/>
      <c r="CI162" s="328"/>
      <c r="CJ162" s="328"/>
      <c r="CK162" s="328"/>
      <c r="CL162" s="328"/>
      <c r="CM162" s="328">
        <v>2</v>
      </c>
      <c r="CN162" s="370"/>
      <c r="CO162" s="367"/>
      <c r="CP162" s="367"/>
      <c r="CQ162" s="367"/>
      <c r="CR162" s="367"/>
      <c r="CS162" s="387">
        <v>10</v>
      </c>
      <c r="CT162" s="398"/>
      <c r="CU162" s="399"/>
      <c r="CV162" s="399"/>
      <c r="CW162" s="399"/>
      <c r="CX162" s="399"/>
      <c r="CY162" s="399"/>
      <c r="CZ162" s="399"/>
      <c r="DA162" s="400">
        <v>1</v>
      </c>
      <c r="DB162" s="522">
        <v>1</v>
      </c>
    </row>
    <row r="163" spans="1:106" x14ac:dyDescent="0.25">
      <c r="A163" s="468" t="s">
        <v>27</v>
      </c>
      <c r="B163" s="468">
        <v>804</v>
      </c>
      <c r="C163" s="468" t="s">
        <v>3374</v>
      </c>
      <c r="D163" s="468">
        <v>1102</v>
      </c>
      <c r="E163" s="468" t="s">
        <v>2379</v>
      </c>
      <c r="F163" s="468" t="s">
        <v>2498</v>
      </c>
      <c r="G163" s="468" t="s">
        <v>2380</v>
      </c>
      <c r="H163" s="468" t="s">
        <v>2381</v>
      </c>
      <c r="I163" s="468" t="s">
        <v>32</v>
      </c>
      <c r="J163" s="468" t="s">
        <v>3072</v>
      </c>
      <c r="K163" s="468" t="s">
        <v>2382</v>
      </c>
      <c r="L163" s="468" t="s">
        <v>3766</v>
      </c>
      <c r="M163" s="468" t="s">
        <v>4011</v>
      </c>
      <c r="N163" s="460">
        <v>0</v>
      </c>
      <c r="O163" s="294"/>
      <c r="P163" s="294"/>
      <c r="Q163" s="294"/>
      <c r="R163" s="294"/>
      <c r="S163" s="295"/>
      <c r="T163" s="299"/>
      <c r="U163" s="297"/>
      <c r="V163" s="297"/>
      <c r="W163" s="297"/>
      <c r="X163" s="297"/>
      <c r="Y163" s="297"/>
      <c r="Z163" s="297"/>
      <c r="AA163" s="297">
        <v>2</v>
      </c>
      <c r="AB163" s="293">
        <v>0</v>
      </c>
      <c r="AC163" s="294"/>
      <c r="AD163" s="295"/>
      <c r="AE163" s="298"/>
      <c r="AF163" s="296">
        <v>0</v>
      </c>
      <c r="AG163" s="297"/>
      <c r="AH163" s="297"/>
      <c r="AI163" s="297"/>
      <c r="AJ163" s="297"/>
      <c r="AK163" s="297"/>
      <c r="AL163" s="297"/>
      <c r="AM163" s="297"/>
      <c r="AN163" s="300">
        <v>1500</v>
      </c>
      <c r="AO163" s="301"/>
      <c r="AP163" s="301"/>
      <c r="AQ163" s="301"/>
      <c r="AR163" s="301"/>
      <c r="AS163" s="301"/>
      <c r="AT163" s="301"/>
      <c r="AU163" s="301"/>
      <c r="AV163" s="301"/>
      <c r="AW163" s="301"/>
      <c r="AX163" s="301"/>
      <c r="AY163" s="301"/>
      <c r="AZ163" s="301"/>
      <c r="BA163" s="301"/>
      <c r="BB163" s="301"/>
      <c r="BC163" s="301"/>
      <c r="BD163" s="301"/>
      <c r="BE163" s="301"/>
      <c r="BF163" s="302"/>
      <c r="BG163" s="303">
        <v>10</v>
      </c>
      <c r="BH163" s="304"/>
      <c r="BI163" s="304"/>
      <c r="BJ163" s="304"/>
      <c r="BK163" s="304"/>
      <c r="BL163" s="304"/>
      <c r="BM163" s="304"/>
      <c r="BN163" s="304"/>
      <c r="BO163" s="304"/>
      <c r="BP163" s="304"/>
      <c r="BQ163" s="304"/>
      <c r="BR163" s="304"/>
      <c r="BS163" s="304"/>
      <c r="BT163" s="304"/>
      <c r="BU163" s="304"/>
      <c r="BV163" s="304"/>
      <c r="BW163" s="304"/>
      <c r="BX163" s="304"/>
      <c r="BY163" s="305"/>
      <c r="BZ163" s="306"/>
      <c r="CA163" s="307"/>
      <c r="CB163" s="307"/>
      <c r="CC163" s="307"/>
      <c r="CD163" s="307"/>
      <c r="CE163" s="307"/>
      <c r="CF163" s="307"/>
      <c r="CG163" s="332"/>
      <c r="CH163" s="328"/>
      <c r="CI163" s="328"/>
      <c r="CJ163" s="328"/>
      <c r="CK163" s="328"/>
      <c r="CL163" s="328"/>
      <c r="CM163" s="328">
        <v>2</v>
      </c>
      <c r="CN163" s="370"/>
      <c r="CO163" s="367"/>
      <c r="CP163" s="367"/>
      <c r="CQ163" s="367"/>
      <c r="CR163" s="367"/>
      <c r="CS163" s="387">
        <v>10</v>
      </c>
      <c r="CT163" s="398"/>
      <c r="CU163" s="399"/>
      <c r="CV163" s="399"/>
      <c r="CW163" s="399"/>
      <c r="CX163" s="399"/>
      <c r="CY163" s="399"/>
      <c r="CZ163" s="399"/>
      <c r="DA163" s="400">
        <v>1</v>
      </c>
      <c r="DB163" s="522">
        <v>1</v>
      </c>
    </row>
    <row r="164" spans="1:106" x14ac:dyDescent="0.25">
      <c r="A164" s="468" t="s">
        <v>27</v>
      </c>
      <c r="B164" s="468">
        <v>804</v>
      </c>
      <c r="C164" s="468" t="s">
        <v>3383</v>
      </c>
      <c r="D164" s="468">
        <v>1109</v>
      </c>
      <c r="E164" s="468" t="s">
        <v>2401</v>
      </c>
      <c r="F164" s="468" t="s">
        <v>2402</v>
      </c>
      <c r="G164" s="468" t="s">
        <v>2403</v>
      </c>
      <c r="H164" s="468" t="s">
        <v>31</v>
      </c>
      <c r="I164" s="468" t="s">
        <v>32</v>
      </c>
      <c r="J164" s="468" t="s">
        <v>3067</v>
      </c>
      <c r="K164" s="468" t="s">
        <v>2404</v>
      </c>
      <c r="L164" s="468" t="s">
        <v>3766</v>
      </c>
      <c r="M164" s="468" t="s">
        <v>4011</v>
      </c>
      <c r="N164" s="460">
        <v>0</v>
      </c>
      <c r="O164" s="294"/>
      <c r="P164" s="294"/>
      <c r="Q164" s="294"/>
      <c r="R164" s="294"/>
      <c r="S164" s="295"/>
      <c r="T164" s="299"/>
      <c r="U164" s="297"/>
      <c r="V164" s="297"/>
      <c r="W164" s="297"/>
      <c r="X164" s="297"/>
      <c r="Y164" s="297"/>
      <c r="Z164" s="297"/>
      <c r="AA164" s="297">
        <v>2</v>
      </c>
      <c r="AB164" s="293">
        <v>0</v>
      </c>
      <c r="AC164" s="294"/>
      <c r="AD164" s="295"/>
      <c r="AE164" s="298"/>
      <c r="AF164" s="296">
        <v>0</v>
      </c>
      <c r="AG164" s="297"/>
      <c r="AH164" s="297"/>
      <c r="AI164" s="297"/>
      <c r="AJ164" s="297"/>
      <c r="AK164" s="297"/>
      <c r="AL164" s="297"/>
      <c r="AM164" s="297"/>
      <c r="AN164" s="300">
        <v>1500</v>
      </c>
      <c r="AO164" s="301"/>
      <c r="AP164" s="301"/>
      <c r="AQ164" s="301"/>
      <c r="AR164" s="301"/>
      <c r="AS164" s="301"/>
      <c r="AT164" s="301"/>
      <c r="AU164" s="301"/>
      <c r="AV164" s="301"/>
      <c r="AW164" s="301"/>
      <c r="AX164" s="301"/>
      <c r="AY164" s="301"/>
      <c r="AZ164" s="301"/>
      <c r="BA164" s="301"/>
      <c r="BB164" s="301"/>
      <c r="BC164" s="301"/>
      <c r="BD164" s="301"/>
      <c r="BE164" s="301"/>
      <c r="BF164" s="302"/>
      <c r="BG164" s="303">
        <v>10</v>
      </c>
      <c r="BH164" s="304"/>
      <c r="BI164" s="304"/>
      <c r="BJ164" s="304"/>
      <c r="BK164" s="304"/>
      <c r="BL164" s="304"/>
      <c r="BM164" s="304"/>
      <c r="BN164" s="304"/>
      <c r="BO164" s="304"/>
      <c r="BP164" s="304"/>
      <c r="BQ164" s="304"/>
      <c r="BR164" s="304"/>
      <c r="BS164" s="304"/>
      <c r="BT164" s="304"/>
      <c r="BU164" s="304"/>
      <c r="BV164" s="304"/>
      <c r="BW164" s="304"/>
      <c r="BX164" s="304"/>
      <c r="BY164" s="305"/>
      <c r="BZ164" s="306"/>
      <c r="CA164" s="307"/>
      <c r="CB164" s="307"/>
      <c r="CC164" s="307"/>
      <c r="CD164" s="307"/>
      <c r="CE164" s="307"/>
      <c r="CF164" s="307"/>
      <c r="CG164" s="332"/>
      <c r="CH164" s="328"/>
      <c r="CI164" s="328"/>
      <c r="CJ164" s="328"/>
      <c r="CK164" s="328"/>
      <c r="CL164" s="328"/>
      <c r="CM164" s="328">
        <v>2</v>
      </c>
      <c r="CN164" s="370"/>
      <c r="CO164" s="367"/>
      <c r="CP164" s="367"/>
      <c r="CQ164" s="367"/>
      <c r="CR164" s="367"/>
      <c r="CS164" s="387">
        <v>10</v>
      </c>
      <c r="CT164" s="398"/>
      <c r="CU164" s="399"/>
      <c r="CV164" s="399"/>
      <c r="CW164" s="399"/>
      <c r="CX164" s="399"/>
      <c r="CY164" s="399"/>
      <c r="CZ164" s="399"/>
      <c r="DA164" s="400">
        <v>1</v>
      </c>
      <c r="DB164" s="522">
        <v>1</v>
      </c>
    </row>
    <row r="165" spans="1:106" x14ac:dyDescent="0.25">
      <c r="A165" s="468" t="s">
        <v>27</v>
      </c>
      <c r="B165" s="468">
        <v>804</v>
      </c>
      <c r="C165" s="468" t="s">
        <v>3386</v>
      </c>
      <c r="D165" s="468">
        <v>1111</v>
      </c>
      <c r="E165" s="468" t="s">
        <v>2409</v>
      </c>
      <c r="F165" s="468" t="s">
        <v>2410</v>
      </c>
      <c r="G165" s="468" t="s">
        <v>2411</v>
      </c>
      <c r="H165" s="468" t="s">
        <v>2386</v>
      </c>
      <c r="I165" s="468" t="s">
        <v>32</v>
      </c>
      <c r="J165" s="468" t="s">
        <v>3387</v>
      </c>
      <c r="K165" s="468" t="s">
        <v>2412</v>
      </c>
      <c r="L165" s="468" t="s">
        <v>3766</v>
      </c>
      <c r="M165" s="468" t="s">
        <v>4011</v>
      </c>
      <c r="N165" s="460">
        <v>2</v>
      </c>
      <c r="O165" s="294"/>
      <c r="P165" s="294"/>
      <c r="Q165" s="294"/>
      <c r="R165" s="294"/>
      <c r="S165" s="295"/>
      <c r="T165" s="299"/>
      <c r="U165" s="297"/>
      <c r="V165" s="297"/>
      <c r="W165" s="297"/>
      <c r="X165" s="297"/>
      <c r="Y165" s="297"/>
      <c r="Z165" s="297"/>
      <c r="AA165" s="297">
        <v>1</v>
      </c>
      <c r="AB165" s="293">
        <v>0</v>
      </c>
      <c r="AC165" s="294"/>
      <c r="AD165" s="295"/>
      <c r="AE165" s="298"/>
      <c r="AF165" s="296">
        <v>0</v>
      </c>
      <c r="AG165" s="297"/>
      <c r="AH165" s="297"/>
      <c r="AI165" s="297"/>
      <c r="AJ165" s="297"/>
      <c r="AK165" s="297"/>
      <c r="AL165" s="297"/>
      <c r="AM165" s="297"/>
      <c r="AN165" s="300">
        <v>1500</v>
      </c>
      <c r="AO165" s="301"/>
      <c r="AP165" s="301"/>
      <c r="AQ165" s="301"/>
      <c r="AR165" s="301"/>
      <c r="AS165" s="301"/>
      <c r="AT165" s="301"/>
      <c r="AU165" s="301"/>
      <c r="AV165" s="301"/>
      <c r="AW165" s="301"/>
      <c r="AX165" s="301"/>
      <c r="AY165" s="301"/>
      <c r="AZ165" s="301"/>
      <c r="BA165" s="301"/>
      <c r="BB165" s="301"/>
      <c r="BC165" s="301"/>
      <c r="BD165" s="301"/>
      <c r="BE165" s="301"/>
      <c r="BF165" s="302"/>
      <c r="BG165" s="303">
        <v>10</v>
      </c>
      <c r="BH165" s="304"/>
      <c r="BI165" s="304"/>
      <c r="BJ165" s="304"/>
      <c r="BK165" s="304"/>
      <c r="BL165" s="304"/>
      <c r="BM165" s="304"/>
      <c r="BN165" s="304"/>
      <c r="BO165" s="304"/>
      <c r="BP165" s="304"/>
      <c r="BQ165" s="304"/>
      <c r="BR165" s="304"/>
      <c r="BS165" s="304"/>
      <c r="BT165" s="304"/>
      <c r="BU165" s="304"/>
      <c r="BV165" s="304"/>
      <c r="BW165" s="304"/>
      <c r="BX165" s="304"/>
      <c r="BY165" s="305"/>
      <c r="BZ165" s="306"/>
      <c r="CA165" s="307"/>
      <c r="CB165" s="307"/>
      <c r="CC165" s="307"/>
      <c r="CD165" s="307"/>
      <c r="CE165" s="307"/>
      <c r="CF165" s="307"/>
      <c r="CG165" s="332"/>
      <c r="CH165" s="328"/>
      <c r="CI165" s="328"/>
      <c r="CJ165" s="328"/>
      <c r="CK165" s="328"/>
      <c r="CL165" s="328"/>
      <c r="CM165" s="328">
        <v>2</v>
      </c>
      <c r="CN165" s="370"/>
      <c r="CO165" s="367"/>
      <c r="CP165" s="367"/>
      <c r="CQ165" s="367"/>
      <c r="CR165" s="367"/>
      <c r="CS165" s="387">
        <v>10</v>
      </c>
      <c r="CT165" s="398"/>
      <c r="CU165" s="399"/>
      <c r="CV165" s="399"/>
      <c r="CW165" s="399"/>
      <c r="CX165" s="399"/>
      <c r="CY165" s="399"/>
      <c r="CZ165" s="399"/>
      <c r="DA165" s="400">
        <v>1</v>
      </c>
      <c r="DB165" s="522">
        <v>1</v>
      </c>
    </row>
    <row r="166" spans="1:106" x14ac:dyDescent="0.25">
      <c r="A166" s="468" t="s">
        <v>27</v>
      </c>
      <c r="B166" s="468">
        <v>804</v>
      </c>
      <c r="C166" s="468" t="s">
        <v>3388</v>
      </c>
      <c r="D166" s="468">
        <v>1112</v>
      </c>
      <c r="E166" s="468" t="s">
        <v>2413</v>
      </c>
      <c r="F166" s="468" t="s">
        <v>2414</v>
      </c>
      <c r="G166" s="468" t="s">
        <v>2415</v>
      </c>
      <c r="H166" s="468" t="s">
        <v>2416</v>
      </c>
      <c r="I166" s="468" t="s">
        <v>32</v>
      </c>
      <c r="J166" s="468" t="s">
        <v>3389</v>
      </c>
      <c r="K166" s="468" t="s">
        <v>2417</v>
      </c>
      <c r="L166" s="468" t="s">
        <v>3766</v>
      </c>
      <c r="M166" s="468" t="s">
        <v>4011</v>
      </c>
      <c r="N166" s="460">
        <v>2</v>
      </c>
      <c r="O166" s="294"/>
      <c r="P166" s="294"/>
      <c r="Q166" s="294"/>
      <c r="R166" s="294"/>
      <c r="S166" s="295"/>
      <c r="T166" s="296">
        <v>0</v>
      </c>
      <c r="U166" s="297"/>
      <c r="V166" s="297"/>
      <c r="W166" s="297"/>
      <c r="X166" s="297"/>
      <c r="Y166" s="297"/>
      <c r="Z166" s="297"/>
      <c r="AA166" s="297"/>
      <c r="AB166" s="293">
        <v>0</v>
      </c>
      <c r="AC166" s="294"/>
      <c r="AD166" s="295"/>
      <c r="AE166" s="298"/>
      <c r="AF166" s="296">
        <v>0</v>
      </c>
      <c r="AG166" s="297"/>
      <c r="AH166" s="297"/>
      <c r="AI166" s="297"/>
      <c r="AJ166" s="297"/>
      <c r="AK166" s="297"/>
      <c r="AL166" s="297"/>
      <c r="AM166" s="297"/>
      <c r="AN166" s="300">
        <v>1500</v>
      </c>
      <c r="AO166" s="301"/>
      <c r="AP166" s="301"/>
      <c r="AQ166" s="301"/>
      <c r="AR166" s="301"/>
      <c r="AS166" s="301"/>
      <c r="AT166" s="301"/>
      <c r="AU166" s="301"/>
      <c r="AV166" s="301"/>
      <c r="AW166" s="301"/>
      <c r="AX166" s="301"/>
      <c r="AY166" s="301"/>
      <c r="AZ166" s="301"/>
      <c r="BA166" s="301"/>
      <c r="BB166" s="301"/>
      <c r="BC166" s="301"/>
      <c r="BD166" s="301"/>
      <c r="BE166" s="301"/>
      <c r="BF166" s="302"/>
      <c r="BG166" s="303">
        <v>10</v>
      </c>
      <c r="BH166" s="304"/>
      <c r="BI166" s="304"/>
      <c r="BJ166" s="304"/>
      <c r="BK166" s="304"/>
      <c r="BL166" s="304"/>
      <c r="BM166" s="304"/>
      <c r="BN166" s="304"/>
      <c r="BO166" s="304"/>
      <c r="BP166" s="304"/>
      <c r="BQ166" s="304"/>
      <c r="BR166" s="304"/>
      <c r="BS166" s="304"/>
      <c r="BT166" s="304"/>
      <c r="BU166" s="304"/>
      <c r="BV166" s="304"/>
      <c r="BW166" s="304"/>
      <c r="BX166" s="304"/>
      <c r="BY166" s="305"/>
      <c r="BZ166" s="306"/>
      <c r="CA166" s="307"/>
      <c r="CB166" s="307"/>
      <c r="CC166" s="307"/>
      <c r="CD166" s="307"/>
      <c r="CE166" s="307"/>
      <c r="CF166" s="307"/>
      <c r="CG166" s="332"/>
      <c r="CH166" s="328"/>
      <c r="CI166" s="328"/>
      <c r="CJ166" s="328"/>
      <c r="CK166" s="328"/>
      <c r="CL166" s="328"/>
      <c r="CM166" s="328">
        <v>2</v>
      </c>
      <c r="CN166" s="370"/>
      <c r="CO166" s="367"/>
      <c r="CP166" s="367"/>
      <c r="CQ166" s="367"/>
      <c r="CR166" s="367"/>
      <c r="CS166" s="387">
        <v>10</v>
      </c>
      <c r="CT166" s="398"/>
      <c r="CU166" s="399"/>
      <c r="CV166" s="399"/>
      <c r="CW166" s="399"/>
      <c r="CX166" s="399"/>
      <c r="CY166" s="399"/>
      <c r="CZ166" s="399"/>
      <c r="DA166" s="400">
        <v>1</v>
      </c>
      <c r="DB166" s="522">
        <v>1</v>
      </c>
    </row>
    <row r="167" spans="1:106" x14ac:dyDescent="0.25">
      <c r="A167" s="468" t="s">
        <v>27</v>
      </c>
      <c r="B167" s="468">
        <v>804</v>
      </c>
      <c r="C167" s="468" t="s">
        <v>3390</v>
      </c>
      <c r="D167" s="468">
        <v>1113</v>
      </c>
      <c r="E167" s="468" t="s">
        <v>2418</v>
      </c>
      <c r="F167" s="468" t="s">
        <v>2419</v>
      </c>
      <c r="G167" s="468" t="s">
        <v>2420</v>
      </c>
      <c r="H167" s="468" t="s">
        <v>2416</v>
      </c>
      <c r="I167" s="468" t="s">
        <v>32</v>
      </c>
      <c r="J167" s="468" t="s">
        <v>3389</v>
      </c>
      <c r="K167" s="468" t="s">
        <v>2421</v>
      </c>
      <c r="L167" s="468" t="s">
        <v>3766</v>
      </c>
      <c r="M167" s="468" t="s">
        <v>4011</v>
      </c>
      <c r="N167" s="460">
        <v>2</v>
      </c>
      <c r="O167" s="294"/>
      <c r="P167" s="294"/>
      <c r="Q167" s="294"/>
      <c r="R167" s="294"/>
      <c r="S167" s="295"/>
      <c r="T167" s="296">
        <v>0</v>
      </c>
      <c r="U167" s="297"/>
      <c r="V167" s="297"/>
      <c r="W167" s="297"/>
      <c r="X167" s="297"/>
      <c r="Y167" s="297"/>
      <c r="Z167" s="297"/>
      <c r="AA167" s="297"/>
      <c r="AB167" s="293">
        <v>0</v>
      </c>
      <c r="AC167" s="294"/>
      <c r="AD167" s="295"/>
      <c r="AE167" s="298"/>
      <c r="AF167" s="296">
        <v>0</v>
      </c>
      <c r="AG167" s="297"/>
      <c r="AH167" s="297"/>
      <c r="AI167" s="297"/>
      <c r="AJ167" s="297"/>
      <c r="AK167" s="297"/>
      <c r="AL167" s="297"/>
      <c r="AM167" s="297"/>
      <c r="AN167" s="300">
        <v>1500</v>
      </c>
      <c r="AO167" s="301"/>
      <c r="AP167" s="301"/>
      <c r="AQ167" s="301"/>
      <c r="AR167" s="301"/>
      <c r="AS167" s="301"/>
      <c r="AT167" s="301"/>
      <c r="AU167" s="301"/>
      <c r="AV167" s="301"/>
      <c r="AW167" s="301"/>
      <c r="AX167" s="301"/>
      <c r="AY167" s="301"/>
      <c r="AZ167" s="301"/>
      <c r="BA167" s="301"/>
      <c r="BB167" s="301"/>
      <c r="BC167" s="301"/>
      <c r="BD167" s="301"/>
      <c r="BE167" s="301"/>
      <c r="BF167" s="302"/>
      <c r="BG167" s="303">
        <v>10</v>
      </c>
      <c r="BH167" s="304"/>
      <c r="BI167" s="304"/>
      <c r="BJ167" s="304"/>
      <c r="BK167" s="304"/>
      <c r="BL167" s="304"/>
      <c r="BM167" s="304"/>
      <c r="BN167" s="304"/>
      <c r="BO167" s="304"/>
      <c r="BP167" s="304"/>
      <c r="BQ167" s="304"/>
      <c r="BR167" s="304"/>
      <c r="BS167" s="304"/>
      <c r="BT167" s="304"/>
      <c r="BU167" s="304"/>
      <c r="BV167" s="304"/>
      <c r="BW167" s="304"/>
      <c r="BX167" s="304"/>
      <c r="BY167" s="305"/>
      <c r="BZ167" s="306"/>
      <c r="CA167" s="307"/>
      <c r="CB167" s="307"/>
      <c r="CC167" s="307"/>
      <c r="CD167" s="307"/>
      <c r="CE167" s="307"/>
      <c r="CF167" s="307"/>
      <c r="CG167" s="332"/>
      <c r="CH167" s="328"/>
      <c r="CI167" s="328"/>
      <c r="CJ167" s="328"/>
      <c r="CK167" s="328"/>
      <c r="CL167" s="328"/>
      <c r="CM167" s="328">
        <v>2</v>
      </c>
      <c r="CN167" s="370"/>
      <c r="CO167" s="367"/>
      <c r="CP167" s="367"/>
      <c r="CQ167" s="367"/>
      <c r="CR167" s="367"/>
      <c r="CS167" s="387">
        <v>10</v>
      </c>
      <c r="CT167" s="398"/>
      <c r="CU167" s="399"/>
      <c r="CV167" s="399"/>
      <c r="CW167" s="399"/>
      <c r="CX167" s="399"/>
      <c r="CY167" s="399"/>
      <c r="CZ167" s="399"/>
      <c r="DA167" s="400">
        <v>1</v>
      </c>
      <c r="DB167" s="522">
        <v>1</v>
      </c>
    </row>
    <row r="168" spans="1:106" x14ac:dyDescent="0.25">
      <c r="A168" s="468" t="s">
        <v>27</v>
      </c>
      <c r="B168" s="468">
        <v>804</v>
      </c>
      <c r="C168" s="468" t="s">
        <v>3391</v>
      </c>
      <c r="D168" s="468">
        <v>1114</v>
      </c>
      <c r="E168" s="468" t="s">
        <v>2422</v>
      </c>
      <c r="F168" s="468" t="s">
        <v>2423</v>
      </c>
      <c r="G168" s="468" t="s">
        <v>2424</v>
      </c>
      <c r="H168" s="468" t="s">
        <v>2425</v>
      </c>
      <c r="I168" s="468" t="s">
        <v>32</v>
      </c>
      <c r="J168" s="468" t="s">
        <v>3392</v>
      </c>
      <c r="K168" s="468" t="s">
        <v>2426</v>
      </c>
      <c r="L168" s="468" t="s">
        <v>3766</v>
      </c>
      <c r="M168" s="468" t="s">
        <v>4011</v>
      </c>
      <c r="N168" s="460">
        <v>2</v>
      </c>
      <c r="O168" s="294"/>
      <c r="P168" s="294"/>
      <c r="Q168" s="294"/>
      <c r="R168" s="294"/>
      <c r="S168" s="295"/>
      <c r="T168" s="296">
        <v>0</v>
      </c>
      <c r="U168" s="297"/>
      <c r="V168" s="297"/>
      <c r="W168" s="297"/>
      <c r="X168" s="297"/>
      <c r="Y168" s="297"/>
      <c r="Z168" s="297"/>
      <c r="AA168" s="297"/>
      <c r="AB168" s="293">
        <v>0</v>
      </c>
      <c r="AC168" s="294"/>
      <c r="AD168" s="295"/>
      <c r="AE168" s="298"/>
      <c r="AF168" s="296">
        <v>0</v>
      </c>
      <c r="AG168" s="297"/>
      <c r="AH168" s="297"/>
      <c r="AI168" s="297"/>
      <c r="AJ168" s="297"/>
      <c r="AK168" s="297"/>
      <c r="AL168" s="297"/>
      <c r="AM168" s="297"/>
      <c r="AN168" s="300">
        <v>1500</v>
      </c>
      <c r="AO168" s="301"/>
      <c r="AP168" s="301"/>
      <c r="AQ168" s="301"/>
      <c r="AR168" s="301"/>
      <c r="AS168" s="301"/>
      <c r="AT168" s="301"/>
      <c r="AU168" s="301"/>
      <c r="AV168" s="301"/>
      <c r="AW168" s="301"/>
      <c r="AX168" s="301"/>
      <c r="AY168" s="301"/>
      <c r="AZ168" s="301"/>
      <c r="BA168" s="301"/>
      <c r="BB168" s="301"/>
      <c r="BC168" s="301"/>
      <c r="BD168" s="301"/>
      <c r="BE168" s="301"/>
      <c r="BF168" s="302"/>
      <c r="BG168" s="303">
        <v>10</v>
      </c>
      <c r="BH168" s="304"/>
      <c r="BI168" s="304"/>
      <c r="BJ168" s="304"/>
      <c r="BK168" s="304"/>
      <c r="BL168" s="304"/>
      <c r="BM168" s="304"/>
      <c r="BN168" s="304"/>
      <c r="BO168" s="304"/>
      <c r="BP168" s="304"/>
      <c r="BQ168" s="304"/>
      <c r="BR168" s="304"/>
      <c r="BS168" s="304"/>
      <c r="BT168" s="304"/>
      <c r="BU168" s="304"/>
      <c r="BV168" s="304"/>
      <c r="BW168" s="304"/>
      <c r="BX168" s="304"/>
      <c r="BY168" s="305"/>
      <c r="BZ168" s="306"/>
      <c r="CA168" s="307"/>
      <c r="CB168" s="307"/>
      <c r="CC168" s="307"/>
      <c r="CD168" s="307"/>
      <c r="CE168" s="307"/>
      <c r="CF168" s="307"/>
      <c r="CG168" s="332"/>
      <c r="CH168" s="328"/>
      <c r="CI168" s="328"/>
      <c r="CJ168" s="328"/>
      <c r="CK168" s="328"/>
      <c r="CL168" s="328"/>
      <c r="CM168" s="328">
        <v>2</v>
      </c>
      <c r="CN168" s="370"/>
      <c r="CO168" s="367"/>
      <c r="CP168" s="367"/>
      <c r="CQ168" s="367"/>
      <c r="CR168" s="367"/>
      <c r="CS168" s="387">
        <v>10</v>
      </c>
      <c r="CT168" s="398"/>
      <c r="CU168" s="399"/>
      <c r="CV168" s="399"/>
      <c r="CW168" s="399"/>
      <c r="CX168" s="399"/>
      <c r="CY168" s="399"/>
      <c r="CZ168" s="399"/>
      <c r="DA168" s="400">
        <v>1</v>
      </c>
      <c r="DB168" s="522">
        <v>1</v>
      </c>
    </row>
    <row r="169" spans="1:106" x14ac:dyDescent="0.25">
      <c r="A169" s="468" t="s">
        <v>27</v>
      </c>
      <c r="B169" s="468">
        <v>804</v>
      </c>
      <c r="C169" s="468" t="s">
        <v>3395</v>
      </c>
      <c r="D169" s="468">
        <v>1117</v>
      </c>
      <c r="E169" s="468" t="s">
        <v>2432</v>
      </c>
      <c r="F169" s="468" t="s">
        <v>2433</v>
      </c>
      <c r="G169" s="468" t="s">
        <v>2434</v>
      </c>
      <c r="H169" s="468" t="s">
        <v>2435</v>
      </c>
      <c r="I169" s="468" t="s">
        <v>32</v>
      </c>
      <c r="J169" s="468" t="s">
        <v>3396</v>
      </c>
      <c r="K169" s="468" t="s">
        <v>2436</v>
      </c>
      <c r="L169" s="468" t="s">
        <v>3766</v>
      </c>
      <c r="M169" s="468" t="s">
        <v>4011</v>
      </c>
      <c r="N169" s="460">
        <v>1</v>
      </c>
      <c r="O169" s="294"/>
      <c r="P169" s="294"/>
      <c r="Q169" s="294"/>
      <c r="R169" s="294"/>
      <c r="S169" s="295"/>
      <c r="T169" s="296">
        <v>0</v>
      </c>
      <c r="U169" s="297"/>
      <c r="V169" s="297"/>
      <c r="W169" s="297"/>
      <c r="X169" s="297"/>
      <c r="Y169" s="297"/>
      <c r="Z169" s="297"/>
      <c r="AA169" s="297"/>
      <c r="AB169" s="293">
        <v>0</v>
      </c>
      <c r="AC169" s="294"/>
      <c r="AD169" s="295"/>
      <c r="AE169" s="298"/>
      <c r="AF169" s="296">
        <v>0</v>
      </c>
      <c r="AG169" s="297"/>
      <c r="AH169" s="297"/>
      <c r="AI169" s="297"/>
      <c r="AJ169" s="297"/>
      <c r="AK169" s="297"/>
      <c r="AL169" s="297"/>
      <c r="AM169" s="297"/>
      <c r="AN169" s="300">
        <v>1500</v>
      </c>
      <c r="AO169" s="301"/>
      <c r="AP169" s="301"/>
      <c r="AQ169" s="301"/>
      <c r="AR169" s="301"/>
      <c r="AS169" s="301"/>
      <c r="AT169" s="301"/>
      <c r="AU169" s="301"/>
      <c r="AV169" s="301"/>
      <c r="AW169" s="301"/>
      <c r="AX169" s="301"/>
      <c r="AY169" s="301"/>
      <c r="AZ169" s="301"/>
      <c r="BA169" s="301"/>
      <c r="BB169" s="301"/>
      <c r="BC169" s="301"/>
      <c r="BD169" s="301"/>
      <c r="BE169" s="301"/>
      <c r="BF169" s="302"/>
      <c r="BG169" s="303">
        <v>10</v>
      </c>
      <c r="BH169" s="304"/>
      <c r="BI169" s="304"/>
      <c r="BJ169" s="304"/>
      <c r="BK169" s="304"/>
      <c r="BL169" s="304"/>
      <c r="BM169" s="304"/>
      <c r="BN169" s="304"/>
      <c r="BO169" s="304"/>
      <c r="BP169" s="304"/>
      <c r="BQ169" s="304"/>
      <c r="BR169" s="304"/>
      <c r="BS169" s="304"/>
      <c r="BT169" s="304"/>
      <c r="BU169" s="304"/>
      <c r="BV169" s="304"/>
      <c r="BW169" s="304"/>
      <c r="BX169" s="304"/>
      <c r="BY169" s="305"/>
      <c r="BZ169" s="306"/>
      <c r="CA169" s="307"/>
      <c r="CB169" s="307"/>
      <c r="CC169" s="307"/>
      <c r="CD169" s="307"/>
      <c r="CE169" s="307"/>
      <c r="CF169" s="307"/>
      <c r="CG169" s="332"/>
      <c r="CH169" s="328"/>
      <c r="CI169" s="328"/>
      <c r="CJ169" s="328"/>
      <c r="CK169" s="328"/>
      <c r="CL169" s="328"/>
      <c r="CM169" s="328">
        <v>2</v>
      </c>
      <c r="CN169" s="370"/>
      <c r="CO169" s="367"/>
      <c r="CP169" s="367"/>
      <c r="CQ169" s="367"/>
      <c r="CR169" s="367"/>
      <c r="CS169" s="387">
        <v>10</v>
      </c>
      <c r="CT169" s="398"/>
      <c r="CU169" s="399"/>
      <c r="CV169" s="399"/>
      <c r="CW169" s="399"/>
      <c r="CX169" s="399"/>
      <c r="CY169" s="399"/>
      <c r="CZ169" s="399"/>
      <c r="DA169" s="400">
        <v>1</v>
      </c>
      <c r="DB169" s="522">
        <v>1</v>
      </c>
    </row>
    <row r="170" spans="1:106" x14ac:dyDescent="0.25">
      <c r="A170" s="468" t="s">
        <v>94</v>
      </c>
      <c r="B170" s="468">
        <v>814</v>
      </c>
      <c r="C170" s="468" t="s">
        <v>2590</v>
      </c>
      <c r="D170" s="468">
        <v>261</v>
      </c>
      <c r="E170" s="468" t="s">
        <v>2591</v>
      </c>
      <c r="F170" s="468" t="s">
        <v>2592</v>
      </c>
      <c r="G170" s="468" t="s">
        <v>2593</v>
      </c>
      <c r="H170" s="468" t="s">
        <v>2594</v>
      </c>
      <c r="I170" s="468" t="s">
        <v>32</v>
      </c>
      <c r="J170" s="468" t="s">
        <v>3117</v>
      </c>
      <c r="K170" s="468" t="s">
        <v>2595</v>
      </c>
      <c r="L170" s="468" t="s">
        <v>3737</v>
      </c>
      <c r="M170" s="468" t="s">
        <v>3739</v>
      </c>
      <c r="N170" s="460">
        <v>0</v>
      </c>
      <c r="O170" s="294"/>
      <c r="P170" s="294"/>
      <c r="Q170" s="294"/>
      <c r="R170" s="294"/>
      <c r="S170" s="295"/>
      <c r="T170" s="299"/>
      <c r="U170" s="297"/>
      <c r="V170" s="297"/>
      <c r="W170" s="297">
        <v>1</v>
      </c>
      <c r="X170" s="297"/>
      <c r="Y170" s="297"/>
      <c r="Z170" s="297"/>
      <c r="AA170" s="297"/>
      <c r="AB170" s="293">
        <v>0</v>
      </c>
      <c r="AC170" s="294"/>
      <c r="AD170" s="295"/>
      <c r="AE170" s="298"/>
      <c r="AF170" s="299"/>
      <c r="AG170" s="297"/>
      <c r="AH170" s="297">
        <v>1</v>
      </c>
      <c r="AI170" s="297"/>
      <c r="AJ170" s="297"/>
      <c r="AK170" s="297"/>
      <c r="AL170" s="297"/>
      <c r="AM170" s="297"/>
      <c r="AN170" s="300"/>
      <c r="AO170" s="301"/>
      <c r="AP170" s="301"/>
      <c r="AQ170" s="301"/>
      <c r="AR170" s="301"/>
      <c r="AS170" s="301"/>
      <c r="AT170" s="301"/>
      <c r="AU170" s="301"/>
      <c r="AV170" s="301"/>
      <c r="AW170" s="301"/>
      <c r="AX170" s="301"/>
      <c r="AY170" s="301"/>
      <c r="AZ170" s="301">
        <v>1500</v>
      </c>
      <c r="BA170" s="301"/>
      <c r="BB170" s="301"/>
      <c r="BC170" s="301"/>
      <c r="BD170" s="301"/>
      <c r="BE170" s="301"/>
      <c r="BF170" s="302"/>
      <c r="BG170" s="303"/>
      <c r="BH170" s="304"/>
      <c r="BI170" s="304"/>
      <c r="BJ170" s="304"/>
      <c r="BK170" s="304"/>
      <c r="BL170" s="304"/>
      <c r="BM170" s="304"/>
      <c r="BN170" s="304"/>
      <c r="BO170" s="304"/>
      <c r="BP170" s="304"/>
      <c r="BQ170" s="304"/>
      <c r="BR170" s="304"/>
      <c r="BS170" s="304">
        <v>10</v>
      </c>
      <c r="BT170" s="304"/>
      <c r="BU170" s="304"/>
      <c r="BV170" s="304"/>
      <c r="BW170" s="304"/>
      <c r="BX170" s="304"/>
      <c r="BY170" s="305"/>
      <c r="BZ170" s="306"/>
      <c r="CA170" s="307"/>
      <c r="CB170" s="307"/>
      <c r="CC170" s="307"/>
      <c r="CD170" s="307"/>
      <c r="CE170" s="307"/>
      <c r="CF170" s="307"/>
      <c r="CG170" s="332"/>
      <c r="CH170" s="328"/>
      <c r="CI170" s="328"/>
      <c r="CJ170" s="328">
        <v>2</v>
      </c>
      <c r="CK170" s="328"/>
      <c r="CL170" s="328"/>
      <c r="CM170" s="328"/>
      <c r="CN170" s="370"/>
      <c r="CO170" s="367"/>
      <c r="CP170" s="367"/>
      <c r="CQ170" s="367">
        <v>10</v>
      </c>
      <c r="CR170" s="367"/>
      <c r="CS170" s="387"/>
      <c r="CT170" s="398"/>
      <c r="CU170" s="399"/>
      <c r="CV170" s="399"/>
      <c r="CW170" s="399"/>
      <c r="CX170" s="399">
        <v>1</v>
      </c>
      <c r="CY170" s="399"/>
      <c r="CZ170" s="399"/>
      <c r="DA170" s="400"/>
      <c r="DB170" s="522">
        <v>1</v>
      </c>
    </row>
    <row r="171" spans="1:106" x14ac:dyDescent="0.25">
      <c r="A171" s="468" t="s">
        <v>94</v>
      </c>
      <c r="B171" s="468">
        <v>807</v>
      </c>
      <c r="C171" s="468" t="s">
        <v>2613</v>
      </c>
      <c r="D171" s="468">
        <v>317</v>
      </c>
      <c r="E171" s="468" t="s">
        <v>2614</v>
      </c>
      <c r="F171" s="468" t="s">
        <v>2615</v>
      </c>
      <c r="G171" s="468" t="s">
        <v>2616</v>
      </c>
      <c r="H171" s="468" t="s">
        <v>313</v>
      </c>
      <c r="I171" s="468" t="s">
        <v>32</v>
      </c>
      <c r="J171" s="468" t="s">
        <v>3145</v>
      </c>
      <c r="K171" s="468" t="s">
        <v>2617</v>
      </c>
      <c r="L171" s="468" t="s">
        <v>3844</v>
      </c>
      <c r="M171" s="468" t="s">
        <v>3945</v>
      </c>
      <c r="N171" s="460">
        <v>0</v>
      </c>
      <c r="O171" s="294"/>
      <c r="P171" s="294"/>
      <c r="Q171" s="294"/>
      <c r="R171" s="294"/>
      <c r="S171" s="295"/>
      <c r="T171" s="296">
        <v>0</v>
      </c>
      <c r="U171" s="297"/>
      <c r="V171" s="297"/>
      <c r="W171" s="297"/>
      <c r="X171" s="297"/>
      <c r="Y171" s="297"/>
      <c r="Z171" s="297"/>
      <c r="AA171" s="297"/>
      <c r="AB171" s="293">
        <v>0</v>
      </c>
      <c r="AC171" s="294"/>
      <c r="AD171" s="295"/>
      <c r="AE171" s="298"/>
      <c r="AF171" s="299"/>
      <c r="AG171" s="297">
        <v>2</v>
      </c>
      <c r="AH171" s="297"/>
      <c r="AI171" s="297"/>
      <c r="AJ171" s="297"/>
      <c r="AK171" s="297"/>
      <c r="AL171" s="297"/>
      <c r="AM171" s="297"/>
      <c r="AN171" s="300"/>
      <c r="AO171" s="301"/>
      <c r="AP171" s="301"/>
      <c r="AQ171" s="301"/>
      <c r="AR171" s="301"/>
      <c r="AS171" s="301"/>
      <c r="AT171" s="301"/>
      <c r="AU171" s="301"/>
      <c r="AV171" s="301"/>
      <c r="AW171" s="301"/>
      <c r="AX171" s="301"/>
      <c r="AY171" s="301">
        <v>1500</v>
      </c>
      <c r="AZ171" s="301"/>
      <c r="BA171" s="301"/>
      <c r="BB171" s="301"/>
      <c r="BC171" s="301"/>
      <c r="BD171" s="301"/>
      <c r="BE171" s="301"/>
      <c r="BF171" s="302"/>
      <c r="BG171" s="303"/>
      <c r="BH171" s="304"/>
      <c r="BI171" s="304"/>
      <c r="BJ171" s="304"/>
      <c r="BK171" s="304"/>
      <c r="BL171" s="304"/>
      <c r="BM171" s="304"/>
      <c r="BN171" s="304"/>
      <c r="BO171" s="304"/>
      <c r="BP171" s="304"/>
      <c r="BQ171" s="304"/>
      <c r="BR171" s="304">
        <v>10</v>
      </c>
      <c r="BS171" s="304"/>
      <c r="BT171" s="304"/>
      <c r="BU171" s="304"/>
      <c r="BV171" s="304"/>
      <c r="BW171" s="304"/>
      <c r="BX171" s="304"/>
      <c r="BY171" s="305"/>
      <c r="BZ171" s="306"/>
      <c r="CA171" s="307"/>
      <c r="CB171" s="307"/>
      <c r="CC171" s="307"/>
      <c r="CD171" s="307"/>
      <c r="CE171" s="307"/>
      <c r="CF171" s="307"/>
      <c r="CG171" s="332"/>
      <c r="CH171" s="328"/>
      <c r="CI171" s="328">
        <v>2</v>
      </c>
      <c r="CJ171" s="328"/>
      <c r="CK171" s="328"/>
      <c r="CL171" s="328"/>
      <c r="CM171" s="328"/>
      <c r="CN171" s="370"/>
      <c r="CO171" s="367"/>
      <c r="CP171" s="367">
        <v>10</v>
      </c>
      <c r="CQ171" s="367"/>
      <c r="CR171" s="367"/>
      <c r="CS171" s="387"/>
      <c r="CT171" s="398"/>
      <c r="CU171" s="399"/>
      <c r="CV171" s="399">
        <v>1</v>
      </c>
      <c r="CW171" s="399"/>
      <c r="CX171" s="399"/>
      <c r="CY171" s="399"/>
      <c r="CZ171" s="399"/>
      <c r="DA171" s="400"/>
      <c r="DB171" s="522">
        <v>1</v>
      </c>
    </row>
    <row r="172" spans="1:106" x14ac:dyDescent="0.25">
      <c r="A172" s="468" t="s">
        <v>161</v>
      </c>
      <c r="B172" s="468">
        <v>800</v>
      </c>
      <c r="C172" s="468" t="s">
        <v>2696</v>
      </c>
      <c r="D172" s="468">
        <v>520</v>
      </c>
      <c r="E172" s="468" t="s">
        <v>2697</v>
      </c>
      <c r="F172" s="468" t="s">
        <v>2698</v>
      </c>
      <c r="G172" s="468" t="s">
        <v>2699</v>
      </c>
      <c r="H172" s="468" t="s">
        <v>2700</v>
      </c>
      <c r="I172" s="468" t="s">
        <v>166</v>
      </c>
      <c r="J172" s="468" t="s">
        <v>3216</v>
      </c>
      <c r="K172" s="468" t="s">
        <v>2701</v>
      </c>
      <c r="L172" s="468" t="s">
        <v>3775</v>
      </c>
      <c r="M172" s="468" t="s">
        <v>3969</v>
      </c>
      <c r="N172" s="460">
        <v>0</v>
      </c>
      <c r="O172" s="294"/>
      <c r="P172" s="294"/>
      <c r="Q172" s="294"/>
      <c r="R172" s="294"/>
      <c r="S172" s="295"/>
      <c r="T172" s="299"/>
      <c r="U172" s="297"/>
      <c r="V172" s="297"/>
      <c r="W172" s="297"/>
      <c r="X172" s="297"/>
      <c r="Y172" s="297">
        <v>1</v>
      </c>
      <c r="Z172" s="297"/>
      <c r="AA172" s="297"/>
      <c r="AB172" s="293">
        <v>0</v>
      </c>
      <c r="AC172" s="294"/>
      <c r="AD172" s="295"/>
      <c r="AE172" s="298"/>
      <c r="AF172" s="299"/>
      <c r="AG172" s="297"/>
      <c r="AH172" s="297"/>
      <c r="AI172" s="297"/>
      <c r="AJ172" s="297"/>
      <c r="AK172" s="297"/>
      <c r="AL172" s="297"/>
      <c r="AM172" s="297">
        <v>1</v>
      </c>
      <c r="AN172" s="300"/>
      <c r="AO172" s="301"/>
      <c r="AP172" s="301"/>
      <c r="AQ172" s="301"/>
      <c r="AR172" s="301"/>
      <c r="AS172" s="301"/>
      <c r="AT172" s="301"/>
      <c r="AU172" s="301"/>
      <c r="AV172" s="301"/>
      <c r="AW172" s="301"/>
      <c r="AX172" s="301"/>
      <c r="AY172" s="301"/>
      <c r="AZ172" s="301"/>
      <c r="BA172" s="301"/>
      <c r="BB172" s="301"/>
      <c r="BC172" s="301"/>
      <c r="BD172" s="301"/>
      <c r="BE172" s="301">
        <v>1500</v>
      </c>
      <c r="BF172" s="302"/>
      <c r="BG172" s="303"/>
      <c r="BH172" s="304"/>
      <c r="BI172" s="304"/>
      <c r="BJ172" s="304"/>
      <c r="BK172" s="304"/>
      <c r="BL172" s="304"/>
      <c r="BM172" s="304"/>
      <c r="BN172" s="304"/>
      <c r="BO172" s="304"/>
      <c r="BP172" s="304"/>
      <c r="BQ172" s="304"/>
      <c r="BR172" s="304"/>
      <c r="BS172" s="304"/>
      <c r="BT172" s="304"/>
      <c r="BU172" s="304"/>
      <c r="BV172" s="304"/>
      <c r="BW172" s="304"/>
      <c r="BX172" s="304">
        <v>10</v>
      </c>
      <c r="BY172" s="305"/>
      <c r="BZ172" s="306"/>
      <c r="CA172" s="307"/>
      <c r="CB172" s="307"/>
      <c r="CC172" s="307"/>
      <c r="CD172" s="307"/>
      <c r="CE172" s="307"/>
      <c r="CF172" s="307"/>
      <c r="CG172" s="332"/>
      <c r="CH172" s="328"/>
      <c r="CI172" s="328"/>
      <c r="CJ172" s="328"/>
      <c r="CK172" s="328">
        <v>2</v>
      </c>
      <c r="CL172" s="328"/>
      <c r="CM172" s="328"/>
      <c r="CN172" s="370"/>
      <c r="CO172" s="367"/>
      <c r="CP172" s="367"/>
      <c r="CQ172" s="367"/>
      <c r="CR172" s="378">
        <v>10</v>
      </c>
      <c r="CS172" s="387"/>
      <c r="CT172" s="398"/>
      <c r="CU172" s="399"/>
      <c r="CV172" s="399"/>
      <c r="CW172" s="399"/>
      <c r="CX172" s="399">
        <v>1</v>
      </c>
      <c r="CY172" s="399"/>
      <c r="CZ172" s="399"/>
      <c r="DA172" s="400"/>
      <c r="DB172" s="522">
        <v>1</v>
      </c>
    </row>
    <row r="173" spans="1:106" x14ac:dyDescent="0.25">
      <c r="A173" s="468" t="s">
        <v>161</v>
      </c>
      <c r="B173" s="468">
        <v>800</v>
      </c>
      <c r="C173" s="468" t="s">
        <v>2702</v>
      </c>
      <c r="D173" s="468">
        <v>521</v>
      </c>
      <c r="E173" s="468" t="s">
        <v>2703</v>
      </c>
      <c r="F173" s="468" t="s">
        <v>2704</v>
      </c>
      <c r="G173" s="468" t="s">
        <v>2705</v>
      </c>
      <c r="H173" s="468" t="s">
        <v>2706</v>
      </c>
      <c r="I173" s="468" t="s">
        <v>166</v>
      </c>
      <c r="J173" s="468" t="s">
        <v>3217</v>
      </c>
      <c r="K173" s="468" t="s">
        <v>2707</v>
      </c>
      <c r="L173" s="468" t="s">
        <v>3775</v>
      </c>
      <c r="M173" s="468" t="s">
        <v>3969</v>
      </c>
      <c r="N173" s="460">
        <v>0</v>
      </c>
      <c r="O173" s="294"/>
      <c r="P173" s="294"/>
      <c r="Q173" s="294"/>
      <c r="R173" s="294"/>
      <c r="S173" s="295"/>
      <c r="T173" s="299"/>
      <c r="U173" s="297"/>
      <c r="V173" s="297"/>
      <c r="W173" s="297"/>
      <c r="X173" s="297"/>
      <c r="Y173" s="297">
        <v>2</v>
      </c>
      <c r="Z173" s="297"/>
      <c r="AA173" s="297"/>
      <c r="AB173" s="293">
        <v>0</v>
      </c>
      <c r="AC173" s="294"/>
      <c r="AD173" s="295"/>
      <c r="AE173" s="298"/>
      <c r="AF173" s="299"/>
      <c r="AG173" s="297"/>
      <c r="AH173" s="297"/>
      <c r="AI173" s="297"/>
      <c r="AJ173" s="297"/>
      <c r="AK173" s="297"/>
      <c r="AL173" s="297"/>
      <c r="AM173" s="297">
        <v>0</v>
      </c>
      <c r="AN173" s="300"/>
      <c r="AO173" s="301"/>
      <c r="AP173" s="301"/>
      <c r="AQ173" s="301"/>
      <c r="AR173" s="301"/>
      <c r="AS173" s="301"/>
      <c r="AT173" s="301"/>
      <c r="AU173" s="301"/>
      <c r="AV173" s="301"/>
      <c r="AW173" s="301"/>
      <c r="AX173" s="301"/>
      <c r="AY173" s="301"/>
      <c r="AZ173" s="301"/>
      <c r="BA173" s="301"/>
      <c r="BB173" s="301"/>
      <c r="BC173" s="301"/>
      <c r="BD173" s="301"/>
      <c r="BE173" s="301">
        <v>1500</v>
      </c>
      <c r="BF173" s="302"/>
      <c r="BG173" s="303"/>
      <c r="BH173" s="304"/>
      <c r="BI173" s="304"/>
      <c r="BJ173" s="304"/>
      <c r="BK173" s="304"/>
      <c r="BL173" s="304"/>
      <c r="BM173" s="304"/>
      <c r="BN173" s="304"/>
      <c r="BO173" s="304"/>
      <c r="BP173" s="304"/>
      <c r="BQ173" s="304"/>
      <c r="BR173" s="304"/>
      <c r="BS173" s="304"/>
      <c r="BT173" s="304"/>
      <c r="BU173" s="304"/>
      <c r="BV173" s="304"/>
      <c r="BW173" s="304"/>
      <c r="BX173" s="304">
        <v>10</v>
      </c>
      <c r="BY173" s="305"/>
      <c r="BZ173" s="306"/>
      <c r="CA173" s="307"/>
      <c r="CB173" s="307"/>
      <c r="CC173" s="307"/>
      <c r="CD173" s="307"/>
      <c r="CE173" s="307"/>
      <c r="CF173" s="307"/>
      <c r="CG173" s="332"/>
      <c r="CH173" s="328"/>
      <c r="CI173" s="328"/>
      <c r="CJ173" s="328"/>
      <c r="CK173" s="328">
        <v>2</v>
      </c>
      <c r="CL173" s="328"/>
      <c r="CM173" s="328"/>
      <c r="CN173" s="370"/>
      <c r="CO173" s="367"/>
      <c r="CP173" s="367"/>
      <c r="CQ173" s="367"/>
      <c r="CR173" s="378">
        <v>10</v>
      </c>
      <c r="CS173" s="387"/>
      <c r="CT173" s="398"/>
      <c r="CU173" s="399"/>
      <c r="CV173" s="399"/>
      <c r="CW173" s="399"/>
      <c r="CX173" s="399">
        <v>1</v>
      </c>
      <c r="CY173" s="399"/>
      <c r="CZ173" s="399"/>
      <c r="DA173" s="400"/>
      <c r="DB173" s="522">
        <v>1</v>
      </c>
    </row>
    <row r="174" spans="1:106" x14ac:dyDescent="0.25">
      <c r="A174" s="468" t="s">
        <v>161</v>
      </c>
      <c r="B174" s="468">
        <v>800</v>
      </c>
      <c r="C174" s="468" t="s">
        <v>2713</v>
      </c>
      <c r="D174" s="468">
        <v>523</v>
      </c>
      <c r="E174" s="468" t="s">
        <v>2714</v>
      </c>
      <c r="F174" s="468" t="s">
        <v>2715</v>
      </c>
      <c r="G174" s="468" t="s">
        <v>2716</v>
      </c>
      <c r="H174" s="468" t="s">
        <v>2717</v>
      </c>
      <c r="I174" s="468" t="s">
        <v>166</v>
      </c>
      <c r="J174" s="468" t="s">
        <v>3219</v>
      </c>
      <c r="K174" s="468" t="s">
        <v>2718</v>
      </c>
      <c r="L174" s="468" t="s">
        <v>3775</v>
      </c>
      <c r="M174" s="468" t="s">
        <v>3969</v>
      </c>
      <c r="N174" s="460">
        <v>0</v>
      </c>
      <c r="O174" s="294"/>
      <c r="P174" s="294"/>
      <c r="Q174" s="294"/>
      <c r="R174" s="294"/>
      <c r="S174" s="295"/>
      <c r="T174" s="299"/>
      <c r="U174" s="297"/>
      <c r="V174" s="297"/>
      <c r="W174" s="297"/>
      <c r="X174" s="297"/>
      <c r="Y174" s="297">
        <v>1</v>
      </c>
      <c r="Z174" s="297"/>
      <c r="AA174" s="297"/>
      <c r="AB174" s="293">
        <v>0</v>
      </c>
      <c r="AC174" s="294"/>
      <c r="AD174" s="295"/>
      <c r="AE174" s="298"/>
      <c r="AF174" s="299"/>
      <c r="AG174" s="297"/>
      <c r="AH174" s="297"/>
      <c r="AI174" s="297"/>
      <c r="AJ174" s="297"/>
      <c r="AK174" s="297"/>
      <c r="AL174" s="297"/>
      <c r="AM174" s="297">
        <v>0</v>
      </c>
      <c r="AN174" s="300"/>
      <c r="AO174" s="301"/>
      <c r="AP174" s="301"/>
      <c r="AQ174" s="301"/>
      <c r="AR174" s="301"/>
      <c r="AS174" s="301"/>
      <c r="AT174" s="301"/>
      <c r="AU174" s="301"/>
      <c r="AV174" s="301"/>
      <c r="AW174" s="301"/>
      <c r="AX174" s="301"/>
      <c r="AY174" s="301"/>
      <c r="AZ174" s="301"/>
      <c r="BA174" s="301"/>
      <c r="BB174" s="301"/>
      <c r="BC174" s="301"/>
      <c r="BD174" s="301"/>
      <c r="BE174" s="301">
        <v>1500</v>
      </c>
      <c r="BF174" s="302"/>
      <c r="BG174" s="303"/>
      <c r="BH174" s="304"/>
      <c r="BI174" s="304"/>
      <c r="BJ174" s="304"/>
      <c r="BK174" s="304"/>
      <c r="BL174" s="304"/>
      <c r="BM174" s="304"/>
      <c r="BN174" s="304"/>
      <c r="BO174" s="304"/>
      <c r="BP174" s="304"/>
      <c r="BQ174" s="304"/>
      <c r="BR174" s="304"/>
      <c r="BS174" s="304"/>
      <c r="BT174" s="304"/>
      <c r="BU174" s="304"/>
      <c r="BV174" s="304"/>
      <c r="BW174" s="304"/>
      <c r="BX174" s="304">
        <v>10</v>
      </c>
      <c r="BY174" s="305"/>
      <c r="BZ174" s="306"/>
      <c r="CA174" s="307"/>
      <c r="CB174" s="307"/>
      <c r="CC174" s="307"/>
      <c r="CD174" s="307"/>
      <c r="CE174" s="307"/>
      <c r="CF174" s="307"/>
      <c r="CG174" s="332"/>
      <c r="CH174" s="328"/>
      <c r="CI174" s="328"/>
      <c r="CJ174" s="328"/>
      <c r="CK174" s="328">
        <v>2</v>
      </c>
      <c r="CL174" s="328"/>
      <c r="CM174" s="328"/>
      <c r="CN174" s="370"/>
      <c r="CO174" s="367"/>
      <c r="CP174" s="367"/>
      <c r="CQ174" s="367"/>
      <c r="CR174" s="378">
        <v>10</v>
      </c>
      <c r="CS174" s="387"/>
      <c r="CT174" s="398"/>
      <c r="CU174" s="399"/>
      <c r="CV174" s="399"/>
      <c r="CW174" s="399"/>
      <c r="CX174" s="399">
        <v>1</v>
      </c>
      <c r="CY174" s="399"/>
      <c r="CZ174" s="399"/>
      <c r="DA174" s="400"/>
      <c r="DB174" s="522">
        <v>1</v>
      </c>
    </row>
    <row r="175" spans="1:106" x14ac:dyDescent="0.25">
      <c r="A175" s="468" t="s">
        <v>161</v>
      </c>
      <c r="B175" s="468">
        <v>800</v>
      </c>
      <c r="C175" s="468" t="s">
        <v>2736</v>
      </c>
      <c r="D175" s="468">
        <v>527</v>
      </c>
      <c r="E175" s="468" t="s">
        <v>2737</v>
      </c>
      <c r="F175" s="468" t="s">
        <v>2738</v>
      </c>
      <c r="G175" s="468" t="s">
        <v>2739</v>
      </c>
      <c r="H175" s="468" t="s">
        <v>2740</v>
      </c>
      <c r="I175" s="468" t="s">
        <v>166</v>
      </c>
      <c r="J175" s="468" t="s">
        <v>3222</v>
      </c>
      <c r="K175" s="468" t="s">
        <v>2741</v>
      </c>
      <c r="L175" s="468" t="s">
        <v>3775</v>
      </c>
      <c r="M175" s="468" t="s">
        <v>3969</v>
      </c>
      <c r="N175" s="460">
        <v>0</v>
      </c>
      <c r="O175" s="294"/>
      <c r="P175" s="294"/>
      <c r="Q175" s="294"/>
      <c r="R175" s="294"/>
      <c r="S175" s="295"/>
      <c r="T175" s="299"/>
      <c r="U175" s="297"/>
      <c r="V175" s="297"/>
      <c r="W175" s="297"/>
      <c r="X175" s="297"/>
      <c r="Y175" s="297">
        <v>0</v>
      </c>
      <c r="Z175" s="297"/>
      <c r="AA175" s="297"/>
      <c r="AB175" s="293">
        <v>0</v>
      </c>
      <c r="AC175" s="294"/>
      <c r="AD175" s="295"/>
      <c r="AE175" s="298"/>
      <c r="AF175" s="299"/>
      <c r="AG175" s="297"/>
      <c r="AH175" s="297"/>
      <c r="AI175" s="297"/>
      <c r="AJ175" s="297"/>
      <c r="AK175" s="297"/>
      <c r="AL175" s="297"/>
      <c r="AM175" s="297">
        <v>1</v>
      </c>
      <c r="AN175" s="300"/>
      <c r="AO175" s="301"/>
      <c r="AP175" s="301"/>
      <c r="AQ175" s="301"/>
      <c r="AR175" s="301"/>
      <c r="AS175" s="301"/>
      <c r="AT175" s="301"/>
      <c r="AU175" s="301"/>
      <c r="AV175" s="301"/>
      <c r="AW175" s="301"/>
      <c r="AX175" s="301"/>
      <c r="AY175" s="301"/>
      <c r="AZ175" s="301"/>
      <c r="BA175" s="301"/>
      <c r="BB175" s="301"/>
      <c r="BC175" s="301"/>
      <c r="BD175" s="301"/>
      <c r="BE175" s="301">
        <v>1500</v>
      </c>
      <c r="BF175" s="302"/>
      <c r="BG175" s="303"/>
      <c r="BH175" s="304"/>
      <c r="BI175" s="304"/>
      <c r="BJ175" s="304"/>
      <c r="BK175" s="304"/>
      <c r="BL175" s="304"/>
      <c r="BM175" s="304"/>
      <c r="BN175" s="304"/>
      <c r="BO175" s="304"/>
      <c r="BP175" s="304"/>
      <c r="BQ175" s="304"/>
      <c r="BR175" s="304"/>
      <c r="BS175" s="304"/>
      <c r="BT175" s="304"/>
      <c r="BU175" s="304"/>
      <c r="BV175" s="304"/>
      <c r="BW175" s="304"/>
      <c r="BX175" s="304">
        <v>10</v>
      </c>
      <c r="BY175" s="305"/>
      <c r="BZ175" s="306"/>
      <c r="CA175" s="307"/>
      <c r="CB175" s="307"/>
      <c r="CC175" s="307"/>
      <c r="CD175" s="307"/>
      <c r="CE175" s="307"/>
      <c r="CF175" s="307"/>
      <c r="CG175" s="332"/>
      <c r="CH175" s="328"/>
      <c r="CI175" s="328"/>
      <c r="CJ175" s="328"/>
      <c r="CK175" s="328">
        <v>2</v>
      </c>
      <c r="CL175" s="328"/>
      <c r="CM175" s="328"/>
      <c r="CN175" s="370"/>
      <c r="CO175" s="367"/>
      <c r="CP175" s="367"/>
      <c r="CQ175" s="367"/>
      <c r="CR175" s="378">
        <v>10</v>
      </c>
      <c r="CS175" s="387"/>
      <c r="CT175" s="398"/>
      <c r="CU175" s="399"/>
      <c r="CV175" s="399"/>
      <c r="CW175" s="399"/>
      <c r="CX175" s="399">
        <v>1</v>
      </c>
      <c r="CY175" s="399"/>
      <c r="CZ175" s="399"/>
      <c r="DA175" s="400"/>
      <c r="DB175" s="522">
        <v>1</v>
      </c>
    </row>
    <row r="176" spans="1:106" x14ac:dyDescent="0.25">
      <c r="A176" s="468" t="s">
        <v>161</v>
      </c>
      <c r="B176" s="468">
        <v>800</v>
      </c>
      <c r="C176" s="468" t="s">
        <v>2748</v>
      </c>
      <c r="D176" s="468">
        <v>529</v>
      </c>
      <c r="E176" s="468" t="s">
        <v>2749</v>
      </c>
      <c r="F176" s="468" t="s">
        <v>3224</v>
      </c>
      <c r="G176" s="468" t="s">
        <v>2751</v>
      </c>
      <c r="H176" s="468" t="s">
        <v>2752</v>
      </c>
      <c r="I176" s="468" t="s">
        <v>166</v>
      </c>
      <c r="J176" s="468" t="s">
        <v>3225</v>
      </c>
      <c r="K176" s="468" t="s">
        <v>2753</v>
      </c>
      <c r="L176" s="468" t="s">
        <v>3775</v>
      </c>
      <c r="M176" s="468" t="s">
        <v>3969</v>
      </c>
      <c r="N176" s="460">
        <v>0</v>
      </c>
      <c r="O176" s="294"/>
      <c r="P176" s="294"/>
      <c r="Q176" s="294"/>
      <c r="R176" s="294"/>
      <c r="S176" s="295"/>
      <c r="T176" s="299"/>
      <c r="U176" s="297"/>
      <c r="V176" s="297"/>
      <c r="W176" s="297"/>
      <c r="X176" s="297"/>
      <c r="Y176" s="297">
        <v>2</v>
      </c>
      <c r="Z176" s="297"/>
      <c r="AA176" s="297"/>
      <c r="AB176" s="293">
        <v>0</v>
      </c>
      <c r="AC176" s="294"/>
      <c r="AD176" s="295"/>
      <c r="AE176" s="298"/>
      <c r="AF176" s="296">
        <v>0</v>
      </c>
      <c r="AG176" s="297"/>
      <c r="AH176" s="297"/>
      <c r="AI176" s="297"/>
      <c r="AJ176" s="297"/>
      <c r="AK176" s="297"/>
      <c r="AL176" s="297"/>
      <c r="AM176" s="297"/>
      <c r="AN176" s="300"/>
      <c r="AO176" s="301"/>
      <c r="AP176" s="301"/>
      <c r="AQ176" s="301"/>
      <c r="AR176" s="301"/>
      <c r="AS176" s="301"/>
      <c r="AT176" s="301"/>
      <c r="AU176" s="301"/>
      <c r="AV176" s="301"/>
      <c r="AW176" s="301"/>
      <c r="AX176" s="301"/>
      <c r="AY176" s="301"/>
      <c r="AZ176" s="301"/>
      <c r="BA176" s="301"/>
      <c r="BB176" s="301"/>
      <c r="BC176" s="301"/>
      <c r="BD176" s="301"/>
      <c r="BE176" s="301">
        <v>1500</v>
      </c>
      <c r="BF176" s="302"/>
      <c r="BG176" s="303"/>
      <c r="BH176" s="304"/>
      <c r="BI176" s="304"/>
      <c r="BJ176" s="304"/>
      <c r="BK176" s="304"/>
      <c r="BL176" s="304"/>
      <c r="BM176" s="304"/>
      <c r="BN176" s="304"/>
      <c r="BO176" s="304"/>
      <c r="BP176" s="304"/>
      <c r="BQ176" s="304"/>
      <c r="BR176" s="304"/>
      <c r="BS176" s="304"/>
      <c r="BT176" s="304"/>
      <c r="BU176" s="304"/>
      <c r="BV176" s="304"/>
      <c r="BW176" s="304"/>
      <c r="BX176" s="304">
        <v>10</v>
      </c>
      <c r="BY176" s="305"/>
      <c r="BZ176" s="306"/>
      <c r="CA176" s="307"/>
      <c r="CB176" s="307"/>
      <c r="CC176" s="307"/>
      <c r="CD176" s="307"/>
      <c r="CE176" s="307"/>
      <c r="CF176" s="307"/>
      <c r="CG176" s="332"/>
      <c r="CH176" s="328"/>
      <c r="CI176" s="328"/>
      <c r="CJ176" s="328"/>
      <c r="CK176" s="328">
        <v>2</v>
      </c>
      <c r="CL176" s="328"/>
      <c r="CM176" s="328"/>
      <c r="CN176" s="370"/>
      <c r="CO176" s="367"/>
      <c r="CP176" s="367"/>
      <c r="CQ176" s="367"/>
      <c r="CR176" s="378">
        <v>10</v>
      </c>
      <c r="CS176" s="387"/>
      <c r="CT176" s="398"/>
      <c r="CU176" s="399"/>
      <c r="CV176" s="399"/>
      <c r="CW176" s="399"/>
      <c r="CX176" s="399">
        <v>1</v>
      </c>
      <c r="CY176" s="399"/>
      <c r="CZ176" s="399"/>
      <c r="DA176" s="400"/>
      <c r="DB176" s="522">
        <v>1</v>
      </c>
    </row>
    <row r="177" spans="1:106" x14ac:dyDescent="0.25">
      <c r="A177" s="468" t="s">
        <v>161</v>
      </c>
      <c r="B177" s="468">
        <v>800</v>
      </c>
      <c r="C177" s="468" t="s">
        <v>162</v>
      </c>
      <c r="D177" s="468">
        <v>530</v>
      </c>
      <c r="E177" s="468" t="s">
        <v>163</v>
      </c>
      <c r="F177" s="468" t="s">
        <v>2774</v>
      </c>
      <c r="G177" s="468" t="s">
        <v>164</v>
      </c>
      <c r="H177" s="468" t="s">
        <v>165</v>
      </c>
      <c r="I177" s="468" t="s">
        <v>166</v>
      </c>
      <c r="J177" s="468" t="s">
        <v>3226</v>
      </c>
      <c r="K177" s="468" t="s">
        <v>167</v>
      </c>
      <c r="L177" s="468" t="s">
        <v>3775</v>
      </c>
      <c r="M177" s="468" t="s">
        <v>3969</v>
      </c>
      <c r="N177" s="460">
        <v>0</v>
      </c>
      <c r="O177" s="294"/>
      <c r="P177" s="294"/>
      <c r="Q177" s="294"/>
      <c r="R177" s="294"/>
      <c r="S177" s="295"/>
      <c r="T177" s="299"/>
      <c r="U177" s="297"/>
      <c r="V177" s="297"/>
      <c r="W177" s="297"/>
      <c r="X177" s="297"/>
      <c r="Y177" s="297">
        <v>1</v>
      </c>
      <c r="Z177" s="297"/>
      <c r="AA177" s="297"/>
      <c r="AB177" s="293">
        <v>0</v>
      </c>
      <c r="AC177" s="294"/>
      <c r="AD177" s="295"/>
      <c r="AE177" s="298"/>
      <c r="AF177" s="296">
        <v>0</v>
      </c>
      <c r="AG177" s="297"/>
      <c r="AH177" s="297"/>
      <c r="AI177" s="297"/>
      <c r="AJ177" s="297"/>
      <c r="AK177" s="297"/>
      <c r="AL177" s="297"/>
      <c r="AM177" s="297"/>
      <c r="AN177" s="300"/>
      <c r="AO177" s="301"/>
      <c r="AP177" s="301"/>
      <c r="AQ177" s="301"/>
      <c r="AR177" s="301"/>
      <c r="AS177" s="301"/>
      <c r="AT177" s="301"/>
      <c r="AU177" s="301"/>
      <c r="AV177" s="301"/>
      <c r="AW177" s="301"/>
      <c r="AX177" s="301"/>
      <c r="AY177" s="301"/>
      <c r="AZ177" s="301"/>
      <c r="BA177" s="301"/>
      <c r="BB177" s="301"/>
      <c r="BC177" s="301"/>
      <c r="BD177" s="301"/>
      <c r="BE177" s="301">
        <v>1500</v>
      </c>
      <c r="BF177" s="302"/>
      <c r="BG177" s="303"/>
      <c r="BH177" s="304"/>
      <c r="BI177" s="304"/>
      <c r="BJ177" s="304"/>
      <c r="BK177" s="304"/>
      <c r="BL177" s="304"/>
      <c r="BM177" s="304"/>
      <c r="BN177" s="304"/>
      <c r="BO177" s="304"/>
      <c r="BP177" s="304"/>
      <c r="BQ177" s="304"/>
      <c r="BR177" s="304"/>
      <c r="BS177" s="304"/>
      <c r="BT177" s="304"/>
      <c r="BU177" s="304"/>
      <c r="BV177" s="304"/>
      <c r="BW177" s="304"/>
      <c r="BX177" s="304">
        <v>10</v>
      </c>
      <c r="BY177" s="305"/>
      <c r="BZ177" s="306"/>
      <c r="CA177" s="307"/>
      <c r="CB177" s="307"/>
      <c r="CC177" s="307"/>
      <c r="CD177" s="307"/>
      <c r="CE177" s="307"/>
      <c r="CF177" s="307"/>
      <c r="CG177" s="332"/>
      <c r="CH177" s="328"/>
      <c r="CI177" s="328"/>
      <c r="CJ177" s="328"/>
      <c r="CK177" s="328">
        <v>2</v>
      </c>
      <c r="CL177" s="328"/>
      <c r="CM177" s="328"/>
      <c r="CN177" s="370"/>
      <c r="CO177" s="367"/>
      <c r="CP177" s="367"/>
      <c r="CQ177" s="367"/>
      <c r="CR177" s="378">
        <v>10</v>
      </c>
      <c r="CS177" s="387"/>
      <c r="CT177" s="398"/>
      <c r="CU177" s="399"/>
      <c r="CV177" s="399"/>
      <c r="CW177" s="399"/>
      <c r="CX177" s="399">
        <v>1</v>
      </c>
      <c r="CY177" s="399"/>
      <c r="CZ177" s="399"/>
      <c r="DA177" s="400"/>
      <c r="DB177" s="522">
        <v>1</v>
      </c>
    </row>
    <row r="178" spans="1:106" x14ac:dyDescent="0.25">
      <c r="A178" s="468" t="s">
        <v>161</v>
      </c>
      <c r="B178" s="468">
        <v>800</v>
      </c>
      <c r="C178" s="468" t="s">
        <v>2761</v>
      </c>
      <c r="D178" s="468">
        <v>533</v>
      </c>
      <c r="E178" s="468" t="s">
        <v>2762</v>
      </c>
      <c r="F178" s="468" t="s">
        <v>2763</v>
      </c>
      <c r="G178" s="468" t="s">
        <v>2764</v>
      </c>
      <c r="H178" s="468" t="s">
        <v>2765</v>
      </c>
      <c r="I178" s="468" t="s">
        <v>166</v>
      </c>
      <c r="J178" s="468" t="s">
        <v>3228</v>
      </c>
      <c r="K178" s="468" t="s">
        <v>2766</v>
      </c>
      <c r="L178" s="468" t="s">
        <v>3775</v>
      </c>
      <c r="M178" s="468" t="s">
        <v>3969</v>
      </c>
      <c r="N178" s="460">
        <v>0</v>
      </c>
      <c r="O178" s="294"/>
      <c r="P178" s="294"/>
      <c r="Q178" s="294"/>
      <c r="R178" s="294"/>
      <c r="S178" s="295"/>
      <c r="T178" s="299"/>
      <c r="U178" s="297"/>
      <c r="V178" s="297"/>
      <c r="W178" s="297"/>
      <c r="X178" s="297"/>
      <c r="Y178" s="297">
        <v>2</v>
      </c>
      <c r="Z178" s="297"/>
      <c r="AA178" s="297"/>
      <c r="AB178" s="293">
        <v>0</v>
      </c>
      <c r="AC178" s="294"/>
      <c r="AD178" s="295"/>
      <c r="AE178" s="298"/>
      <c r="AF178" s="296">
        <v>0</v>
      </c>
      <c r="AG178" s="297"/>
      <c r="AH178" s="297"/>
      <c r="AI178" s="297"/>
      <c r="AJ178" s="297"/>
      <c r="AK178" s="297"/>
      <c r="AL178" s="297"/>
      <c r="AM178" s="297"/>
      <c r="AN178" s="300"/>
      <c r="AO178" s="301"/>
      <c r="AP178" s="301"/>
      <c r="AQ178" s="301"/>
      <c r="AR178" s="301"/>
      <c r="AS178" s="301"/>
      <c r="AT178" s="301"/>
      <c r="AU178" s="301"/>
      <c r="AV178" s="301"/>
      <c r="AW178" s="301"/>
      <c r="AX178" s="301"/>
      <c r="AY178" s="301"/>
      <c r="AZ178" s="301"/>
      <c r="BA178" s="301"/>
      <c r="BB178" s="301"/>
      <c r="BC178" s="301"/>
      <c r="BD178" s="301"/>
      <c r="BE178" s="301">
        <v>1500</v>
      </c>
      <c r="BF178" s="302"/>
      <c r="BG178" s="303"/>
      <c r="BH178" s="304"/>
      <c r="BI178" s="304"/>
      <c r="BJ178" s="304"/>
      <c r="BK178" s="304"/>
      <c r="BL178" s="304"/>
      <c r="BM178" s="304"/>
      <c r="BN178" s="304"/>
      <c r="BO178" s="304"/>
      <c r="BP178" s="304"/>
      <c r="BQ178" s="304"/>
      <c r="BR178" s="304"/>
      <c r="BS178" s="304"/>
      <c r="BT178" s="304"/>
      <c r="BU178" s="304"/>
      <c r="BV178" s="304"/>
      <c r="BW178" s="304"/>
      <c r="BX178" s="304">
        <v>10</v>
      </c>
      <c r="BY178" s="305"/>
      <c r="BZ178" s="306"/>
      <c r="CA178" s="307"/>
      <c r="CB178" s="307"/>
      <c r="CC178" s="307"/>
      <c r="CD178" s="307"/>
      <c r="CE178" s="307"/>
      <c r="CF178" s="307"/>
      <c r="CG178" s="332"/>
      <c r="CH178" s="328"/>
      <c r="CI178" s="328"/>
      <c r="CJ178" s="328"/>
      <c r="CK178" s="328">
        <v>2</v>
      </c>
      <c r="CL178" s="328"/>
      <c r="CM178" s="328"/>
      <c r="CN178" s="370"/>
      <c r="CO178" s="367"/>
      <c r="CP178" s="367"/>
      <c r="CQ178" s="367"/>
      <c r="CR178" s="378">
        <v>10</v>
      </c>
      <c r="CS178" s="387"/>
      <c r="CT178" s="398"/>
      <c r="CU178" s="399"/>
      <c r="CV178" s="399"/>
      <c r="CW178" s="399"/>
      <c r="CX178" s="399">
        <v>1</v>
      </c>
      <c r="CY178" s="399"/>
      <c r="CZ178" s="399"/>
      <c r="DA178" s="400"/>
      <c r="DB178" s="522">
        <v>1</v>
      </c>
    </row>
    <row r="179" spans="1:106" x14ac:dyDescent="0.25">
      <c r="A179" s="468" t="s">
        <v>161</v>
      </c>
      <c r="B179" s="468">
        <v>800</v>
      </c>
      <c r="C179" s="468" t="s">
        <v>2772</v>
      </c>
      <c r="D179" s="468">
        <v>536</v>
      </c>
      <c r="E179" s="468" t="s">
        <v>2773</v>
      </c>
      <c r="F179" s="468" t="s">
        <v>2750</v>
      </c>
      <c r="G179" s="468" t="s">
        <v>2775</v>
      </c>
      <c r="H179" s="468" t="s">
        <v>2776</v>
      </c>
      <c r="I179" s="468" t="s">
        <v>166</v>
      </c>
      <c r="J179" s="468" t="s">
        <v>3228</v>
      </c>
      <c r="K179" s="468" t="s">
        <v>2777</v>
      </c>
      <c r="L179" s="468" t="s">
        <v>3775</v>
      </c>
      <c r="M179" s="468" t="s">
        <v>3969</v>
      </c>
      <c r="N179" s="460">
        <v>0</v>
      </c>
      <c r="O179" s="294"/>
      <c r="P179" s="294"/>
      <c r="Q179" s="294"/>
      <c r="R179" s="294"/>
      <c r="S179" s="295"/>
      <c r="T179" s="299"/>
      <c r="U179" s="297"/>
      <c r="V179" s="297"/>
      <c r="W179" s="297"/>
      <c r="X179" s="297"/>
      <c r="Y179" s="297">
        <v>1</v>
      </c>
      <c r="Z179" s="297"/>
      <c r="AA179" s="297"/>
      <c r="AB179" s="293">
        <v>0</v>
      </c>
      <c r="AC179" s="294"/>
      <c r="AD179" s="295"/>
      <c r="AE179" s="298"/>
      <c r="AF179" s="296">
        <v>0</v>
      </c>
      <c r="AG179" s="297"/>
      <c r="AH179" s="297"/>
      <c r="AI179" s="297"/>
      <c r="AJ179" s="297"/>
      <c r="AK179" s="297"/>
      <c r="AL179" s="297"/>
      <c r="AM179" s="297"/>
      <c r="AN179" s="300"/>
      <c r="AO179" s="301"/>
      <c r="AP179" s="301"/>
      <c r="AQ179" s="301"/>
      <c r="AR179" s="301"/>
      <c r="AS179" s="301"/>
      <c r="AT179" s="301"/>
      <c r="AU179" s="301"/>
      <c r="AV179" s="301"/>
      <c r="AW179" s="301"/>
      <c r="AX179" s="301"/>
      <c r="AY179" s="301"/>
      <c r="AZ179" s="301"/>
      <c r="BA179" s="301"/>
      <c r="BB179" s="301"/>
      <c r="BC179" s="301"/>
      <c r="BD179" s="301"/>
      <c r="BE179" s="301">
        <v>1500</v>
      </c>
      <c r="BF179" s="302"/>
      <c r="BG179" s="303"/>
      <c r="BH179" s="304"/>
      <c r="BI179" s="304"/>
      <c r="BJ179" s="304"/>
      <c r="BK179" s="304"/>
      <c r="BL179" s="304"/>
      <c r="BM179" s="304"/>
      <c r="BN179" s="304"/>
      <c r="BO179" s="304"/>
      <c r="BP179" s="304"/>
      <c r="BQ179" s="304"/>
      <c r="BR179" s="304"/>
      <c r="BS179" s="304"/>
      <c r="BT179" s="304"/>
      <c r="BU179" s="304"/>
      <c r="BV179" s="304"/>
      <c r="BW179" s="304"/>
      <c r="BX179" s="304">
        <v>10</v>
      </c>
      <c r="BY179" s="305"/>
      <c r="BZ179" s="306"/>
      <c r="CA179" s="307"/>
      <c r="CB179" s="307"/>
      <c r="CC179" s="307"/>
      <c r="CD179" s="307"/>
      <c r="CE179" s="307"/>
      <c r="CF179" s="307"/>
      <c r="CG179" s="332"/>
      <c r="CH179" s="328"/>
      <c r="CI179" s="328"/>
      <c r="CJ179" s="328"/>
      <c r="CK179" s="328">
        <v>2</v>
      </c>
      <c r="CL179" s="328"/>
      <c r="CM179" s="328"/>
      <c r="CN179" s="370"/>
      <c r="CO179" s="367"/>
      <c r="CP179" s="367"/>
      <c r="CQ179" s="367"/>
      <c r="CR179" s="378">
        <v>10</v>
      </c>
      <c r="CS179" s="387"/>
      <c r="CT179" s="398"/>
      <c r="CU179" s="399"/>
      <c r="CV179" s="399"/>
      <c r="CW179" s="399"/>
      <c r="CX179" s="399">
        <v>1</v>
      </c>
      <c r="CY179" s="399"/>
      <c r="CZ179" s="399"/>
      <c r="DA179" s="400"/>
      <c r="DB179" s="522">
        <v>1</v>
      </c>
    </row>
    <row r="180" spans="1:106" x14ac:dyDescent="0.25">
      <c r="A180" s="468" t="s">
        <v>161</v>
      </c>
      <c r="B180" s="468">
        <v>800</v>
      </c>
      <c r="C180" s="468" t="s">
        <v>3544</v>
      </c>
      <c r="D180" s="468">
        <v>1511</v>
      </c>
      <c r="E180" s="468" t="s">
        <v>2652</v>
      </c>
      <c r="F180" s="468" t="s">
        <v>2653</v>
      </c>
      <c r="G180" s="468" t="s">
        <v>2654</v>
      </c>
      <c r="H180" s="468" t="s">
        <v>355</v>
      </c>
      <c r="I180" s="468" t="s">
        <v>166</v>
      </c>
      <c r="J180" s="468" t="s">
        <v>3545</v>
      </c>
      <c r="K180" s="468" t="s">
        <v>2655</v>
      </c>
      <c r="L180" s="468" t="s">
        <v>3775</v>
      </c>
      <c r="M180" s="468" t="s">
        <v>3969</v>
      </c>
      <c r="N180" s="460">
        <v>0</v>
      </c>
      <c r="O180" s="294"/>
      <c r="P180" s="294"/>
      <c r="Q180" s="294"/>
      <c r="R180" s="294"/>
      <c r="S180" s="295"/>
      <c r="T180" s="299"/>
      <c r="U180" s="297"/>
      <c r="V180" s="297"/>
      <c r="W180" s="297"/>
      <c r="X180" s="297"/>
      <c r="Y180" s="297">
        <v>1</v>
      </c>
      <c r="Z180" s="297"/>
      <c r="AA180" s="297"/>
      <c r="AB180" s="293">
        <v>0</v>
      </c>
      <c r="AC180" s="294"/>
      <c r="AD180" s="295"/>
      <c r="AE180" s="298"/>
      <c r="AF180" s="296">
        <v>0</v>
      </c>
      <c r="AG180" s="297"/>
      <c r="AH180" s="297"/>
      <c r="AI180" s="297"/>
      <c r="AJ180" s="297"/>
      <c r="AK180" s="297"/>
      <c r="AL180" s="297"/>
      <c r="AM180" s="297"/>
      <c r="AN180" s="300"/>
      <c r="AO180" s="301"/>
      <c r="AP180" s="301"/>
      <c r="AQ180" s="301"/>
      <c r="AR180" s="301"/>
      <c r="AS180" s="301"/>
      <c r="AT180" s="301"/>
      <c r="AU180" s="301"/>
      <c r="AV180" s="301"/>
      <c r="AW180" s="301"/>
      <c r="AX180" s="301"/>
      <c r="AY180" s="301"/>
      <c r="AZ180" s="301"/>
      <c r="BA180" s="301"/>
      <c r="BB180" s="301"/>
      <c r="BC180" s="301"/>
      <c r="BD180" s="301"/>
      <c r="BE180" s="301">
        <v>1500</v>
      </c>
      <c r="BF180" s="302"/>
      <c r="BG180" s="303"/>
      <c r="BH180" s="304"/>
      <c r="BI180" s="304"/>
      <c r="BJ180" s="304"/>
      <c r="BK180" s="304"/>
      <c r="BL180" s="304"/>
      <c r="BM180" s="304"/>
      <c r="BN180" s="304"/>
      <c r="BO180" s="304"/>
      <c r="BP180" s="304"/>
      <c r="BQ180" s="304"/>
      <c r="BR180" s="304"/>
      <c r="BS180" s="304"/>
      <c r="BT180" s="304"/>
      <c r="BU180" s="304"/>
      <c r="BV180" s="304"/>
      <c r="BW180" s="304"/>
      <c r="BX180" s="304">
        <v>10</v>
      </c>
      <c r="BY180" s="305"/>
      <c r="BZ180" s="306"/>
      <c r="CA180" s="307"/>
      <c r="CB180" s="307"/>
      <c r="CC180" s="307"/>
      <c r="CD180" s="307"/>
      <c r="CE180" s="307"/>
      <c r="CF180" s="307"/>
      <c r="CG180" s="332"/>
      <c r="CH180" s="328"/>
      <c r="CI180" s="328"/>
      <c r="CJ180" s="328"/>
      <c r="CK180" s="328">
        <v>2</v>
      </c>
      <c r="CL180" s="328"/>
      <c r="CM180" s="328"/>
      <c r="CN180" s="370"/>
      <c r="CO180" s="367"/>
      <c r="CP180" s="367"/>
      <c r="CQ180" s="367"/>
      <c r="CR180" s="378">
        <v>10</v>
      </c>
      <c r="CS180" s="387"/>
      <c r="CT180" s="398"/>
      <c r="CU180" s="399"/>
      <c r="CV180" s="399"/>
      <c r="CW180" s="399"/>
      <c r="CX180" s="399">
        <v>1</v>
      </c>
      <c r="CY180" s="399"/>
      <c r="CZ180" s="399"/>
      <c r="DA180" s="400"/>
      <c r="DB180" s="522">
        <v>1</v>
      </c>
    </row>
    <row r="181" spans="1:106" x14ac:dyDescent="0.25">
      <c r="A181" s="468" t="s">
        <v>161</v>
      </c>
      <c r="B181" s="468">
        <v>800</v>
      </c>
      <c r="C181" s="468" t="s">
        <v>3546</v>
      </c>
      <c r="D181" s="468">
        <v>1512</v>
      </c>
      <c r="E181" s="468" t="s">
        <v>2656</v>
      </c>
      <c r="F181" s="468" t="s">
        <v>2657</v>
      </c>
      <c r="G181" s="468" t="s">
        <v>2658</v>
      </c>
      <c r="H181" s="468" t="s">
        <v>2659</v>
      </c>
      <c r="I181" s="468" t="s">
        <v>166</v>
      </c>
      <c r="J181" s="468" t="s">
        <v>3547</v>
      </c>
      <c r="K181" s="468" t="s">
        <v>2660</v>
      </c>
      <c r="L181" s="468" t="s">
        <v>3775</v>
      </c>
      <c r="M181" s="468" t="s">
        <v>3969</v>
      </c>
      <c r="N181" s="460">
        <v>0</v>
      </c>
      <c r="O181" s="294"/>
      <c r="P181" s="294"/>
      <c r="Q181" s="294"/>
      <c r="R181" s="294"/>
      <c r="S181" s="295"/>
      <c r="T181" s="299"/>
      <c r="U181" s="297"/>
      <c r="V181" s="297"/>
      <c r="W181" s="297"/>
      <c r="X181" s="297"/>
      <c r="Y181" s="297">
        <v>2</v>
      </c>
      <c r="Z181" s="297"/>
      <c r="AA181" s="297"/>
      <c r="AB181" s="293">
        <v>0</v>
      </c>
      <c r="AC181" s="294"/>
      <c r="AD181" s="295"/>
      <c r="AE181" s="298"/>
      <c r="AF181" s="296">
        <v>0</v>
      </c>
      <c r="AG181" s="297"/>
      <c r="AH181" s="297"/>
      <c r="AI181" s="297"/>
      <c r="AJ181" s="297"/>
      <c r="AK181" s="297"/>
      <c r="AL181" s="297"/>
      <c r="AM181" s="297"/>
      <c r="AN181" s="300"/>
      <c r="AO181" s="301"/>
      <c r="AP181" s="301"/>
      <c r="AQ181" s="301"/>
      <c r="AR181" s="301"/>
      <c r="AS181" s="301"/>
      <c r="AT181" s="301"/>
      <c r="AU181" s="301"/>
      <c r="AV181" s="301"/>
      <c r="AW181" s="301"/>
      <c r="AX181" s="301"/>
      <c r="AY181" s="301"/>
      <c r="AZ181" s="301"/>
      <c r="BA181" s="301"/>
      <c r="BB181" s="301"/>
      <c r="BC181" s="301"/>
      <c r="BD181" s="301"/>
      <c r="BE181" s="301">
        <v>1500</v>
      </c>
      <c r="BF181" s="302"/>
      <c r="BG181" s="303"/>
      <c r="BH181" s="304"/>
      <c r="BI181" s="304"/>
      <c r="BJ181" s="304"/>
      <c r="BK181" s="304"/>
      <c r="BL181" s="304"/>
      <c r="BM181" s="304"/>
      <c r="BN181" s="304"/>
      <c r="BO181" s="304"/>
      <c r="BP181" s="304"/>
      <c r="BQ181" s="304"/>
      <c r="BR181" s="304"/>
      <c r="BS181" s="304"/>
      <c r="BT181" s="304"/>
      <c r="BU181" s="304"/>
      <c r="BV181" s="304"/>
      <c r="BW181" s="304"/>
      <c r="BX181" s="304">
        <v>10</v>
      </c>
      <c r="BY181" s="305"/>
      <c r="BZ181" s="306"/>
      <c r="CA181" s="307"/>
      <c r="CB181" s="307"/>
      <c r="CC181" s="307"/>
      <c r="CD181" s="307"/>
      <c r="CE181" s="307"/>
      <c r="CF181" s="307"/>
      <c r="CG181" s="332"/>
      <c r="CH181" s="328"/>
      <c r="CI181" s="328"/>
      <c r="CJ181" s="328"/>
      <c r="CK181" s="328">
        <v>2</v>
      </c>
      <c r="CL181" s="328"/>
      <c r="CM181" s="328"/>
      <c r="CN181" s="370"/>
      <c r="CO181" s="367"/>
      <c r="CP181" s="367"/>
      <c r="CQ181" s="367"/>
      <c r="CR181" s="378">
        <v>10</v>
      </c>
      <c r="CS181" s="387"/>
      <c r="CT181" s="398"/>
      <c r="CU181" s="399"/>
      <c r="CV181" s="399"/>
      <c r="CW181" s="399"/>
      <c r="CX181" s="399">
        <v>1</v>
      </c>
      <c r="CY181" s="399"/>
      <c r="CZ181" s="399"/>
      <c r="DA181" s="400"/>
      <c r="DB181" s="522">
        <v>1</v>
      </c>
    </row>
    <row r="182" spans="1:106" x14ac:dyDescent="0.25">
      <c r="A182" s="468" t="s">
        <v>161</v>
      </c>
      <c r="B182" s="468">
        <v>800</v>
      </c>
      <c r="C182" s="468" t="s">
        <v>3548</v>
      </c>
      <c r="D182" s="468">
        <v>1513</v>
      </c>
      <c r="E182" s="468" t="s">
        <v>2661</v>
      </c>
      <c r="F182" s="468" t="s">
        <v>2662</v>
      </c>
      <c r="G182" s="468" t="s">
        <v>2663</v>
      </c>
      <c r="H182" s="468" t="s">
        <v>2664</v>
      </c>
      <c r="I182" s="468" t="s">
        <v>166</v>
      </c>
      <c r="J182" s="468" t="s">
        <v>3549</v>
      </c>
      <c r="K182" s="468" t="s">
        <v>2665</v>
      </c>
      <c r="L182" s="468" t="s">
        <v>3775</v>
      </c>
      <c r="M182" s="468" t="s">
        <v>3969</v>
      </c>
      <c r="N182" s="460">
        <v>0</v>
      </c>
      <c r="O182" s="294"/>
      <c r="P182" s="294"/>
      <c r="Q182" s="294"/>
      <c r="R182" s="294"/>
      <c r="S182" s="295"/>
      <c r="T182" s="299"/>
      <c r="U182" s="297"/>
      <c r="V182" s="297"/>
      <c r="W182" s="297"/>
      <c r="X182" s="297"/>
      <c r="Y182" s="297">
        <v>2</v>
      </c>
      <c r="Z182" s="297"/>
      <c r="AA182" s="297"/>
      <c r="AB182" s="293">
        <v>0</v>
      </c>
      <c r="AC182" s="294"/>
      <c r="AD182" s="295"/>
      <c r="AE182" s="298"/>
      <c r="AF182" s="296">
        <v>0</v>
      </c>
      <c r="AG182" s="297"/>
      <c r="AH182" s="297"/>
      <c r="AI182" s="297"/>
      <c r="AJ182" s="297"/>
      <c r="AK182" s="297"/>
      <c r="AL182" s="297"/>
      <c r="AM182" s="297"/>
      <c r="AN182" s="300"/>
      <c r="AO182" s="301"/>
      <c r="AP182" s="301"/>
      <c r="AQ182" s="301"/>
      <c r="AR182" s="301"/>
      <c r="AS182" s="301"/>
      <c r="AT182" s="301"/>
      <c r="AU182" s="301"/>
      <c r="AV182" s="301"/>
      <c r="AW182" s="301"/>
      <c r="AX182" s="301"/>
      <c r="AY182" s="301"/>
      <c r="AZ182" s="301"/>
      <c r="BA182" s="301"/>
      <c r="BB182" s="301"/>
      <c r="BC182" s="301"/>
      <c r="BD182" s="301"/>
      <c r="BE182" s="301">
        <v>1500</v>
      </c>
      <c r="BF182" s="302"/>
      <c r="BG182" s="303"/>
      <c r="BH182" s="304"/>
      <c r="BI182" s="304"/>
      <c r="BJ182" s="304"/>
      <c r="BK182" s="304"/>
      <c r="BL182" s="304"/>
      <c r="BM182" s="304"/>
      <c r="BN182" s="304"/>
      <c r="BO182" s="304"/>
      <c r="BP182" s="304"/>
      <c r="BQ182" s="304"/>
      <c r="BR182" s="304"/>
      <c r="BS182" s="304"/>
      <c r="BT182" s="304"/>
      <c r="BU182" s="304"/>
      <c r="BV182" s="304"/>
      <c r="BW182" s="304"/>
      <c r="BX182" s="304">
        <v>10</v>
      </c>
      <c r="BY182" s="305"/>
      <c r="BZ182" s="306"/>
      <c r="CA182" s="307"/>
      <c r="CB182" s="307"/>
      <c r="CC182" s="307"/>
      <c r="CD182" s="307"/>
      <c r="CE182" s="307"/>
      <c r="CF182" s="307"/>
      <c r="CG182" s="332"/>
      <c r="CH182" s="328"/>
      <c r="CI182" s="328"/>
      <c r="CJ182" s="328"/>
      <c r="CK182" s="328">
        <v>2</v>
      </c>
      <c r="CL182" s="328"/>
      <c r="CM182" s="328"/>
      <c r="CN182" s="370"/>
      <c r="CO182" s="367"/>
      <c r="CP182" s="367"/>
      <c r="CQ182" s="367"/>
      <c r="CR182" s="378">
        <v>10</v>
      </c>
      <c r="CS182" s="387"/>
      <c r="CT182" s="398"/>
      <c r="CU182" s="399"/>
      <c r="CV182" s="399"/>
      <c r="CW182" s="399"/>
      <c r="CX182" s="399">
        <v>1</v>
      </c>
      <c r="CY182" s="399"/>
      <c r="CZ182" s="399"/>
      <c r="DA182" s="400"/>
      <c r="DB182" s="522">
        <v>1</v>
      </c>
    </row>
    <row r="183" spans="1:106" x14ac:dyDescent="0.25">
      <c r="A183" s="468" t="s">
        <v>161</v>
      </c>
      <c r="B183" s="468">
        <v>800</v>
      </c>
      <c r="C183" s="468" t="s">
        <v>3550</v>
      </c>
      <c r="D183" s="468">
        <v>1538</v>
      </c>
      <c r="E183" s="468" t="s">
        <v>2666</v>
      </c>
      <c r="F183" s="468" t="s">
        <v>2667</v>
      </c>
      <c r="G183" s="468" t="s">
        <v>2668</v>
      </c>
      <c r="H183" s="468" t="s">
        <v>2669</v>
      </c>
      <c r="I183" s="468" t="s">
        <v>166</v>
      </c>
      <c r="J183" s="468" t="s">
        <v>3551</v>
      </c>
      <c r="K183" s="468" t="s">
        <v>2670</v>
      </c>
      <c r="L183" s="468" t="s">
        <v>3775</v>
      </c>
      <c r="M183" s="468" t="s">
        <v>3969</v>
      </c>
      <c r="N183" s="460">
        <v>0</v>
      </c>
      <c r="O183" s="294"/>
      <c r="P183" s="294"/>
      <c r="Q183" s="294"/>
      <c r="R183" s="294"/>
      <c r="S183" s="295"/>
      <c r="T183" s="299"/>
      <c r="U183" s="297"/>
      <c r="V183" s="297"/>
      <c r="W183" s="297"/>
      <c r="X183" s="297"/>
      <c r="Y183" s="297">
        <v>2</v>
      </c>
      <c r="Z183" s="297"/>
      <c r="AA183" s="297"/>
      <c r="AB183" s="293">
        <v>0</v>
      </c>
      <c r="AC183" s="294"/>
      <c r="AD183" s="295"/>
      <c r="AE183" s="298"/>
      <c r="AF183" s="296">
        <v>0</v>
      </c>
      <c r="AG183" s="297"/>
      <c r="AH183" s="297"/>
      <c r="AI183" s="297"/>
      <c r="AJ183" s="297"/>
      <c r="AK183" s="297"/>
      <c r="AL183" s="297"/>
      <c r="AM183" s="297"/>
      <c r="AN183" s="300"/>
      <c r="AO183" s="301"/>
      <c r="AP183" s="301"/>
      <c r="AQ183" s="301"/>
      <c r="AR183" s="301"/>
      <c r="AS183" s="301"/>
      <c r="AT183" s="301"/>
      <c r="AU183" s="301"/>
      <c r="AV183" s="301"/>
      <c r="AW183" s="301"/>
      <c r="AX183" s="301"/>
      <c r="AY183" s="301"/>
      <c r="AZ183" s="301"/>
      <c r="BA183" s="301"/>
      <c r="BB183" s="301"/>
      <c r="BC183" s="301"/>
      <c r="BD183" s="301"/>
      <c r="BE183" s="301">
        <v>1500</v>
      </c>
      <c r="BF183" s="302"/>
      <c r="BG183" s="303"/>
      <c r="BH183" s="304"/>
      <c r="BI183" s="304"/>
      <c r="BJ183" s="304"/>
      <c r="BK183" s="304"/>
      <c r="BL183" s="304"/>
      <c r="BM183" s="304"/>
      <c r="BN183" s="304"/>
      <c r="BO183" s="304"/>
      <c r="BP183" s="304"/>
      <c r="BQ183" s="304"/>
      <c r="BR183" s="304"/>
      <c r="BS183" s="304"/>
      <c r="BT183" s="304"/>
      <c r="BU183" s="304"/>
      <c r="BV183" s="304"/>
      <c r="BW183" s="304"/>
      <c r="BX183" s="304">
        <v>10</v>
      </c>
      <c r="BY183" s="305"/>
      <c r="BZ183" s="306"/>
      <c r="CA183" s="307"/>
      <c r="CB183" s="307"/>
      <c r="CC183" s="307"/>
      <c r="CD183" s="307"/>
      <c r="CE183" s="307"/>
      <c r="CF183" s="307"/>
      <c r="CG183" s="332"/>
      <c r="CH183" s="328"/>
      <c r="CI183" s="328"/>
      <c r="CJ183" s="328"/>
      <c r="CK183" s="328">
        <v>2</v>
      </c>
      <c r="CL183" s="328"/>
      <c r="CM183" s="328"/>
      <c r="CN183" s="370"/>
      <c r="CO183" s="367"/>
      <c r="CP183" s="367"/>
      <c r="CQ183" s="367"/>
      <c r="CR183" s="378">
        <v>10</v>
      </c>
      <c r="CS183" s="387"/>
      <c r="CT183" s="398"/>
      <c r="CU183" s="399"/>
      <c r="CV183" s="399"/>
      <c r="CW183" s="399"/>
      <c r="CX183" s="399">
        <v>1</v>
      </c>
      <c r="CY183" s="399"/>
      <c r="CZ183" s="399"/>
      <c r="DA183" s="400"/>
      <c r="DB183" s="522">
        <v>1</v>
      </c>
    </row>
    <row r="184" spans="1:106" x14ac:dyDescent="0.25">
      <c r="A184" s="468" t="s">
        <v>161</v>
      </c>
      <c r="B184" s="468">
        <v>800</v>
      </c>
      <c r="C184" s="468" t="s">
        <v>3552</v>
      </c>
      <c r="D184" s="468">
        <v>1539</v>
      </c>
      <c r="E184" s="468" t="s">
        <v>2671</v>
      </c>
      <c r="F184" s="468" t="s">
        <v>2672</v>
      </c>
      <c r="G184" s="468" t="s">
        <v>2673</v>
      </c>
      <c r="H184" s="468" t="s">
        <v>2674</v>
      </c>
      <c r="I184" s="468" t="s">
        <v>166</v>
      </c>
      <c r="J184" s="468" t="s">
        <v>3553</v>
      </c>
      <c r="K184" s="468" t="s">
        <v>2675</v>
      </c>
      <c r="L184" s="468" t="s">
        <v>3775</v>
      </c>
      <c r="M184" s="468" t="s">
        <v>3969</v>
      </c>
      <c r="N184" s="461"/>
      <c r="O184" s="294"/>
      <c r="P184" s="294"/>
      <c r="Q184" s="294"/>
      <c r="R184" s="294"/>
      <c r="S184" s="295">
        <v>2</v>
      </c>
      <c r="T184" s="299"/>
      <c r="U184" s="297"/>
      <c r="V184" s="297"/>
      <c r="W184" s="297"/>
      <c r="X184" s="297"/>
      <c r="Y184" s="297">
        <v>0</v>
      </c>
      <c r="Z184" s="297"/>
      <c r="AA184" s="297"/>
      <c r="AB184" s="293">
        <v>0</v>
      </c>
      <c r="AC184" s="294"/>
      <c r="AD184" s="295"/>
      <c r="AE184" s="298"/>
      <c r="AF184" s="296">
        <v>0</v>
      </c>
      <c r="AG184" s="297"/>
      <c r="AH184" s="297"/>
      <c r="AI184" s="297"/>
      <c r="AJ184" s="297"/>
      <c r="AK184" s="297"/>
      <c r="AL184" s="297"/>
      <c r="AM184" s="297"/>
      <c r="AN184" s="300"/>
      <c r="AO184" s="301"/>
      <c r="AP184" s="301"/>
      <c r="AQ184" s="301"/>
      <c r="AR184" s="301"/>
      <c r="AS184" s="301"/>
      <c r="AT184" s="301"/>
      <c r="AU184" s="301"/>
      <c r="AV184" s="301"/>
      <c r="AW184" s="301"/>
      <c r="AX184" s="301"/>
      <c r="AY184" s="301"/>
      <c r="AZ184" s="301"/>
      <c r="BA184" s="301"/>
      <c r="BB184" s="301"/>
      <c r="BC184" s="301"/>
      <c r="BD184" s="301"/>
      <c r="BE184" s="301">
        <v>1500</v>
      </c>
      <c r="BF184" s="302"/>
      <c r="BG184" s="303"/>
      <c r="BH184" s="304"/>
      <c r="BI184" s="304"/>
      <c r="BJ184" s="304"/>
      <c r="BK184" s="304"/>
      <c r="BL184" s="304"/>
      <c r="BM184" s="304"/>
      <c r="BN184" s="304"/>
      <c r="BO184" s="304"/>
      <c r="BP184" s="304"/>
      <c r="BQ184" s="304"/>
      <c r="BR184" s="304"/>
      <c r="BS184" s="304"/>
      <c r="BT184" s="304"/>
      <c r="BU184" s="304"/>
      <c r="BV184" s="304"/>
      <c r="BW184" s="304"/>
      <c r="BX184" s="304">
        <v>10</v>
      </c>
      <c r="BY184" s="305"/>
      <c r="BZ184" s="306"/>
      <c r="CA184" s="307"/>
      <c r="CB184" s="307"/>
      <c r="CC184" s="307"/>
      <c r="CD184" s="307"/>
      <c r="CE184" s="307"/>
      <c r="CF184" s="307"/>
      <c r="CG184" s="332"/>
      <c r="CH184" s="328"/>
      <c r="CI184" s="328"/>
      <c r="CJ184" s="328"/>
      <c r="CK184" s="328">
        <v>2</v>
      </c>
      <c r="CL184" s="328"/>
      <c r="CM184" s="328"/>
      <c r="CN184" s="370"/>
      <c r="CO184" s="367"/>
      <c r="CP184" s="367"/>
      <c r="CQ184" s="367"/>
      <c r="CR184" s="378">
        <v>10</v>
      </c>
      <c r="CS184" s="387"/>
      <c r="CT184" s="398"/>
      <c r="CU184" s="399"/>
      <c r="CV184" s="399"/>
      <c r="CW184" s="399"/>
      <c r="CX184" s="399">
        <v>1</v>
      </c>
      <c r="CY184" s="399"/>
      <c r="CZ184" s="399"/>
      <c r="DA184" s="400"/>
      <c r="DB184" s="522">
        <v>1</v>
      </c>
    </row>
    <row r="185" spans="1:106" x14ac:dyDescent="0.25">
      <c r="A185" s="468" t="s">
        <v>161</v>
      </c>
      <c r="B185" s="468">
        <v>800</v>
      </c>
      <c r="C185" s="468" t="s">
        <v>3554</v>
      </c>
      <c r="D185" s="468">
        <v>1541</v>
      </c>
      <c r="E185" s="468" t="s">
        <v>2676</v>
      </c>
      <c r="F185" s="468" t="s">
        <v>2677</v>
      </c>
      <c r="G185" s="468" t="s">
        <v>2678</v>
      </c>
      <c r="H185" s="468" t="s">
        <v>2669</v>
      </c>
      <c r="I185" s="468" t="s">
        <v>166</v>
      </c>
      <c r="J185" s="468" t="s">
        <v>3555</v>
      </c>
      <c r="K185" s="468" t="s">
        <v>2679</v>
      </c>
      <c r="L185" s="468" t="s">
        <v>3775</v>
      </c>
      <c r="M185" s="468" t="s">
        <v>3969</v>
      </c>
      <c r="N185" s="461"/>
      <c r="O185" s="294"/>
      <c r="P185" s="294"/>
      <c r="Q185" s="294"/>
      <c r="R185" s="294"/>
      <c r="S185" s="295">
        <v>0</v>
      </c>
      <c r="T185" s="299"/>
      <c r="U185" s="297"/>
      <c r="V185" s="297"/>
      <c r="W185" s="297"/>
      <c r="X185" s="297"/>
      <c r="Y185" s="297">
        <v>2</v>
      </c>
      <c r="Z185" s="297"/>
      <c r="AA185" s="297"/>
      <c r="AB185" s="293">
        <v>0</v>
      </c>
      <c r="AC185" s="294"/>
      <c r="AD185" s="295"/>
      <c r="AE185" s="298"/>
      <c r="AF185" s="296">
        <v>0</v>
      </c>
      <c r="AG185" s="297"/>
      <c r="AH185" s="297"/>
      <c r="AI185" s="297"/>
      <c r="AJ185" s="297"/>
      <c r="AK185" s="297"/>
      <c r="AL185" s="297"/>
      <c r="AM185" s="297"/>
      <c r="AN185" s="300"/>
      <c r="AO185" s="301"/>
      <c r="AP185" s="301"/>
      <c r="AQ185" s="301"/>
      <c r="AR185" s="301"/>
      <c r="AS185" s="301"/>
      <c r="AT185" s="301"/>
      <c r="AU185" s="301"/>
      <c r="AV185" s="301"/>
      <c r="AW185" s="301"/>
      <c r="AX185" s="301"/>
      <c r="AY185" s="301"/>
      <c r="AZ185" s="301"/>
      <c r="BA185" s="301"/>
      <c r="BB185" s="301"/>
      <c r="BC185" s="301"/>
      <c r="BD185" s="301"/>
      <c r="BE185" s="301">
        <v>1500</v>
      </c>
      <c r="BF185" s="302"/>
      <c r="BG185" s="303"/>
      <c r="BH185" s="304"/>
      <c r="BI185" s="304"/>
      <c r="BJ185" s="304"/>
      <c r="BK185" s="304"/>
      <c r="BL185" s="304"/>
      <c r="BM185" s="304"/>
      <c r="BN185" s="304"/>
      <c r="BO185" s="304"/>
      <c r="BP185" s="304"/>
      <c r="BQ185" s="304"/>
      <c r="BR185" s="304"/>
      <c r="BS185" s="304"/>
      <c r="BT185" s="304"/>
      <c r="BU185" s="304"/>
      <c r="BV185" s="304"/>
      <c r="BW185" s="304"/>
      <c r="BX185" s="304">
        <v>10</v>
      </c>
      <c r="BY185" s="305"/>
      <c r="BZ185" s="306"/>
      <c r="CA185" s="307"/>
      <c r="CB185" s="307"/>
      <c r="CC185" s="307"/>
      <c r="CD185" s="307"/>
      <c r="CE185" s="307"/>
      <c r="CF185" s="307"/>
      <c r="CG185" s="332"/>
      <c r="CH185" s="328"/>
      <c r="CI185" s="328"/>
      <c r="CJ185" s="328"/>
      <c r="CK185" s="328">
        <v>2</v>
      </c>
      <c r="CL185" s="328"/>
      <c r="CM185" s="328"/>
      <c r="CN185" s="370"/>
      <c r="CO185" s="367"/>
      <c r="CP185" s="367"/>
      <c r="CQ185" s="367"/>
      <c r="CR185" s="378">
        <v>10</v>
      </c>
      <c r="CS185" s="387"/>
      <c r="CT185" s="398"/>
      <c r="CU185" s="399"/>
      <c r="CV185" s="399"/>
      <c r="CW185" s="399"/>
      <c r="CX185" s="399">
        <v>1</v>
      </c>
      <c r="CY185" s="399"/>
      <c r="CZ185" s="399"/>
      <c r="DA185" s="400"/>
      <c r="DB185" s="522">
        <v>1</v>
      </c>
    </row>
    <row r="186" spans="1:106" x14ac:dyDescent="0.25">
      <c r="A186" s="468" t="s">
        <v>161</v>
      </c>
      <c r="B186" s="468">
        <v>800</v>
      </c>
      <c r="C186" s="468" t="s">
        <v>3696</v>
      </c>
      <c r="D186" s="468">
        <v>2559</v>
      </c>
      <c r="E186" s="468" t="s">
        <v>2680</v>
      </c>
      <c r="F186" s="468" t="s">
        <v>2681</v>
      </c>
      <c r="G186" s="468" t="s">
        <v>2682</v>
      </c>
      <c r="H186" s="468" t="s">
        <v>2683</v>
      </c>
      <c r="I186" s="468" t="s">
        <v>166</v>
      </c>
      <c r="J186" s="468" t="s">
        <v>3697</v>
      </c>
      <c r="K186" s="468" t="s">
        <v>2684</v>
      </c>
      <c r="L186" s="468" t="s">
        <v>3775</v>
      </c>
      <c r="M186" s="468" t="s">
        <v>3969</v>
      </c>
      <c r="N186" s="461"/>
      <c r="O186" s="294"/>
      <c r="P186" s="294"/>
      <c r="Q186" s="294"/>
      <c r="R186" s="294"/>
      <c r="S186" s="295">
        <v>2</v>
      </c>
      <c r="T186" s="296">
        <v>0</v>
      </c>
      <c r="U186" s="297"/>
      <c r="V186" s="297"/>
      <c r="W186" s="297"/>
      <c r="X186" s="297"/>
      <c r="Y186" s="297"/>
      <c r="Z186" s="297"/>
      <c r="AA186" s="297"/>
      <c r="AB186" s="293">
        <v>0</v>
      </c>
      <c r="AC186" s="294"/>
      <c r="AD186" s="295"/>
      <c r="AE186" s="298"/>
      <c r="AF186" s="296">
        <v>0</v>
      </c>
      <c r="AG186" s="297"/>
      <c r="AH186" s="297"/>
      <c r="AI186" s="297"/>
      <c r="AJ186" s="297"/>
      <c r="AK186" s="297"/>
      <c r="AL186" s="297"/>
      <c r="AM186" s="297"/>
      <c r="AN186" s="300"/>
      <c r="AO186" s="301"/>
      <c r="AP186" s="301"/>
      <c r="AQ186" s="301"/>
      <c r="AR186" s="301"/>
      <c r="AS186" s="301"/>
      <c r="AT186" s="301"/>
      <c r="AU186" s="301"/>
      <c r="AV186" s="301"/>
      <c r="AW186" s="301"/>
      <c r="AX186" s="301"/>
      <c r="AY186" s="301"/>
      <c r="AZ186" s="301"/>
      <c r="BA186" s="301"/>
      <c r="BB186" s="301"/>
      <c r="BC186" s="301"/>
      <c r="BD186" s="301"/>
      <c r="BE186" s="301">
        <v>1500</v>
      </c>
      <c r="BF186" s="302"/>
      <c r="BG186" s="303"/>
      <c r="BH186" s="304"/>
      <c r="BI186" s="304"/>
      <c r="BJ186" s="304"/>
      <c r="BK186" s="304"/>
      <c r="BL186" s="304"/>
      <c r="BM186" s="304"/>
      <c r="BN186" s="304"/>
      <c r="BO186" s="304"/>
      <c r="BP186" s="304"/>
      <c r="BQ186" s="304"/>
      <c r="BR186" s="304"/>
      <c r="BS186" s="304"/>
      <c r="BT186" s="304"/>
      <c r="BU186" s="304"/>
      <c r="BV186" s="304"/>
      <c r="BW186" s="304"/>
      <c r="BX186" s="304">
        <v>10</v>
      </c>
      <c r="BY186" s="305"/>
      <c r="BZ186" s="306"/>
      <c r="CA186" s="307"/>
      <c r="CB186" s="307"/>
      <c r="CC186" s="307"/>
      <c r="CD186" s="307"/>
      <c r="CE186" s="307"/>
      <c r="CF186" s="307"/>
      <c r="CG186" s="332"/>
      <c r="CH186" s="328"/>
      <c r="CI186" s="328"/>
      <c r="CJ186" s="328"/>
      <c r="CK186" s="328">
        <v>2</v>
      </c>
      <c r="CL186" s="328"/>
      <c r="CM186" s="328"/>
      <c r="CN186" s="370"/>
      <c r="CO186" s="367"/>
      <c r="CP186" s="367"/>
      <c r="CQ186" s="367"/>
      <c r="CR186" s="378">
        <v>10</v>
      </c>
      <c r="CS186" s="387"/>
      <c r="CT186" s="398"/>
      <c r="CU186" s="399"/>
      <c r="CV186" s="399"/>
      <c r="CW186" s="399"/>
      <c r="CX186" s="399">
        <v>1</v>
      </c>
      <c r="CY186" s="399"/>
      <c r="CZ186" s="399"/>
      <c r="DA186" s="400"/>
      <c r="DB186" s="522">
        <v>1</v>
      </c>
    </row>
    <row r="187" spans="1:106" x14ac:dyDescent="0.25">
      <c r="A187" s="468" t="s">
        <v>126</v>
      </c>
      <c r="B187" s="468">
        <v>800</v>
      </c>
      <c r="C187" s="468" t="s">
        <v>3564</v>
      </c>
      <c r="D187" s="468">
        <v>1581</v>
      </c>
      <c r="E187" s="468" t="s">
        <v>2790</v>
      </c>
      <c r="F187" s="468" t="s">
        <v>2791</v>
      </c>
      <c r="G187" s="468" t="s">
        <v>2792</v>
      </c>
      <c r="H187" s="468" t="s">
        <v>130</v>
      </c>
      <c r="I187" s="468" t="s">
        <v>131</v>
      </c>
      <c r="J187" s="468" t="s">
        <v>3565</v>
      </c>
      <c r="K187" s="468" t="s">
        <v>2793</v>
      </c>
      <c r="L187" s="468" t="s">
        <v>3737</v>
      </c>
      <c r="M187" s="468" t="s">
        <v>3739</v>
      </c>
      <c r="N187" s="461"/>
      <c r="O187" s="294"/>
      <c r="P187" s="294"/>
      <c r="Q187" s="294"/>
      <c r="R187" s="294">
        <v>2</v>
      </c>
      <c r="S187" s="295"/>
      <c r="T187" s="296">
        <v>0</v>
      </c>
      <c r="U187" s="297"/>
      <c r="V187" s="297"/>
      <c r="W187" s="297"/>
      <c r="X187" s="297"/>
      <c r="Y187" s="297"/>
      <c r="Z187" s="297"/>
      <c r="AA187" s="297"/>
      <c r="AB187" s="293">
        <v>0</v>
      </c>
      <c r="AC187" s="294"/>
      <c r="AD187" s="295"/>
      <c r="AE187" s="298"/>
      <c r="AF187" s="296">
        <v>0</v>
      </c>
      <c r="AG187" s="297"/>
      <c r="AH187" s="297"/>
      <c r="AI187" s="297"/>
      <c r="AJ187" s="297"/>
      <c r="AK187" s="297"/>
      <c r="AL187" s="297"/>
      <c r="AM187" s="297"/>
      <c r="AN187" s="300"/>
      <c r="AO187" s="301"/>
      <c r="AP187" s="301"/>
      <c r="AQ187" s="301"/>
      <c r="AR187" s="301"/>
      <c r="AS187" s="301"/>
      <c r="AT187" s="301"/>
      <c r="AU187" s="301"/>
      <c r="AV187" s="301"/>
      <c r="AW187" s="301"/>
      <c r="AX187" s="301"/>
      <c r="AY187" s="301"/>
      <c r="AZ187" s="301">
        <v>1500</v>
      </c>
      <c r="BA187" s="301"/>
      <c r="BB187" s="301"/>
      <c r="BC187" s="301"/>
      <c r="BD187" s="301"/>
      <c r="BE187" s="301"/>
      <c r="BF187" s="302"/>
      <c r="BG187" s="303"/>
      <c r="BH187" s="304"/>
      <c r="BI187" s="304"/>
      <c r="BJ187" s="304"/>
      <c r="BK187" s="304"/>
      <c r="BL187" s="304"/>
      <c r="BM187" s="304"/>
      <c r="BN187" s="304"/>
      <c r="BO187" s="304"/>
      <c r="BP187" s="304"/>
      <c r="BQ187" s="304"/>
      <c r="BR187" s="304"/>
      <c r="BS187" s="304">
        <v>10</v>
      </c>
      <c r="BT187" s="304"/>
      <c r="BU187" s="304"/>
      <c r="BV187" s="304"/>
      <c r="BW187" s="304"/>
      <c r="BX187" s="304"/>
      <c r="BY187" s="305"/>
      <c r="BZ187" s="306"/>
      <c r="CA187" s="307"/>
      <c r="CB187" s="307"/>
      <c r="CC187" s="307"/>
      <c r="CD187" s="307"/>
      <c r="CE187" s="307"/>
      <c r="CF187" s="307"/>
      <c r="CG187" s="332"/>
      <c r="CH187" s="328"/>
      <c r="CI187" s="328"/>
      <c r="CJ187" s="328">
        <v>2</v>
      </c>
      <c r="CK187" s="328"/>
      <c r="CL187" s="328"/>
      <c r="CM187" s="328"/>
      <c r="CN187" s="370"/>
      <c r="CO187" s="367"/>
      <c r="CP187" s="367"/>
      <c r="CQ187" s="367">
        <v>10</v>
      </c>
      <c r="CR187" s="367"/>
      <c r="CS187" s="387"/>
      <c r="CT187" s="398"/>
      <c r="CU187" s="399"/>
      <c r="CV187" s="399"/>
      <c r="CW187" s="399"/>
      <c r="CX187" s="399">
        <v>1</v>
      </c>
      <c r="CY187" s="399"/>
      <c r="CZ187" s="399"/>
      <c r="DA187" s="400"/>
      <c r="DB187" s="522">
        <v>1</v>
      </c>
    </row>
    <row r="188" spans="1:106" x14ac:dyDescent="0.25">
      <c r="A188" s="468" t="s">
        <v>126</v>
      </c>
      <c r="B188" s="468">
        <v>800</v>
      </c>
      <c r="C188" s="468" t="s">
        <v>3690</v>
      </c>
      <c r="D188" s="468">
        <v>2545</v>
      </c>
      <c r="E188" s="468" t="s">
        <v>2794</v>
      </c>
      <c r="F188" s="468" t="s">
        <v>2795</v>
      </c>
      <c r="G188" s="468" t="s">
        <v>2796</v>
      </c>
      <c r="H188" s="468" t="s">
        <v>130</v>
      </c>
      <c r="I188" s="468" t="s">
        <v>131</v>
      </c>
      <c r="J188" s="468" t="s">
        <v>3563</v>
      </c>
      <c r="K188" s="468" t="s">
        <v>2797</v>
      </c>
      <c r="L188" s="468" t="s">
        <v>3737</v>
      </c>
      <c r="M188" s="468" t="s">
        <v>3739</v>
      </c>
      <c r="N188" s="461"/>
      <c r="O188" s="294"/>
      <c r="P188" s="294"/>
      <c r="Q188" s="294"/>
      <c r="R188" s="294">
        <v>2</v>
      </c>
      <c r="S188" s="295"/>
      <c r="T188" s="296">
        <v>0</v>
      </c>
      <c r="U188" s="297"/>
      <c r="V188" s="297"/>
      <c r="W188" s="297"/>
      <c r="X188" s="297"/>
      <c r="Y188" s="297"/>
      <c r="Z188" s="297"/>
      <c r="AA188" s="297"/>
      <c r="AB188" s="293">
        <v>0</v>
      </c>
      <c r="AC188" s="294"/>
      <c r="AD188" s="295"/>
      <c r="AE188" s="298"/>
      <c r="AF188" s="296">
        <v>0</v>
      </c>
      <c r="AG188" s="297"/>
      <c r="AH188" s="297"/>
      <c r="AI188" s="297"/>
      <c r="AJ188" s="297"/>
      <c r="AK188" s="297"/>
      <c r="AL188" s="297"/>
      <c r="AM188" s="297"/>
      <c r="AN188" s="300"/>
      <c r="AO188" s="301"/>
      <c r="AP188" s="301"/>
      <c r="AQ188" s="301"/>
      <c r="AR188" s="301"/>
      <c r="AS188" s="301"/>
      <c r="AT188" s="301"/>
      <c r="AU188" s="301"/>
      <c r="AV188" s="301"/>
      <c r="AW188" s="301"/>
      <c r="AX188" s="301"/>
      <c r="AY188" s="301"/>
      <c r="AZ188" s="301">
        <v>1500</v>
      </c>
      <c r="BA188" s="301"/>
      <c r="BB188" s="301"/>
      <c r="BC188" s="301"/>
      <c r="BD188" s="301"/>
      <c r="BE188" s="301"/>
      <c r="BF188" s="302"/>
      <c r="BG188" s="303"/>
      <c r="BH188" s="304"/>
      <c r="BI188" s="304"/>
      <c r="BJ188" s="304"/>
      <c r="BK188" s="304"/>
      <c r="BL188" s="304"/>
      <c r="BM188" s="304"/>
      <c r="BN188" s="304"/>
      <c r="BO188" s="304"/>
      <c r="BP188" s="304"/>
      <c r="BQ188" s="304"/>
      <c r="BR188" s="304"/>
      <c r="BS188" s="304">
        <v>10</v>
      </c>
      <c r="BT188" s="304"/>
      <c r="BU188" s="304"/>
      <c r="BV188" s="304"/>
      <c r="BW188" s="304"/>
      <c r="BX188" s="304"/>
      <c r="BY188" s="305"/>
      <c r="BZ188" s="306"/>
      <c r="CA188" s="307"/>
      <c r="CB188" s="307"/>
      <c r="CC188" s="307"/>
      <c r="CD188" s="307"/>
      <c r="CE188" s="307"/>
      <c r="CF188" s="307"/>
      <c r="CG188" s="332"/>
      <c r="CH188" s="328"/>
      <c r="CI188" s="328"/>
      <c r="CJ188" s="328">
        <v>2</v>
      </c>
      <c r="CK188" s="328"/>
      <c r="CL188" s="328"/>
      <c r="CM188" s="328"/>
      <c r="CN188" s="370"/>
      <c r="CO188" s="367"/>
      <c r="CP188" s="367"/>
      <c r="CQ188" s="367">
        <v>10</v>
      </c>
      <c r="CR188" s="367"/>
      <c r="CS188" s="387"/>
      <c r="CT188" s="398"/>
      <c r="CU188" s="399"/>
      <c r="CV188" s="399"/>
      <c r="CW188" s="399"/>
      <c r="CX188" s="399">
        <v>1</v>
      </c>
      <c r="CY188" s="399"/>
      <c r="CZ188" s="399"/>
      <c r="DA188" s="400"/>
      <c r="DB188" s="522">
        <v>1</v>
      </c>
    </row>
    <row r="189" spans="1:106" x14ac:dyDescent="0.25">
      <c r="A189" s="468" t="s">
        <v>140</v>
      </c>
      <c r="B189" s="468">
        <v>810</v>
      </c>
      <c r="C189" s="468" t="s">
        <v>2871</v>
      </c>
      <c r="D189" s="468">
        <v>481</v>
      </c>
      <c r="E189" s="468" t="s">
        <v>2872</v>
      </c>
      <c r="F189" s="468" t="s">
        <v>2880</v>
      </c>
      <c r="G189" s="468" t="s">
        <v>2873</v>
      </c>
      <c r="H189" s="468" t="s">
        <v>144</v>
      </c>
      <c r="I189" s="468" t="s">
        <v>145</v>
      </c>
      <c r="J189" s="468" t="s">
        <v>3201</v>
      </c>
      <c r="K189" s="468" t="s">
        <v>2874</v>
      </c>
      <c r="L189" s="468" t="s">
        <v>3837</v>
      </c>
      <c r="M189" s="468" t="s">
        <v>3839</v>
      </c>
      <c r="N189" s="460">
        <v>0</v>
      </c>
      <c r="O189" s="294"/>
      <c r="P189" s="294"/>
      <c r="Q189" s="294"/>
      <c r="R189" s="294"/>
      <c r="S189" s="295"/>
      <c r="T189" s="296">
        <v>0</v>
      </c>
      <c r="U189" s="297"/>
      <c r="V189" s="297"/>
      <c r="W189" s="297"/>
      <c r="X189" s="297"/>
      <c r="Y189" s="297"/>
      <c r="Z189" s="297"/>
      <c r="AA189" s="297"/>
      <c r="AB189" s="293">
        <v>0</v>
      </c>
      <c r="AC189" s="294"/>
      <c r="AD189" s="295"/>
      <c r="AE189" s="298">
        <v>1</v>
      </c>
      <c r="AF189" s="299">
        <v>1</v>
      </c>
      <c r="AG189" s="297"/>
      <c r="AH189" s="297"/>
      <c r="AI189" s="297"/>
      <c r="AJ189" s="297"/>
      <c r="AK189" s="297"/>
      <c r="AL189" s="297"/>
      <c r="AM189" s="297"/>
      <c r="AN189" s="300"/>
      <c r="AO189" s="301"/>
      <c r="AP189" s="301"/>
      <c r="AQ189" s="301"/>
      <c r="AR189" s="301"/>
      <c r="AS189" s="301"/>
      <c r="AT189" s="301">
        <v>1500</v>
      </c>
      <c r="AU189" s="301"/>
      <c r="AV189" s="301"/>
      <c r="AW189" s="301"/>
      <c r="AX189" s="301"/>
      <c r="AY189" s="301"/>
      <c r="AZ189" s="301"/>
      <c r="BA189" s="301"/>
      <c r="BB189" s="301"/>
      <c r="BC189" s="301"/>
      <c r="BD189" s="301"/>
      <c r="BE189" s="301"/>
      <c r="BF189" s="302"/>
      <c r="BG189" s="303"/>
      <c r="BH189" s="304"/>
      <c r="BI189" s="304"/>
      <c r="BJ189" s="304"/>
      <c r="BK189" s="304"/>
      <c r="BL189" s="304"/>
      <c r="BM189" s="304">
        <v>10</v>
      </c>
      <c r="BN189" s="304"/>
      <c r="BO189" s="304"/>
      <c r="BP189" s="304"/>
      <c r="BQ189" s="304"/>
      <c r="BR189" s="304"/>
      <c r="BS189" s="304"/>
      <c r="BT189" s="304"/>
      <c r="BU189" s="304"/>
      <c r="BV189" s="304"/>
      <c r="BW189" s="304"/>
      <c r="BX189" s="304"/>
      <c r="BY189" s="305"/>
      <c r="BZ189" s="306"/>
      <c r="CA189" s="307"/>
      <c r="CB189" s="307"/>
      <c r="CC189" s="307"/>
      <c r="CD189" s="307"/>
      <c r="CE189" s="307"/>
      <c r="CF189" s="307"/>
      <c r="CG189" s="332"/>
      <c r="CH189" s="328"/>
      <c r="CI189" s="328"/>
      <c r="CJ189" s="328"/>
      <c r="CK189" s="328"/>
      <c r="CL189" s="328"/>
      <c r="CM189" s="328"/>
      <c r="CN189" s="370">
        <v>10</v>
      </c>
      <c r="CO189" s="367"/>
      <c r="CP189" s="367"/>
      <c r="CQ189" s="367"/>
      <c r="CR189" s="367"/>
      <c r="CS189" s="387"/>
      <c r="CT189" s="398">
        <v>1</v>
      </c>
      <c r="CU189" s="399"/>
      <c r="CV189" s="399"/>
      <c r="CW189" s="399"/>
      <c r="CX189" s="399"/>
      <c r="CY189" s="399"/>
      <c r="CZ189" s="399"/>
      <c r="DA189" s="400"/>
      <c r="DB189" s="522">
        <v>1</v>
      </c>
    </row>
    <row r="190" spans="1:106" x14ac:dyDescent="0.25">
      <c r="A190" s="468" t="s">
        <v>140</v>
      </c>
      <c r="B190" s="468">
        <v>810</v>
      </c>
      <c r="C190" s="468" t="s">
        <v>2875</v>
      </c>
      <c r="D190" s="468">
        <v>482</v>
      </c>
      <c r="E190" s="468" t="s">
        <v>2691</v>
      </c>
      <c r="F190" s="468" t="s">
        <v>2876</v>
      </c>
      <c r="G190" s="468" t="s">
        <v>143</v>
      </c>
      <c r="H190" s="468" t="s">
        <v>144</v>
      </c>
      <c r="I190" s="468" t="s">
        <v>145</v>
      </c>
      <c r="J190" s="468" t="s">
        <v>3202</v>
      </c>
      <c r="K190" s="468" t="s">
        <v>2877</v>
      </c>
      <c r="L190" s="468" t="s">
        <v>3837</v>
      </c>
      <c r="M190" s="468" t="s">
        <v>3839</v>
      </c>
      <c r="N190" s="460">
        <v>0</v>
      </c>
      <c r="O190" s="294"/>
      <c r="P190" s="294"/>
      <c r="Q190" s="294"/>
      <c r="R190" s="294"/>
      <c r="S190" s="295"/>
      <c r="T190" s="296">
        <v>0</v>
      </c>
      <c r="U190" s="297"/>
      <c r="V190" s="297"/>
      <c r="W190" s="297"/>
      <c r="X190" s="297"/>
      <c r="Y190" s="297"/>
      <c r="Z190" s="297"/>
      <c r="AA190" s="297"/>
      <c r="AB190" s="293">
        <v>0</v>
      </c>
      <c r="AC190" s="294"/>
      <c r="AD190" s="295"/>
      <c r="AE190" s="298"/>
      <c r="AF190" s="296">
        <v>0</v>
      </c>
      <c r="AG190" s="297"/>
      <c r="AH190" s="297"/>
      <c r="AI190" s="297"/>
      <c r="AJ190" s="297"/>
      <c r="AK190" s="297"/>
      <c r="AL190" s="297"/>
      <c r="AM190" s="297"/>
      <c r="AN190" s="300"/>
      <c r="AO190" s="301"/>
      <c r="AP190" s="301"/>
      <c r="AQ190" s="301"/>
      <c r="AR190" s="301"/>
      <c r="AS190" s="301"/>
      <c r="AT190" s="301">
        <v>1500</v>
      </c>
      <c r="AU190" s="301"/>
      <c r="AV190" s="301"/>
      <c r="AW190" s="301"/>
      <c r="AX190" s="301"/>
      <c r="AY190" s="301"/>
      <c r="AZ190" s="301"/>
      <c r="BA190" s="301"/>
      <c r="BB190" s="301"/>
      <c r="BC190" s="301"/>
      <c r="BD190" s="301"/>
      <c r="BE190" s="301"/>
      <c r="BF190" s="302"/>
      <c r="BG190" s="303"/>
      <c r="BH190" s="304"/>
      <c r="BI190" s="304"/>
      <c r="BJ190" s="304"/>
      <c r="BK190" s="304"/>
      <c r="BL190" s="304"/>
      <c r="BM190" s="304">
        <v>10</v>
      </c>
      <c r="BN190" s="304"/>
      <c r="BO190" s="304"/>
      <c r="BP190" s="304"/>
      <c r="BQ190" s="304"/>
      <c r="BR190" s="304"/>
      <c r="BS190" s="304"/>
      <c r="BT190" s="304"/>
      <c r="BU190" s="304"/>
      <c r="BV190" s="304"/>
      <c r="BW190" s="304"/>
      <c r="BX190" s="304"/>
      <c r="BY190" s="305"/>
      <c r="BZ190" s="327">
        <v>1</v>
      </c>
      <c r="CA190" s="307"/>
      <c r="CB190" s="307"/>
      <c r="CC190" s="307"/>
      <c r="CD190" s="307"/>
      <c r="CE190" s="307"/>
      <c r="CF190" s="307"/>
      <c r="CG190" s="333">
        <v>2</v>
      </c>
      <c r="CH190" s="328"/>
      <c r="CI190" s="328"/>
      <c r="CJ190" s="328"/>
      <c r="CK190" s="328"/>
      <c r="CL190" s="328"/>
      <c r="CM190" s="328"/>
      <c r="CN190" s="370">
        <v>10</v>
      </c>
      <c r="CO190" s="368"/>
      <c r="CP190" s="368"/>
      <c r="CQ190" s="368"/>
      <c r="CR190" s="368"/>
      <c r="CS190" s="388"/>
      <c r="CT190" s="398">
        <v>1</v>
      </c>
      <c r="CU190" s="401"/>
      <c r="CV190" s="401"/>
      <c r="CW190" s="401"/>
      <c r="CX190" s="401"/>
      <c r="CY190" s="401"/>
      <c r="CZ190" s="399"/>
      <c r="DA190" s="400"/>
      <c r="DB190" s="522">
        <v>1</v>
      </c>
    </row>
    <row r="191" spans="1:106" x14ac:dyDescent="0.25">
      <c r="A191" s="468" t="s">
        <v>140</v>
      </c>
      <c r="B191" s="468">
        <v>810</v>
      </c>
      <c r="C191" s="468" t="s">
        <v>2883</v>
      </c>
      <c r="D191" s="468">
        <v>492</v>
      </c>
      <c r="E191" s="468" t="s">
        <v>2884</v>
      </c>
      <c r="F191" s="468" t="s">
        <v>2885</v>
      </c>
      <c r="G191" s="468" t="s">
        <v>2886</v>
      </c>
      <c r="H191" s="468" t="s">
        <v>343</v>
      </c>
      <c r="I191" s="468" t="s">
        <v>344</v>
      </c>
      <c r="J191" s="468" t="s">
        <v>3204</v>
      </c>
      <c r="K191" s="468" t="s">
        <v>2887</v>
      </c>
      <c r="L191" s="468" t="s">
        <v>3837</v>
      </c>
      <c r="M191" s="468" t="s">
        <v>3839</v>
      </c>
      <c r="N191" s="460">
        <v>0</v>
      </c>
      <c r="O191" s="294"/>
      <c r="P191" s="294"/>
      <c r="Q191" s="294"/>
      <c r="R191" s="294"/>
      <c r="S191" s="295"/>
      <c r="T191" s="296">
        <v>0</v>
      </c>
      <c r="U191" s="297"/>
      <c r="V191" s="297"/>
      <c r="W191" s="297"/>
      <c r="X191" s="297"/>
      <c r="Y191" s="297"/>
      <c r="Z191" s="297"/>
      <c r="AA191" s="297"/>
      <c r="AB191" s="293">
        <v>0</v>
      </c>
      <c r="AC191" s="294"/>
      <c r="AD191" s="295"/>
      <c r="AE191" s="298"/>
      <c r="AF191" s="296">
        <v>0</v>
      </c>
      <c r="AG191" s="297"/>
      <c r="AH191" s="297"/>
      <c r="AI191" s="297"/>
      <c r="AJ191" s="297"/>
      <c r="AK191" s="297"/>
      <c r="AL191" s="297"/>
      <c r="AM191" s="297"/>
      <c r="AN191" s="300"/>
      <c r="AO191" s="301"/>
      <c r="AP191" s="301"/>
      <c r="AQ191" s="301"/>
      <c r="AR191" s="301"/>
      <c r="AS191" s="301"/>
      <c r="AT191" s="301">
        <v>1500</v>
      </c>
      <c r="AU191" s="301"/>
      <c r="AV191" s="301"/>
      <c r="AW191" s="301"/>
      <c r="AX191" s="301"/>
      <c r="AY191" s="301"/>
      <c r="AZ191" s="301"/>
      <c r="BA191" s="301"/>
      <c r="BB191" s="301"/>
      <c r="BC191" s="301"/>
      <c r="BD191" s="301"/>
      <c r="BE191" s="301"/>
      <c r="BF191" s="302"/>
      <c r="BG191" s="303"/>
      <c r="BH191" s="304"/>
      <c r="BI191" s="304"/>
      <c r="BJ191" s="304"/>
      <c r="BK191" s="304"/>
      <c r="BL191" s="304"/>
      <c r="BM191" s="304">
        <v>10</v>
      </c>
      <c r="BN191" s="304"/>
      <c r="BO191" s="304"/>
      <c r="BP191" s="304"/>
      <c r="BQ191" s="304"/>
      <c r="BR191" s="304"/>
      <c r="BS191" s="304"/>
      <c r="BT191" s="304"/>
      <c r="BU191" s="304"/>
      <c r="BV191" s="304"/>
      <c r="BW191" s="304"/>
      <c r="BX191" s="304"/>
      <c r="BY191" s="305"/>
      <c r="BZ191" s="327">
        <v>1</v>
      </c>
      <c r="CA191" s="307"/>
      <c r="CB191" s="307"/>
      <c r="CC191" s="307"/>
      <c r="CD191" s="307"/>
      <c r="CE191" s="307"/>
      <c r="CF191" s="307"/>
      <c r="CG191" s="333">
        <v>2</v>
      </c>
      <c r="CH191" s="328"/>
      <c r="CI191" s="328"/>
      <c r="CJ191" s="328"/>
      <c r="CK191" s="328"/>
      <c r="CL191" s="328"/>
      <c r="CM191" s="328"/>
      <c r="CN191" s="370">
        <v>10</v>
      </c>
      <c r="CO191" s="368"/>
      <c r="CP191" s="368"/>
      <c r="CQ191" s="368"/>
      <c r="CR191" s="368"/>
      <c r="CS191" s="388"/>
      <c r="CT191" s="398">
        <v>1</v>
      </c>
      <c r="CU191" s="401"/>
      <c r="CV191" s="401"/>
      <c r="CW191" s="401"/>
      <c r="CX191" s="401"/>
      <c r="CY191" s="401"/>
      <c r="CZ191" s="399"/>
      <c r="DA191" s="400"/>
      <c r="DB191" s="522">
        <v>1</v>
      </c>
    </row>
    <row r="192" spans="1:106" x14ac:dyDescent="0.25">
      <c r="A192" s="468" t="s">
        <v>140</v>
      </c>
      <c r="B192" s="468">
        <v>810</v>
      </c>
      <c r="C192" s="468" t="s">
        <v>3502</v>
      </c>
      <c r="D192" s="468">
        <v>1453</v>
      </c>
      <c r="E192" s="468" t="s">
        <v>2861</v>
      </c>
      <c r="F192" s="468" t="s">
        <v>2862</v>
      </c>
      <c r="G192" s="468" t="s">
        <v>2863</v>
      </c>
      <c r="H192" s="468" t="s">
        <v>2864</v>
      </c>
      <c r="I192" s="468" t="s">
        <v>344</v>
      </c>
      <c r="J192" s="468" t="s">
        <v>3503</v>
      </c>
      <c r="K192" s="468" t="s">
        <v>2865</v>
      </c>
      <c r="L192" s="468" t="s">
        <v>3837</v>
      </c>
      <c r="M192" s="468" t="s">
        <v>3839</v>
      </c>
      <c r="N192" s="460">
        <v>0</v>
      </c>
      <c r="O192" s="294"/>
      <c r="P192" s="294"/>
      <c r="Q192" s="294"/>
      <c r="R192" s="294"/>
      <c r="S192" s="295"/>
      <c r="T192" s="296">
        <v>2</v>
      </c>
      <c r="U192" s="297"/>
      <c r="V192" s="297"/>
      <c r="W192" s="297"/>
      <c r="X192" s="297"/>
      <c r="Y192" s="297"/>
      <c r="Z192" s="297"/>
      <c r="AA192" s="297"/>
      <c r="AB192" s="293">
        <v>0</v>
      </c>
      <c r="AC192" s="294"/>
      <c r="AD192" s="295"/>
      <c r="AE192" s="298"/>
      <c r="AF192" s="296">
        <v>0</v>
      </c>
      <c r="AG192" s="297"/>
      <c r="AH192" s="297"/>
      <c r="AI192" s="297"/>
      <c r="AJ192" s="297"/>
      <c r="AK192" s="297"/>
      <c r="AL192" s="297"/>
      <c r="AM192" s="297"/>
      <c r="AN192" s="300"/>
      <c r="AO192" s="301"/>
      <c r="AP192" s="301"/>
      <c r="AQ192" s="301"/>
      <c r="AR192" s="301"/>
      <c r="AS192" s="301"/>
      <c r="AT192" s="301">
        <v>1500</v>
      </c>
      <c r="AU192" s="301"/>
      <c r="AV192" s="301"/>
      <c r="AW192" s="301"/>
      <c r="AX192" s="301"/>
      <c r="AY192" s="301"/>
      <c r="AZ192" s="301"/>
      <c r="BA192" s="301"/>
      <c r="BB192" s="301"/>
      <c r="BC192" s="301"/>
      <c r="BD192" s="301"/>
      <c r="BE192" s="301"/>
      <c r="BF192" s="302"/>
      <c r="BG192" s="303"/>
      <c r="BH192" s="304"/>
      <c r="BI192" s="304"/>
      <c r="BJ192" s="304"/>
      <c r="BK192" s="304"/>
      <c r="BL192" s="304"/>
      <c r="BM192" s="304">
        <v>10</v>
      </c>
      <c r="BN192" s="304"/>
      <c r="BO192" s="304"/>
      <c r="BP192" s="304"/>
      <c r="BQ192" s="304"/>
      <c r="BR192" s="304"/>
      <c r="BS192" s="304"/>
      <c r="BT192" s="304"/>
      <c r="BU192" s="304"/>
      <c r="BV192" s="304"/>
      <c r="BW192" s="304"/>
      <c r="BX192" s="304"/>
      <c r="BY192" s="305"/>
      <c r="BZ192" s="306"/>
      <c r="CA192" s="307"/>
      <c r="CB192" s="307"/>
      <c r="CC192" s="307"/>
      <c r="CD192" s="307"/>
      <c r="CE192" s="307"/>
      <c r="CF192" s="307"/>
      <c r="CG192" s="332">
        <v>2</v>
      </c>
      <c r="CH192" s="328"/>
      <c r="CI192" s="328"/>
      <c r="CJ192" s="328"/>
      <c r="CK192" s="328"/>
      <c r="CL192" s="328"/>
      <c r="CM192" s="328"/>
      <c r="CN192" s="370">
        <v>10</v>
      </c>
      <c r="CO192" s="367"/>
      <c r="CP192" s="367"/>
      <c r="CQ192" s="367"/>
      <c r="CR192" s="367"/>
      <c r="CS192" s="387"/>
      <c r="CT192" s="398">
        <v>1</v>
      </c>
      <c r="CU192" s="399"/>
      <c r="CV192" s="399"/>
      <c r="CW192" s="399"/>
      <c r="CX192" s="399"/>
      <c r="CY192" s="399"/>
      <c r="CZ192" s="399"/>
      <c r="DA192" s="400"/>
      <c r="DB192" s="522">
        <v>1</v>
      </c>
    </row>
    <row r="193" spans="1:106" x14ac:dyDescent="0.25">
      <c r="A193" s="468" t="s">
        <v>140</v>
      </c>
      <c r="B193" s="468">
        <v>810</v>
      </c>
      <c r="C193" s="468" t="s">
        <v>3506</v>
      </c>
      <c r="D193" s="468">
        <v>1458</v>
      </c>
      <c r="E193" s="468" t="s">
        <v>2866</v>
      </c>
      <c r="F193" s="468" t="s">
        <v>2867</v>
      </c>
      <c r="G193" s="468" t="s">
        <v>2868</v>
      </c>
      <c r="H193" s="468" t="s">
        <v>2869</v>
      </c>
      <c r="I193" s="468" t="s">
        <v>344</v>
      </c>
      <c r="J193" s="468" t="s">
        <v>3507</v>
      </c>
      <c r="K193" s="468" t="s">
        <v>2870</v>
      </c>
      <c r="L193" s="468" t="s">
        <v>3837</v>
      </c>
      <c r="M193" s="468" t="s">
        <v>3839</v>
      </c>
      <c r="N193" s="460">
        <v>0</v>
      </c>
      <c r="O193" s="294"/>
      <c r="P193" s="294"/>
      <c r="Q193" s="294"/>
      <c r="R193" s="294"/>
      <c r="S193" s="295"/>
      <c r="T193" s="299">
        <v>2</v>
      </c>
      <c r="U193" s="297"/>
      <c r="V193" s="297"/>
      <c r="W193" s="297"/>
      <c r="X193" s="297"/>
      <c r="Y193" s="297"/>
      <c r="Z193" s="297"/>
      <c r="AA193" s="297"/>
      <c r="AB193" s="293">
        <v>0</v>
      </c>
      <c r="AC193" s="294"/>
      <c r="AD193" s="295"/>
      <c r="AE193" s="298"/>
      <c r="AF193" s="296">
        <v>0</v>
      </c>
      <c r="AG193" s="297"/>
      <c r="AH193" s="297"/>
      <c r="AI193" s="297"/>
      <c r="AJ193" s="297"/>
      <c r="AK193" s="297"/>
      <c r="AL193" s="297"/>
      <c r="AM193" s="297"/>
      <c r="AN193" s="300"/>
      <c r="AO193" s="301"/>
      <c r="AP193" s="301"/>
      <c r="AQ193" s="301"/>
      <c r="AR193" s="301"/>
      <c r="AS193" s="301"/>
      <c r="AT193" s="301">
        <v>1500</v>
      </c>
      <c r="AU193" s="301"/>
      <c r="AV193" s="301"/>
      <c r="AW193" s="301"/>
      <c r="AX193" s="301"/>
      <c r="AY193" s="301"/>
      <c r="AZ193" s="301"/>
      <c r="BA193" s="301"/>
      <c r="BB193" s="301"/>
      <c r="BC193" s="301"/>
      <c r="BD193" s="301"/>
      <c r="BE193" s="301"/>
      <c r="BF193" s="302"/>
      <c r="BG193" s="303"/>
      <c r="BH193" s="304"/>
      <c r="BI193" s="304"/>
      <c r="BJ193" s="304"/>
      <c r="BK193" s="304"/>
      <c r="BL193" s="304"/>
      <c r="BM193" s="304">
        <v>10</v>
      </c>
      <c r="BN193" s="304"/>
      <c r="BO193" s="304"/>
      <c r="BP193" s="304"/>
      <c r="BQ193" s="304"/>
      <c r="BR193" s="304"/>
      <c r="BS193" s="304"/>
      <c r="BT193" s="304"/>
      <c r="BU193" s="304"/>
      <c r="BV193" s="304"/>
      <c r="BW193" s="304"/>
      <c r="BX193" s="304"/>
      <c r="BY193" s="305"/>
      <c r="BZ193" s="306"/>
      <c r="CA193" s="307"/>
      <c r="CB193" s="307"/>
      <c r="CC193" s="307"/>
      <c r="CD193" s="307"/>
      <c r="CE193" s="307"/>
      <c r="CF193" s="307"/>
      <c r="CG193" s="332"/>
      <c r="CH193" s="328"/>
      <c r="CI193" s="328"/>
      <c r="CJ193" s="328"/>
      <c r="CK193" s="328"/>
      <c r="CL193" s="328"/>
      <c r="CM193" s="328"/>
      <c r="CN193" s="370">
        <v>10</v>
      </c>
      <c r="CO193" s="367"/>
      <c r="CP193" s="367"/>
      <c r="CQ193" s="367"/>
      <c r="CR193" s="367"/>
      <c r="CS193" s="387"/>
      <c r="CT193" s="398">
        <v>1</v>
      </c>
      <c r="CU193" s="399"/>
      <c r="CV193" s="399"/>
      <c r="CW193" s="399"/>
      <c r="CX193" s="399"/>
      <c r="CY193" s="399"/>
      <c r="CZ193" s="399"/>
      <c r="DA193" s="400"/>
      <c r="DB193" s="522">
        <v>1</v>
      </c>
    </row>
    <row r="194" spans="1:106" x14ac:dyDescent="0.25">
      <c r="A194" s="468" t="s">
        <v>147</v>
      </c>
      <c r="B194" s="468">
        <v>810</v>
      </c>
      <c r="C194" s="468" t="s">
        <v>2937</v>
      </c>
      <c r="D194" s="468">
        <v>493</v>
      </c>
      <c r="E194" s="468" t="s">
        <v>2938</v>
      </c>
      <c r="F194" s="468" t="s">
        <v>2950</v>
      </c>
      <c r="G194" s="468" t="s">
        <v>2940</v>
      </c>
      <c r="H194" s="468" t="s">
        <v>2941</v>
      </c>
      <c r="I194" s="468" t="s">
        <v>145</v>
      </c>
      <c r="J194" s="468" t="s">
        <v>3205</v>
      </c>
      <c r="K194" s="468" t="s">
        <v>2942</v>
      </c>
      <c r="L194" s="468" t="s">
        <v>3837</v>
      </c>
      <c r="M194" s="468" t="s">
        <v>3839</v>
      </c>
      <c r="N194" s="460">
        <v>0</v>
      </c>
      <c r="O194" s="294"/>
      <c r="P194" s="294"/>
      <c r="Q194" s="294"/>
      <c r="R194" s="294"/>
      <c r="S194" s="295"/>
      <c r="T194" s="296">
        <v>0</v>
      </c>
      <c r="U194" s="297"/>
      <c r="V194" s="297"/>
      <c r="W194" s="297"/>
      <c r="X194" s="297"/>
      <c r="Y194" s="297"/>
      <c r="Z194" s="297"/>
      <c r="AA194" s="297"/>
      <c r="AB194" s="293">
        <v>0</v>
      </c>
      <c r="AC194" s="294"/>
      <c r="AD194" s="295"/>
      <c r="AE194" s="298"/>
      <c r="AF194" s="296">
        <v>0</v>
      </c>
      <c r="AG194" s="297"/>
      <c r="AH194" s="297"/>
      <c r="AI194" s="297"/>
      <c r="AJ194" s="297"/>
      <c r="AK194" s="297"/>
      <c r="AL194" s="297"/>
      <c r="AM194" s="297"/>
      <c r="AN194" s="300"/>
      <c r="AO194" s="301"/>
      <c r="AP194" s="301"/>
      <c r="AQ194" s="301"/>
      <c r="AR194" s="301"/>
      <c r="AS194" s="301"/>
      <c r="AT194" s="301">
        <v>1500</v>
      </c>
      <c r="AU194" s="301"/>
      <c r="AV194" s="301"/>
      <c r="AW194" s="301"/>
      <c r="AX194" s="301"/>
      <c r="AY194" s="301"/>
      <c r="AZ194" s="301"/>
      <c r="BA194" s="301"/>
      <c r="BB194" s="301"/>
      <c r="BC194" s="301"/>
      <c r="BD194" s="301"/>
      <c r="BE194" s="301"/>
      <c r="BF194" s="302"/>
      <c r="BG194" s="303"/>
      <c r="BH194" s="304"/>
      <c r="BI194" s="304"/>
      <c r="BJ194" s="304"/>
      <c r="BK194" s="304"/>
      <c r="BL194" s="304"/>
      <c r="BM194" s="304">
        <v>10</v>
      </c>
      <c r="BN194" s="304"/>
      <c r="BO194" s="304"/>
      <c r="BP194" s="304"/>
      <c r="BQ194" s="304"/>
      <c r="BR194" s="304"/>
      <c r="BS194" s="304"/>
      <c r="BT194" s="304"/>
      <c r="BU194" s="304"/>
      <c r="BV194" s="304"/>
      <c r="BW194" s="304"/>
      <c r="BX194" s="304"/>
      <c r="BY194" s="305"/>
      <c r="BZ194" s="306">
        <v>1</v>
      </c>
      <c r="CA194" s="307"/>
      <c r="CB194" s="307"/>
      <c r="CC194" s="307"/>
      <c r="CD194" s="307"/>
      <c r="CE194" s="307"/>
      <c r="CF194" s="307"/>
      <c r="CG194" s="332">
        <v>2</v>
      </c>
      <c r="CH194" s="328"/>
      <c r="CI194" s="328"/>
      <c r="CJ194" s="328"/>
      <c r="CK194" s="328"/>
      <c r="CL194" s="328"/>
      <c r="CM194" s="328"/>
      <c r="CN194" s="370">
        <v>10</v>
      </c>
      <c r="CO194" s="367"/>
      <c r="CP194" s="367"/>
      <c r="CQ194" s="367"/>
      <c r="CR194" s="367"/>
      <c r="CS194" s="387"/>
      <c r="CT194" s="398">
        <v>1</v>
      </c>
      <c r="CU194" s="399"/>
      <c r="CV194" s="399"/>
      <c r="CW194" s="399"/>
      <c r="CX194" s="399"/>
      <c r="CY194" s="399"/>
      <c r="CZ194" s="399"/>
      <c r="DA194" s="400"/>
      <c r="DB194" s="522">
        <v>1</v>
      </c>
    </row>
    <row r="195" spans="1:106" x14ac:dyDescent="0.25">
      <c r="A195" s="468" t="s">
        <v>147</v>
      </c>
      <c r="B195" s="468">
        <v>810</v>
      </c>
      <c r="C195" s="468" t="s">
        <v>2943</v>
      </c>
      <c r="D195" s="468">
        <v>494</v>
      </c>
      <c r="E195" s="468" t="s">
        <v>2944</v>
      </c>
      <c r="F195" s="468" t="s">
        <v>2945</v>
      </c>
      <c r="G195" s="468" t="s">
        <v>2946</v>
      </c>
      <c r="H195" s="468" t="s">
        <v>151</v>
      </c>
      <c r="I195" s="468" t="s">
        <v>145</v>
      </c>
      <c r="J195" s="468" t="s">
        <v>3206</v>
      </c>
      <c r="K195" s="468" t="s">
        <v>2947</v>
      </c>
      <c r="L195" s="468" t="s">
        <v>3837</v>
      </c>
      <c r="M195" s="468" t="s">
        <v>3839</v>
      </c>
      <c r="N195" s="460">
        <v>0</v>
      </c>
      <c r="O195" s="294"/>
      <c r="P195" s="294"/>
      <c r="Q195" s="294"/>
      <c r="R195" s="294"/>
      <c r="S195" s="295"/>
      <c r="T195" s="296">
        <v>1</v>
      </c>
      <c r="U195" s="297"/>
      <c r="V195" s="297"/>
      <c r="W195" s="297"/>
      <c r="X195" s="297"/>
      <c r="Y195" s="297"/>
      <c r="Z195" s="297"/>
      <c r="AA195" s="297"/>
      <c r="AB195" s="293">
        <v>0</v>
      </c>
      <c r="AC195" s="294"/>
      <c r="AD195" s="295"/>
      <c r="AE195" s="298"/>
      <c r="AF195" s="296">
        <v>0</v>
      </c>
      <c r="AG195" s="297"/>
      <c r="AH195" s="297"/>
      <c r="AI195" s="297"/>
      <c r="AJ195" s="297"/>
      <c r="AK195" s="297"/>
      <c r="AL195" s="297"/>
      <c r="AM195" s="297"/>
      <c r="AN195" s="300"/>
      <c r="AO195" s="301"/>
      <c r="AP195" s="301"/>
      <c r="AQ195" s="301"/>
      <c r="AR195" s="301"/>
      <c r="AS195" s="301"/>
      <c r="AT195" s="301">
        <v>1500</v>
      </c>
      <c r="AU195" s="301"/>
      <c r="AV195" s="301"/>
      <c r="AW195" s="301"/>
      <c r="AX195" s="301"/>
      <c r="AY195" s="301"/>
      <c r="AZ195" s="301"/>
      <c r="BA195" s="301"/>
      <c r="BB195" s="301"/>
      <c r="BC195" s="301"/>
      <c r="BD195" s="301"/>
      <c r="BE195" s="301"/>
      <c r="BF195" s="302"/>
      <c r="BG195" s="303"/>
      <c r="BH195" s="304"/>
      <c r="BI195" s="304"/>
      <c r="BJ195" s="304"/>
      <c r="BK195" s="304"/>
      <c r="BL195" s="304"/>
      <c r="BM195" s="304">
        <v>10</v>
      </c>
      <c r="BN195" s="304"/>
      <c r="BO195" s="304"/>
      <c r="BP195" s="304"/>
      <c r="BQ195" s="304"/>
      <c r="BR195" s="304"/>
      <c r="BS195" s="304"/>
      <c r="BT195" s="304"/>
      <c r="BU195" s="304"/>
      <c r="BV195" s="304"/>
      <c r="BW195" s="304"/>
      <c r="BX195" s="304"/>
      <c r="BY195" s="305"/>
      <c r="BZ195" s="306"/>
      <c r="CA195" s="307"/>
      <c r="CB195" s="307"/>
      <c r="CC195" s="307"/>
      <c r="CD195" s="307"/>
      <c r="CE195" s="307"/>
      <c r="CF195" s="307"/>
      <c r="CG195" s="332">
        <v>2</v>
      </c>
      <c r="CH195" s="328"/>
      <c r="CI195" s="328"/>
      <c r="CJ195" s="328"/>
      <c r="CK195" s="328"/>
      <c r="CL195" s="328"/>
      <c r="CM195" s="328"/>
      <c r="CN195" s="370">
        <v>10</v>
      </c>
      <c r="CO195" s="367"/>
      <c r="CP195" s="367"/>
      <c r="CQ195" s="367"/>
      <c r="CR195" s="367"/>
      <c r="CS195" s="387"/>
      <c r="CT195" s="398">
        <v>1</v>
      </c>
      <c r="CU195" s="399"/>
      <c r="CV195" s="399"/>
      <c r="CW195" s="399"/>
      <c r="CX195" s="399"/>
      <c r="CY195" s="399"/>
      <c r="CZ195" s="399"/>
      <c r="DA195" s="400"/>
      <c r="DB195" s="522">
        <v>1</v>
      </c>
    </row>
    <row r="196" spans="1:106" x14ac:dyDescent="0.25">
      <c r="A196" s="468" t="s">
        <v>147</v>
      </c>
      <c r="B196" s="468">
        <v>810</v>
      </c>
      <c r="C196" s="468" t="s">
        <v>2948</v>
      </c>
      <c r="D196" s="468">
        <v>495</v>
      </c>
      <c r="E196" s="468" t="s">
        <v>2949</v>
      </c>
      <c r="F196" s="468" t="s">
        <v>3207</v>
      </c>
      <c r="G196" s="468" t="s">
        <v>2951</v>
      </c>
      <c r="H196" s="468" t="s">
        <v>151</v>
      </c>
      <c r="I196" s="468" t="s">
        <v>145</v>
      </c>
      <c r="J196" s="468" t="s">
        <v>3208</v>
      </c>
      <c r="K196" s="468" t="s">
        <v>2952</v>
      </c>
      <c r="L196" s="468" t="s">
        <v>3837</v>
      </c>
      <c r="M196" s="468" t="s">
        <v>3839</v>
      </c>
      <c r="N196" s="460">
        <v>0</v>
      </c>
      <c r="O196" s="294"/>
      <c r="P196" s="294"/>
      <c r="Q196" s="294"/>
      <c r="R196" s="294"/>
      <c r="S196" s="295"/>
      <c r="T196" s="296">
        <v>1</v>
      </c>
      <c r="U196" s="297"/>
      <c r="V196" s="297"/>
      <c r="W196" s="297"/>
      <c r="X196" s="297"/>
      <c r="Y196" s="297"/>
      <c r="Z196" s="297"/>
      <c r="AA196" s="297"/>
      <c r="AB196" s="293">
        <v>0</v>
      </c>
      <c r="AC196" s="294"/>
      <c r="AD196" s="295"/>
      <c r="AE196" s="298"/>
      <c r="AF196" s="296">
        <v>0</v>
      </c>
      <c r="AG196" s="297"/>
      <c r="AH196" s="297"/>
      <c r="AI196" s="297"/>
      <c r="AJ196" s="297"/>
      <c r="AK196" s="297"/>
      <c r="AL196" s="297"/>
      <c r="AM196" s="297"/>
      <c r="AN196" s="300"/>
      <c r="AO196" s="301"/>
      <c r="AP196" s="301"/>
      <c r="AQ196" s="301"/>
      <c r="AR196" s="301"/>
      <c r="AS196" s="301"/>
      <c r="AT196" s="301">
        <v>1500</v>
      </c>
      <c r="AU196" s="301"/>
      <c r="AV196" s="301"/>
      <c r="AW196" s="301"/>
      <c r="AX196" s="301"/>
      <c r="AY196" s="301"/>
      <c r="AZ196" s="301"/>
      <c r="BA196" s="301"/>
      <c r="BB196" s="301"/>
      <c r="BC196" s="301"/>
      <c r="BD196" s="301"/>
      <c r="BE196" s="301"/>
      <c r="BF196" s="302"/>
      <c r="BG196" s="303"/>
      <c r="BH196" s="304"/>
      <c r="BI196" s="304"/>
      <c r="BJ196" s="304"/>
      <c r="BK196" s="304"/>
      <c r="BL196" s="304"/>
      <c r="BM196" s="304">
        <v>10</v>
      </c>
      <c r="BN196" s="304"/>
      <c r="BO196" s="304"/>
      <c r="BP196" s="304"/>
      <c r="BQ196" s="304"/>
      <c r="BR196" s="304"/>
      <c r="BS196" s="304"/>
      <c r="BT196" s="304"/>
      <c r="BU196" s="304"/>
      <c r="BV196" s="304"/>
      <c r="BW196" s="304"/>
      <c r="BX196" s="304"/>
      <c r="BY196" s="305"/>
      <c r="BZ196" s="306"/>
      <c r="CA196" s="307"/>
      <c r="CB196" s="307"/>
      <c r="CC196" s="307"/>
      <c r="CD196" s="307"/>
      <c r="CE196" s="307"/>
      <c r="CF196" s="307"/>
      <c r="CG196" s="332">
        <v>2</v>
      </c>
      <c r="CH196" s="328"/>
      <c r="CI196" s="328"/>
      <c r="CJ196" s="328"/>
      <c r="CK196" s="328"/>
      <c r="CL196" s="328"/>
      <c r="CM196" s="328"/>
      <c r="CN196" s="370">
        <v>10</v>
      </c>
      <c r="CO196" s="367"/>
      <c r="CP196" s="367"/>
      <c r="CQ196" s="367"/>
      <c r="CR196" s="367"/>
      <c r="CS196" s="387"/>
      <c r="CT196" s="398">
        <v>1</v>
      </c>
      <c r="CU196" s="399"/>
      <c r="CV196" s="399"/>
      <c r="CW196" s="399"/>
      <c r="CX196" s="399"/>
      <c r="CY196" s="399"/>
      <c r="CZ196" s="399"/>
      <c r="DA196" s="400"/>
      <c r="DB196" s="522">
        <v>1</v>
      </c>
    </row>
    <row r="197" spans="1:106" x14ac:dyDescent="0.25">
      <c r="A197" s="468" t="s">
        <v>147</v>
      </c>
      <c r="B197" s="468">
        <v>810</v>
      </c>
      <c r="C197" s="468" t="s">
        <v>3530</v>
      </c>
      <c r="D197" s="468">
        <v>1480</v>
      </c>
      <c r="E197" s="468" t="s">
        <v>2888</v>
      </c>
      <c r="F197" s="468" t="s">
        <v>2889</v>
      </c>
      <c r="G197" s="468" t="s">
        <v>2890</v>
      </c>
      <c r="H197" s="468" t="s">
        <v>347</v>
      </c>
      <c r="I197" s="468" t="s">
        <v>145</v>
      </c>
      <c r="J197" s="468" t="s">
        <v>3531</v>
      </c>
      <c r="K197" s="468" t="s">
        <v>2891</v>
      </c>
      <c r="L197" s="468" t="s">
        <v>3837</v>
      </c>
      <c r="M197" s="468" t="s">
        <v>3839</v>
      </c>
      <c r="N197" s="460">
        <v>0</v>
      </c>
      <c r="O197" s="294"/>
      <c r="P197" s="294"/>
      <c r="Q197" s="294"/>
      <c r="R197" s="294"/>
      <c r="S197" s="295"/>
      <c r="T197" s="296">
        <v>2</v>
      </c>
      <c r="U197" s="297"/>
      <c r="V197" s="297"/>
      <c r="W197" s="297"/>
      <c r="X197" s="297"/>
      <c r="Y197" s="297"/>
      <c r="Z197" s="297"/>
      <c r="AA197" s="297"/>
      <c r="AB197" s="293">
        <v>0</v>
      </c>
      <c r="AC197" s="294"/>
      <c r="AD197" s="295"/>
      <c r="AE197" s="298"/>
      <c r="AF197" s="296">
        <v>0</v>
      </c>
      <c r="AG197" s="297"/>
      <c r="AH197" s="297"/>
      <c r="AI197" s="297"/>
      <c r="AJ197" s="297"/>
      <c r="AK197" s="297"/>
      <c r="AL197" s="297"/>
      <c r="AM197" s="297"/>
      <c r="AN197" s="300"/>
      <c r="AO197" s="301"/>
      <c r="AP197" s="301"/>
      <c r="AQ197" s="301"/>
      <c r="AR197" s="301"/>
      <c r="AS197" s="301"/>
      <c r="AT197" s="301">
        <v>1500</v>
      </c>
      <c r="AU197" s="301"/>
      <c r="AV197" s="301"/>
      <c r="AW197" s="301"/>
      <c r="AX197" s="301"/>
      <c r="AY197" s="301"/>
      <c r="AZ197" s="301"/>
      <c r="BA197" s="301"/>
      <c r="BB197" s="301"/>
      <c r="BC197" s="301"/>
      <c r="BD197" s="301"/>
      <c r="BE197" s="301"/>
      <c r="BF197" s="302"/>
      <c r="BG197" s="303"/>
      <c r="BH197" s="304"/>
      <c r="BI197" s="304"/>
      <c r="BJ197" s="304"/>
      <c r="BK197" s="304"/>
      <c r="BL197" s="304"/>
      <c r="BM197" s="304">
        <v>10</v>
      </c>
      <c r="BN197" s="304"/>
      <c r="BO197" s="304"/>
      <c r="BP197" s="304"/>
      <c r="BQ197" s="304"/>
      <c r="BR197" s="304"/>
      <c r="BS197" s="304"/>
      <c r="BT197" s="304"/>
      <c r="BU197" s="304"/>
      <c r="BV197" s="304"/>
      <c r="BW197" s="304"/>
      <c r="BX197" s="304"/>
      <c r="BY197" s="305"/>
      <c r="BZ197" s="306"/>
      <c r="CA197" s="307"/>
      <c r="CB197" s="307"/>
      <c r="CC197" s="307"/>
      <c r="CD197" s="307"/>
      <c r="CE197" s="307"/>
      <c r="CF197" s="307"/>
      <c r="CG197" s="332">
        <v>2</v>
      </c>
      <c r="CH197" s="328"/>
      <c r="CI197" s="328"/>
      <c r="CJ197" s="328"/>
      <c r="CK197" s="328"/>
      <c r="CL197" s="328"/>
      <c r="CM197" s="328"/>
      <c r="CN197" s="370">
        <v>10</v>
      </c>
      <c r="CO197" s="367"/>
      <c r="CP197" s="367"/>
      <c r="CQ197" s="367"/>
      <c r="CR197" s="367"/>
      <c r="CS197" s="387"/>
      <c r="CT197" s="398">
        <v>1</v>
      </c>
      <c r="CU197" s="399"/>
      <c r="CV197" s="399"/>
      <c r="CW197" s="399"/>
      <c r="CX197" s="399"/>
      <c r="CY197" s="399"/>
      <c r="CZ197" s="399"/>
      <c r="DA197" s="400"/>
      <c r="DB197" s="522">
        <v>1</v>
      </c>
    </row>
    <row r="198" spans="1:106" x14ac:dyDescent="0.25">
      <c r="A198" s="468" t="s">
        <v>147</v>
      </c>
      <c r="B198" s="468">
        <v>810</v>
      </c>
      <c r="C198" s="468" t="s">
        <v>3532</v>
      </c>
      <c r="D198" s="468">
        <v>1481</v>
      </c>
      <c r="E198" s="468" t="s">
        <v>2892</v>
      </c>
      <c r="F198" s="468" t="s">
        <v>3533</v>
      </c>
      <c r="G198" s="468" t="s">
        <v>2893</v>
      </c>
      <c r="H198" s="468" t="s">
        <v>2894</v>
      </c>
      <c r="I198" s="468" t="s">
        <v>145</v>
      </c>
      <c r="J198" s="468" t="s">
        <v>3534</v>
      </c>
      <c r="K198" s="468" t="s">
        <v>2895</v>
      </c>
      <c r="L198" s="468" t="s">
        <v>3837</v>
      </c>
      <c r="M198" s="468" t="s">
        <v>3839</v>
      </c>
      <c r="N198" s="461"/>
      <c r="O198" s="294"/>
      <c r="P198" s="294">
        <v>2</v>
      </c>
      <c r="Q198" s="294"/>
      <c r="R198" s="294"/>
      <c r="S198" s="295"/>
      <c r="T198" s="296">
        <v>0</v>
      </c>
      <c r="U198" s="297"/>
      <c r="V198" s="297"/>
      <c r="W198" s="297"/>
      <c r="X198" s="297"/>
      <c r="Y198" s="297"/>
      <c r="Z198" s="297"/>
      <c r="AA198" s="297"/>
      <c r="AB198" s="293">
        <v>0</v>
      </c>
      <c r="AC198" s="294"/>
      <c r="AD198" s="295"/>
      <c r="AE198" s="298"/>
      <c r="AF198" s="296">
        <v>0</v>
      </c>
      <c r="AG198" s="297"/>
      <c r="AH198" s="297"/>
      <c r="AI198" s="297"/>
      <c r="AJ198" s="297"/>
      <c r="AK198" s="297"/>
      <c r="AL198" s="297"/>
      <c r="AM198" s="297"/>
      <c r="AN198" s="300"/>
      <c r="AO198" s="301"/>
      <c r="AP198" s="301"/>
      <c r="AQ198" s="301"/>
      <c r="AR198" s="301"/>
      <c r="AS198" s="301"/>
      <c r="AT198" s="301">
        <v>1500</v>
      </c>
      <c r="AU198" s="301"/>
      <c r="AV198" s="301"/>
      <c r="AW198" s="301"/>
      <c r="AX198" s="301"/>
      <c r="AY198" s="301"/>
      <c r="AZ198" s="301"/>
      <c r="BA198" s="301"/>
      <c r="BB198" s="301"/>
      <c r="BC198" s="301"/>
      <c r="BD198" s="301"/>
      <c r="BE198" s="301"/>
      <c r="BF198" s="302"/>
      <c r="BG198" s="303"/>
      <c r="BH198" s="304"/>
      <c r="BI198" s="304"/>
      <c r="BJ198" s="304"/>
      <c r="BK198" s="304"/>
      <c r="BL198" s="304"/>
      <c r="BM198" s="304">
        <v>10</v>
      </c>
      <c r="BN198" s="304"/>
      <c r="BO198" s="304"/>
      <c r="BP198" s="304"/>
      <c r="BQ198" s="304"/>
      <c r="BR198" s="304"/>
      <c r="BS198" s="304"/>
      <c r="BT198" s="304"/>
      <c r="BU198" s="304"/>
      <c r="BV198" s="304"/>
      <c r="BW198" s="304"/>
      <c r="BX198" s="304"/>
      <c r="BY198" s="305"/>
      <c r="BZ198" s="306"/>
      <c r="CA198" s="307"/>
      <c r="CB198" s="307"/>
      <c r="CC198" s="307"/>
      <c r="CD198" s="307"/>
      <c r="CE198" s="307"/>
      <c r="CF198" s="307"/>
      <c r="CG198" s="332">
        <v>2</v>
      </c>
      <c r="CH198" s="328"/>
      <c r="CI198" s="328"/>
      <c r="CJ198" s="328"/>
      <c r="CK198" s="328"/>
      <c r="CL198" s="328"/>
      <c r="CM198" s="328"/>
      <c r="CN198" s="370">
        <v>10</v>
      </c>
      <c r="CO198" s="367"/>
      <c r="CP198" s="367"/>
      <c r="CQ198" s="367"/>
      <c r="CR198" s="367"/>
      <c r="CS198" s="387"/>
      <c r="CT198" s="398">
        <v>1</v>
      </c>
      <c r="CU198" s="399"/>
      <c r="CV198" s="399"/>
      <c r="CW198" s="399"/>
      <c r="CX198" s="399"/>
      <c r="CY198" s="399"/>
      <c r="CZ198" s="399"/>
      <c r="DA198" s="400"/>
      <c r="DB198" s="522">
        <v>1</v>
      </c>
    </row>
    <row r="199" spans="1:106" ht="16.5" thickBot="1" x14ac:dyDescent="0.3">
      <c r="A199" s="468" t="s">
        <v>147</v>
      </c>
      <c r="B199" s="468">
        <v>810</v>
      </c>
      <c r="C199" s="468" t="s">
        <v>3537</v>
      </c>
      <c r="D199" s="468">
        <v>1494</v>
      </c>
      <c r="E199" s="468" t="s">
        <v>2896</v>
      </c>
      <c r="F199" s="468" t="s">
        <v>2897</v>
      </c>
      <c r="G199" s="468" t="s">
        <v>2898</v>
      </c>
      <c r="H199" s="468" t="s">
        <v>2894</v>
      </c>
      <c r="I199" s="468" t="s">
        <v>145</v>
      </c>
      <c r="J199" s="468" t="s">
        <v>3538</v>
      </c>
      <c r="K199" s="468" t="s">
        <v>2899</v>
      </c>
      <c r="L199" s="468" t="s">
        <v>3837</v>
      </c>
      <c r="M199" s="468" t="s">
        <v>3839</v>
      </c>
      <c r="N199" s="462">
        <v>0</v>
      </c>
      <c r="O199" s="312"/>
      <c r="P199" s="312"/>
      <c r="Q199" s="312"/>
      <c r="R199" s="312"/>
      <c r="S199" s="313"/>
      <c r="T199" s="314">
        <v>2</v>
      </c>
      <c r="U199" s="315"/>
      <c r="V199" s="315"/>
      <c r="W199" s="315"/>
      <c r="X199" s="315"/>
      <c r="Y199" s="315"/>
      <c r="Z199" s="315"/>
      <c r="AA199" s="315"/>
      <c r="AB199" s="311">
        <v>0</v>
      </c>
      <c r="AC199" s="312"/>
      <c r="AD199" s="313"/>
      <c r="AE199" s="318"/>
      <c r="AF199" s="316">
        <v>0</v>
      </c>
      <c r="AG199" s="317"/>
      <c r="AH199" s="317"/>
      <c r="AI199" s="317"/>
      <c r="AJ199" s="317"/>
      <c r="AK199" s="317"/>
      <c r="AL199" s="317"/>
      <c r="AM199" s="317"/>
      <c r="AN199" s="319"/>
      <c r="AO199" s="320"/>
      <c r="AP199" s="320"/>
      <c r="AQ199" s="320"/>
      <c r="AR199" s="320"/>
      <c r="AS199" s="320"/>
      <c r="AT199" s="320">
        <v>1500</v>
      </c>
      <c r="AU199" s="320"/>
      <c r="AV199" s="320"/>
      <c r="AW199" s="320"/>
      <c r="AX199" s="320"/>
      <c r="AY199" s="320"/>
      <c r="AZ199" s="320"/>
      <c r="BA199" s="320"/>
      <c r="BB199" s="320"/>
      <c r="BC199" s="320"/>
      <c r="BD199" s="320"/>
      <c r="BE199" s="320"/>
      <c r="BF199" s="321"/>
      <c r="BG199" s="322"/>
      <c r="BH199" s="323"/>
      <c r="BI199" s="323"/>
      <c r="BJ199" s="323"/>
      <c r="BK199" s="323"/>
      <c r="BL199" s="323"/>
      <c r="BM199" s="323">
        <v>10</v>
      </c>
      <c r="BN199" s="323"/>
      <c r="BO199" s="323"/>
      <c r="BP199" s="323"/>
      <c r="BQ199" s="323"/>
      <c r="BR199" s="323"/>
      <c r="BS199" s="323"/>
      <c r="BT199" s="323"/>
      <c r="BU199" s="323"/>
      <c r="BV199" s="323"/>
      <c r="BW199" s="323"/>
      <c r="BX199" s="323"/>
      <c r="BY199" s="324"/>
      <c r="BZ199" s="325"/>
      <c r="CA199" s="326"/>
      <c r="CB199" s="326"/>
      <c r="CC199" s="326"/>
      <c r="CD199" s="326"/>
      <c r="CE199" s="326"/>
      <c r="CF199" s="326"/>
      <c r="CG199" s="341">
        <v>2</v>
      </c>
      <c r="CH199" s="342"/>
      <c r="CI199" s="342"/>
      <c r="CJ199" s="342"/>
      <c r="CK199" s="342"/>
      <c r="CL199" s="342"/>
      <c r="CM199" s="342"/>
      <c r="CN199" s="370">
        <v>10</v>
      </c>
      <c r="CO199" s="374"/>
      <c r="CP199" s="374"/>
      <c r="CQ199" s="374"/>
      <c r="CR199" s="374"/>
      <c r="CS199" s="389"/>
      <c r="CT199" s="530">
        <v>1</v>
      </c>
      <c r="CU199" s="402"/>
      <c r="CV199" s="402"/>
      <c r="CW199" s="402"/>
      <c r="CX199" s="402"/>
      <c r="CY199" s="402"/>
      <c r="CZ199" s="402"/>
      <c r="DA199" s="403"/>
      <c r="DB199" s="522">
        <v>1</v>
      </c>
    </row>
    <row r="200" spans="1:106" ht="18.75" x14ac:dyDescent="0.3">
      <c r="C200" s="15"/>
      <c r="D200" s="15"/>
      <c r="I200" s="15"/>
      <c r="J200" s="75"/>
      <c r="K200" s="75" t="s">
        <v>15</v>
      </c>
      <c r="L200" s="75"/>
      <c r="M200" s="75"/>
      <c r="N200" s="419">
        <f>SUM(N5:N199)</f>
        <v>31</v>
      </c>
      <c r="O200" s="420">
        <f t="shared" ref="O200:BY200" si="0">SUM(O5:O199)</f>
        <v>1</v>
      </c>
      <c r="P200" s="420">
        <f t="shared" si="0"/>
        <v>4</v>
      </c>
      <c r="Q200" s="420">
        <f t="shared" si="0"/>
        <v>7</v>
      </c>
      <c r="R200" s="420">
        <f t="shared" si="0"/>
        <v>38</v>
      </c>
      <c r="S200" s="421">
        <f t="shared" si="0"/>
        <v>11</v>
      </c>
      <c r="T200" s="422">
        <f t="shared" si="0"/>
        <v>10</v>
      </c>
      <c r="U200" s="423">
        <f t="shared" si="0"/>
        <v>11</v>
      </c>
      <c r="V200" s="423">
        <f t="shared" si="0"/>
        <v>6</v>
      </c>
      <c r="W200" s="423">
        <f t="shared" si="0"/>
        <v>30</v>
      </c>
      <c r="X200" s="423">
        <f t="shared" si="0"/>
        <v>6</v>
      </c>
      <c r="Y200" s="423">
        <f t="shared" si="0"/>
        <v>27</v>
      </c>
      <c r="Z200" s="423">
        <f t="shared" si="0"/>
        <v>5</v>
      </c>
      <c r="AA200" s="423">
        <f t="shared" si="0"/>
        <v>50</v>
      </c>
      <c r="AB200" s="419">
        <f t="shared" si="0"/>
        <v>5</v>
      </c>
      <c r="AC200" s="420">
        <f t="shared" si="0"/>
        <v>2</v>
      </c>
      <c r="AD200" s="421">
        <f t="shared" si="0"/>
        <v>2</v>
      </c>
      <c r="AE200" s="426">
        <f t="shared" si="0"/>
        <v>1</v>
      </c>
      <c r="AF200" s="424">
        <f t="shared" si="0"/>
        <v>2</v>
      </c>
      <c r="AG200" s="425">
        <f t="shared" si="0"/>
        <v>5</v>
      </c>
      <c r="AH200" s="425">
        <f t="shared" si="0"/>
        <v>2</v>
      </c>
      <c r="AI200" s="425">
        <f t="shared" si="0"/>
        <v>2</v>
      </c>
      <c r="AJ200" s="425">
        <f t="shared" si="0"/>
        <v>11</v>
      </c>
      <c r="AK200" s="425">
        <f t="shared" si="0"/>
        <v>5</v>
      </c>
      <c r="AL200" s="425">
        <f t="shared" si="0"/>
        <v>1</v>
      </c>
      <c r="AM200" s="425">
        <f t="shared" si="0"/>
        <v>2</v>
      </c>
      <c r="AN200" s="413">
        <f t="shared" si="0"/>
        <v>52500</v>
      </c>
      <c r="AO200" s="414">
        <f t="shared" si="0"/>
        <v>7500</v>
      </c>
      <c r="AP200" s="414">
        <f t="shared" si="0"/>
        <v>27000</v>
      </c>
      <c r="AQ200" s="414">
        <f t="shared" si="0"/>
        <v>3000</v>
      </c>
      <c r="AR200" s="414">
        <f t="shared" si="0"/>
        <v>7500</v>
      </c>
      <c r="AS200" s="414">
        <f t="shared" si="0"/>
        <v>13500</v>
      </c>
      <c r="AT200" s="414">
        <f t="shared" si="0"/>
        <v>18000</v>
      </c>
      <c r="AU200" s="414">
        <f t="shared" si="0"/>
        <v>6000</v>
      </c>
      <c r="AV200" s="414">
        <f t="shared" si="0"/>
        <v>10500</v>
      </c>
      <c r="AW200" s="414">
        <f t="shared" si="0"/>
        <v>3000</v>
      </c>
      <c r="AX200" s="414">
        <f t="shared" si="0"/>
        <v>7500</v>
      </c>
      <c r="AY200" s="414">
        <f t="shared" si="0"/>
        <v>1500</v>
      </c>
      <c r="AZ200" s="414">
        <f t="shared" si="0"/>
        <v>49500</v>
      </c>
      <c r="BA200" s="414">
        <f t="shared" si="0"/>
        <v>18000</v>
      </c>
      <c r="BB200" s="414">
        <f t="shared" si="0"/>
        <v>6000</v>
      </c>
      <c r="BC200" s="414">
        <f t="shared" si="0"/>
        <v>3000</v>
      </c>
      <c r="BD200" s="414">
        <f t="shared" si="0"/>
        <v>34500</v>
      </c>
      <c r="BE200" s="414">
        <f t="shared" si="0"/>
        <v>22500</v>
      </c>
      <c r="BF200" s="415">
        <f t="shared" si="0"/>
        <v>1500</v>
      </c>
      <c r="BG200" s="427">
        <f t="shared" si="0"/>
        <v>350</v>
      </c>
      <c r="BH200" s="428">
        <f t="shared" si="0"/>
        <v>50</v>
      </c>
      <c r="BI200" s="428">
        <f t="shared" si="0"/>
        <v>180</v>
      </c>
      <c r="BJ200" s="428">
        <f t="shared" si="0"/>
        <v>20</v>
      </c>
      <c r="BK200" s="428">
        <f t="shared" si="0"/>
        <v>50</v>
      </c>
      <c r="BL200" s="428">
        <f t="shared" si="0"/>
        <v>90</v>
      </c>
      <c r="BM200" s="428">
        <f t="shared" si="0"/>
        <v>120</v>
      </c>
      <c r="BN200" s="428">
        <f t="shared" si="0"/>
        <v>40</v>
      </c>
      <c r="BO200" s="428">
        <f t="shared" si="0"/>
        <v>70</v>
      </c>
      <c r="BP200" s="428">
        <f t="shared" si="0"/>
        <v>20</v>
      </c>
      <c r="BQ200" s="428">
        <f t="shared" si="0"/>
        <v>50</v>
      </c>
      <c r="BR200" s="428">
        <f t="shared" si="0"/>
        <v>10</v>
      </c>
      <c r="BS200" s="428">
        <f t="shared" si="0"/>
        <v>330</v>
      </c>
      <c r="BT200" s="428">
        <f t="shared" si="0"/>
        <v>120</v>
      </c>
      <c r="BU200" s="428">
        <f t="shared" si="0"/>
        <v>40</v>
      </c>
      <c r="BV200" s="428">
        <f t="shared" si="0"/>
        <v>20</v>
      </c>
      <c r="BW200" s="428">
        <f t="shared" si="0"/>
        <v>230</v>
      </c>
      <c r="BX200" s="428">
        <f t="shared" si="0"/>
        <v>150</v>
      </c>
      <c r="BY200" s="429">
        <f t="shared" si="0"/>
        <v>10</v>
      </c>
      <c r="BZ200" s="430">
        <f t="shared" ref="BZ200:DB200" si="1">SUM(BZ5:BZ199)</f>
        <v>3</v>
      </c>
      <c r="CA200" s="431">
        <f t="shared" si="1"/>
        <v>1</v>
      </c>
      <c r="CB200" s="431">
        <f t="shared" si="1"/>
        <v>7</v>
      </c>
      <c r="CC200" s="431">
        <f t="shared" si="1"/>
        <v>1</v>
      </c>
      <c r="CD200" s="431">
        <f t="shared" si="1"/>
        <v>2</v>
      </c>
      <c r="CE200" s="431">
        <f t="shared" si="1"/>
        <v>2</v>
      </c>
      <c r="CF200" s="431">
        <f t="shared" si="1"/>
        <v>5</v>
      </c>
      <c r="CG200" s="432">
        <f t="shared" si="1"/>
        <v>20</v>
      </c>
      <c r="CH200" s="433">
        <f t="shared" si="1"/>
        <v>26</v>
      </c>
      <c r="CI200" s="433">
        <f t="shared" si="1"/>
        <v>12</v>
      </c>
      <c r="CJ200" s="433">
        <f t="shared" si="1"/>
        <v>116</v>
      </c>
      <c r="CK200" s="433">
        <f t="shared" si="1"/>
        <v>78</v>
      </c>
      <c r="CL200" s="433">
        <f t="shared" si="1"/>
        <v>18</v>
      </c>
      <c r="CM200" s="433">
        <f t="shared" si="1"/>
        <v>116</v>
      </c>
      <c r="CN200" s="434">
        <f t="shared" si="1"/>
        <v>120</v>
      </c>
      <c r="CO200" s="435">
        <f t="shared" si="1"/>
        <v>130</v>
      </c>
      <c r="CP200" s="435">
        <f t="shared" si="1"/>
        <v>60</v>
      </c>
      <c r="CQ200" s="435">
        <f t="shared" si="1"/>
        <v>580</v>
      </c>
      <c r="CR200" s="435">
        <f t="shared" si="1"/>
        <v>390</v>
      </c>
      <c r="CS200" s="525">
        <f t="shared" si="1"/>
        <v>670</v>
      </c>
      <c r="CT200" s="436">
        <f>SUM(CT5:CT199)</f>
        <v>12</v>
      </c>
      <c r="CU200" s="437">
        <f t="shared" si="1"/>
        <v>13</v>
      </c>
      <c r="CV200" s="437">
        <f t="shared" si="1"/>
        <v>6</v>
      </c>
      <c r="CW200" s="437">
        <f t="shared" si="1"/>
        <v>7</v>
      </c>
      <c r="CX200" s="437">
        <f t="shared" si="1"/>
        <v>77</v>
      </c>
      <c r="CY200" s="437">
        <f t="shared" si="1"/>
        <v>13</v>
      </c>
      <c r="CZ200" s="437">
        <f t="shared" si="1"/>
        <v>9</v>
      </c>
      <c r="DA200" s="438">
        <f t="shared" si="1"/>
        <v>58</v>
      </c>
      <c r="DB200" s="527">
        <f t="shared" si="1"/>
        <v>195</v>
      </c>
    </row>
    <row r="201" spans="1:106" ht="18.75" x14ac:dyDescent="0.3">
      <c r="C201" s="15"/>
      <c r="D201" s="15"/>
      <c r="I201" s="15"/>
      <c r="J201" s="75"/>
      <c r="K201" s="75" t="s">
        <v>16</v>
      </c>
      <c r="L201" s="75"/>
      <c r="M201" s="75"/>
      <c r="N201" s="491">
        <f>ROUNDUP((N200*0.15),0)</f>
        <v>5</v>
      </c>
      <c r="O201" s="492"/>
      <c r="P201" s="492"/>
      <c r="Q201" s="492"/>
      <c r="R201" s="492">
        <f t="shared" ref="R201:BS201" si="2">ROUNDUP((R200*0.15),0)</f>
        <v>6</v>
      </c>
      <c r="S201" s="493"/>
      <c r="T201" s="491"/>
      <c r="U201" s="492"/>
      <c r="V201" s="492"/>
      <c r="W201" s="492">
        <f t="shared" si="2"/>
        <v>5</v>
      </c>
      <c r="X201" s="492"/>
      <c r="Y201" s="492">
        <f t="shared" si="2"/>
        <v>5</v>
      </c>
      <c r="Z201" s="492"/>
      <c r="AA201" s="492">
        <f t="shared" si="2"/>
        <v>8</v>
      </c>
      <c r="AB201" s="491"/>
      <c r="AC201" s="492"/>
      <c r="AD201" s="493"/>
      <c r="AE201" s="493"/>
      <c r="AF201" s="491"/>
      <c r="AG201" s="492"/>
      <c r="AH201" s="492"/>
      <c r="AI201" s="492"/>
      <c r="AJ201" s="492"/>
      <c r="AK201" s="492"/>
      <c r="AL201" s="492"/>
      <c r="AM201" s="492"/>
      <c r="AN201" s="491">
        <v>7500</v>
      </c>
      <c r="AO201" s="492">
        <v>1000</v>
      </c>
      <c r="AP201" s="492">
        <v>4000</v>
      </c>
      <c r="AQ201" s="492"/>
      <c r="AR201" s="492">
        <v>1000</v>
      </c>
      <c r="AS201" s="492">
        <v>1500</v>
      </c>
      <c r="AT201" s="492">
        <v>2500</v>
      </c>
      <c r="AU201" s="492"/>
      <c r="AV201" s="492">
        <v>1000</v>
      </c>
      <c r="AW201" s="492"/>
      <c r="AX201" s="492">
        <v>1000</v>
      </c>
      <c r="AY201" s="492"/>
      <c r="AZ201" s="492">
        <v>7000</v>
      </c>
      <c r="BA201" s="492">
        <v>2500</v>
      </c>
      <c r="BB201" s="492">
        <v>500</v>
      </c>
      <c r="BC201" s="492"/>
      <c r="BD201" s="492">
        <v>5000</v>
      </c>
      <c r="BE201" s="492">
        <v>3000</v>
      </c>
      <c r="BF201" s="494"/>
      <c r="BG201" s="491">
        <v>50</v>
      </c>
      <c r="BH201" s="492"/>
      <c r="BI201" s="492">
        <v>30</v>
      </c>
      <c r="BJ201" s="492"/>
      <c r="BK201" s="492"/>
      <c r="BL201" s="492">
        <v>10</v>
      </c>
      <c r="BM201" s="492">
        <v>20</v>
      </c>
      <c r="BN201" s="492"/>
      <c r="BO201" s="492">
        <v>10</v>
      </c>
      <c r="BP201" s="492"/>
      <c r="BQ201" s="492"/>
      <c r="BR201" s="492"/>
      <c r="BS201" s="492">
        <f t="shared" si="2"/>
        <v>50</v>
      </c>
      <c r="BT201" s="492">
        <v>20</v>
      </c>
      <c r="BU201" s="492"/>
      <c r="BV201" s="492"/>
      <c r="BW201" s="492">
        <v>30</v>
      </c>
      <c r="BX201" s="492">
        <v>20</v>
      </c>
      <c r="BY201" s="493"/>
      <c r="BZ201" s="491"/>
      <c r="CA201" s="492"/>
      <c r="CB201" s="492"/>
      <c r="CC201" s="492"/>
      <c r="CD201" s="492"/>
      <c r="CE201" s="492"/>
      <c r="CF201" s="492"/>
      <c r="CG201" s="491"/>
      <c r="CH201" s="492">
        <f t="shared" ref="CH201:CO201" si="3">ROUNDUP((CH200*0.15),0)</f>
        <v>4</v>
      </c>
      <c r="CI201" s="492"/>
      <c r="CJ201" s="492">
        <f t="shared" si="3"/>
        <v>18</v>
      </c>
      <c r="CK201" s="492">
        <f t="shared" si="3"/>
        <v>12</v>
      </c>
      <c r="CL201" s="492"/>
      <c r="CM201" s="492">
        <f t="shared" si="3"/>
        <v>18</v>
      </c>
      <c r="CN201" s="491">
        <v>20</v>
      </c>
      <c r="CO201" s="492">
        <f t="shared" si="3"/>
        <v>20</v>
      </c>
      <c r="CP201" s="492"/>
      <c r="CQ201" s="492">
        <v>80</v>
      </c>
      <c r="CR201" s="492">
        <v>60</v>
      </c>
      <c r="CS201" s="494">
        <v>100</v>
      </c>
      <c r="CT201" s="495"/>
      <c r="CU201" s="496"/>
      <c r="CV201" s="496"/>
      <c r="CW201" s="496"/>
      <c r="CX201" s="496"/>
      <c r="CY201" s="496"/>
      <c r="CZ201" s="496"/>
      <c r="DA201" s="497"/>
      <c r="DB201" s="528"/>
    </row>
    <row r="202" spans="1:106" ht="19.5" thickBot="1" x14ac:dyDescent="0.35">
      <c r="C202" s="15"/>
      <c r="D202" s="15"/>
      <c r="I202" s="15"/>
      <c r="J202" s="75"/>
      <c r="K202" s="75" t="s">
        <v>17</v>
      </c>
      <c r="L202" s="75"/>
      <c r="M202" s="75"/>
      <c r="N202" s="439">
        <f>SUM(N200:N201)</f>
        <v>36</v>
      </c>
      <c r="O202" s="440">
        <f t="shared" ref="O202:BY202" si="4">SUM(O200:O201)</f>
        <v>1</v>
      </c>
      <c r="P202" s="440">
        <f t="shared" si="4"/>
        <v>4</v>
      </c>
      <c r="Q202" s="440">
        <f t="shared" si="4"/>
        <v>7</v>
      </c>
      <c r="R202" s="440">
        <f t="shared" si="4"/>
        <v>44</v>
      </c>
      <c r="S202" s="441">
        <f t="shared" si="4"/>
        <v>11</v>
      </c>
      <c r="T202" s="442">
        <f t="shared" si="4"/>
        <v>10</v>
      </c>
      <c r="U202" s="443">
        <f t="shared" si="4"/>
        <v>11</v>
      </c>
      <c r="V202" s="443">
        <f t="shared" si="4"/>
        <v>6</v>
      </c>
      <c r="W202" s="443">
        <f t="shared" si="4"/>
        <v>35</v>
      </c>
      <c r="X202" s="443">
        <f t="shared" si="4"/>
        <v>6</v>
      </c>
      <c r="Y202" s="443">
        <f t="shared" si="4"/>
        <v>32</v>
      </c>
      <c r="Z202" s="443">
        <f t="shared" si="4"/>
        <v>5</v>
      </c>
      <c r="AA202" s="443">
        <f t="shared" si="4"/>
        <v>58</v>
      </c>
      <c r="AB202" s="439">
        <f t="shared" si="4"/>
        <v>5</v>
      </c>
      <c r="AC202" s="440">
        <f t="shared" si="4"/>
        <v>2</v>
      </c>
      <c r="AD202" s="441">
        <f t="shared" si="4"/>
        <v>2</v>
      </c>
      <c r="AE202" s="444">
        <f t="shared" si="4"/>
        <v>1</v>
      </c>
      <c r="AF202" s="442">
        <f t="shared" si="4"/>
        <v>2</v>
      </c>
      <c r="AG202" s="443">
        <f t="shared" si="4"/>
        <v>5</v>
      </c>
      <c r="AH202" s="443">
        <f t="shared" si="4"/>
        <v>2</v>
      </c>
      <c r="AI202" s="443">
        <f t="shared" si="4"/>
        <v>2</v>
      </c>
      <c r="AJ202" s="443">
        <f t="shared" si="4"/>
        <v>11</v>
      </c>
      <c r="AK202" s="443">
        <f t="shared" si="4"/>
        <v>5</v>
      </c>
      <c r="AL202" s="443">
        <f t="shared" si="4"/>
        <v>1</v>
      </c>
      <c r="AM202" s="443">
        <f t="shared" si="4"/>
        <v>2</v>
      </c>
      <c r="AN202" s="416">
        <f t="shared" si="4"/>
        <v>60000</v>
      </c>
      <c r="AO202" s="417">
        <f t="shared" si="4"/>
        <v>8500</v>
      </c>
      <c r="AP202" s="417">
        <f t="shared" si="4"/>
        <v>31000</v>
      </c>
      <c r="AQ202" s="417">
        <f t="shared" si="4"/>
        <v>3000</v>
      </c>
      <c r="AR202" s="417">
        <f t="shared" si="4"/>
        <v>8500</v>
      </c>
      <c r="AS202" s="417">
        <f t="shared" si="4"/>
        <v>15000</v>
      </c>
      <c r="AT202" s="417">
        <f t="shared" si="4"/>
        <v>20500</v>
      </c>
      <c r="AU202" s="417">
        <f t="shared" si="4"/>
        <v>6000</v>
      </c>
      <c r="AV202" s="417">
        <f t="shared" si="4"/>
        <v>11500</v>
      </c>
      <c r="AW202" s="417">
        <f t="shared" si="4"/>
        <v>3000</v>
      </c>
      <c r="AX202" s="417">
        <f t="shared" si="4"/>
        <v>8500</v>
      </c>
      <c r="AY202" s="417">
        <f t="shared" si="4"/>
        <v>1500</v>
      </c>
      <c r="AZ202" s="417">
        <f t="shared" si="4"/>
        <v>56500</v>
      </c>
      <c r="BA202" s="417">
        <f t="shared" si="4"/>
        <v>20500</v>
      </c>
      <c r="BB202" s="417">
        <f t="shared" si="4"/>
        <v>6500</v>
      </c>
      <c r="BC202" s="417">
        <f t="shared" si="4"/>
        <v>3000</v>
      </c>
      <c r="BD202" s="417">
        <f t="shared" si="4"/>
        <v>39500</v>
      </c>
      <c r="BE202" s="417">
        <f t="shared" si="4"/>
        <v>25500</v>
      </c>
      <c r="BF202" s="418">
        <f t="shared" si="4"/>
        <v>1500</v>
      </c>
      <c r="BG202" s="445">
        <f t="shared" si="4"/>
        <v>400</v>
      </c>
      <c r="BH202" s="446">
        <f t="shared" si="4"/>
        <v>50</v>
      </c>
      <c r="BI202" s="446">
        <f t="shared" si="4"/>
        <v>210</v>
      </c>
      <c r="BJ202" s="446">
        <f t="shared" si="4"/>
        <v>20</v>
      </c>
      <c r="BK202" s="446">
        <f t="shared" si="4"/>
        <v>50</v>
      </c>
      <c r="BL202" s="446">
        <f t="shared" si="4"/>
        <v>100</v>
      </c>
      <c r="BM202" s="446">
        <f t="shared" si="4"/>
        <v>140</v>
      </c>
      <c r="BN202" s="446">
        <f t="shared" si="4"/>
        <v>40</v>
      </c>
      <c r="BO202" s="446">
        <f t="shared" si="4"/>
        <v>80</v>
      </c>
      <c r="BP202" s="446">
        <f t="shared" si="4"/>
        <v>20</v>
      </c>
      <c r="BQ202" s="446">
        <f t="shared" si="4"/>
        <v>50</v>
      </c>
      <c r="BR202" s="446">
        <f t="shared" si="4"/>
        <v>10</v>
      </c>
      <c r="BS202" s="446">
        <f t="shared" si="4"/>
        <v>380</v>
      </c>
      <c r="BT202" s="446">
        <f t="shared" si="4"/>
        <v>140</v>
      </c>
      <c r="BU202" s="446">
        <f t="shared" si="4"/>
        <v>40</v>
      </c>
      <c r="BV202" s="446">
        <f t="shared" si="4"/>
        <v>20</v>
      </c>
      <c r="BW202" s="446">
        <f t="shared" si="4"/>
        <v>260</v>
      </c>
      <c r="BX202" s="446">
        <f t="shared" si="4"/>
        <v>170</v>
      </c>
      <c r="BY202" s="447">
        <f t="shared" si="4"/>
        <v>10</v>
      </c>
      <c r="BZ202" s="448">
        <f t="shared" ref="BZ202:DB202" si="5">SUM(BZ200:BZ201)</f>
        <v>3</v>
      </c>
      <c r="CA202" s="449">
        <f t="shared" si="5"/>
        <v>1</v>
      </c>
      <c r="CB202" s="449">
        <f t="shared" si="5"/>
        <v>7</v>
      </c>
      <c r="CC202" s="449">
        <f t="shared" si="5"/>
        <v>1</v>
      </c>
      <c r="CD202" s="449">
        <f t="shared" si="5"/>
        <v>2</v>
      </c>
      <c r="CE202" s="449">
        <f t="shared" si="5"/>
        <v>2</v>
      </c>
      <c r="CF202" s="449">
        <f t="shared" si="5"/>
        <v>5</v>
      </c>
      <c r="CG202" s="450">
        <f t="shared" si="5"/>
        <v>20</v>
      </c>
      <c r="CH202" s="451">
        <f t="shared" si="5"/>
        <v>30</v>
      </c>
      <c r="CI202" s="451">
        <f t="shared" si="5"/>
        <v>12</v>
      </c>
      <c r="CJ202" s="451">
        <f t="shared" si="5"/>
        <v>134</v>
      </c>
      <c r="CK202" s="451">
        <f t="shared" si="5"/>
        <v>90</v>
      </c>
      <c r="CL202" s="451">
        <f t="shared" si="5"/>
        <v>18</v>
      </c>
      <c r="CM202" s="451">
        <f t="shared" si="5"/>
        <v>134</v>
      </c>
      <c r="CN202" s="452">
        <f t="shared" si="5"/>
        <v>140</v>
      </c>
      <c r="CO202" s="453">
        <f t="shared" si="5"/>
        <v>150</v>
      </c>
      <c r="CP202" s="453">
        <f t="shared" si="5"/>
        <v>60</v>
      </c>
      <c r="CQ202" s="453">
        <f t="shared" si="5"/>
        <v>660</v>
      </c>
      <c r="CR202" s="453">
        <f t="shared" si="5"/>
        <v>450</v>
      </c>
      <c r="CS202" s="526">
        <f t="shared" si="5"/>
        <v>770</v>
      </c>
      <c r="CT202" s="454">
        <f t="shared" si="5"/>
        <v>12</v>
      </c>
      <c r="CU202" s="455">
        <f t="shared" si="5"/>
        <v>13</v>
      </c>
      <c r="CV202" s="455">
        <f t="shared" si="5"/>
        <v>6</v>
      </c>
      <c r="CW202" s="455">
        <f t="shared" si="5"/>
        <v>7</v>
      </c>
      <c r="CX202" s="455">
        <f t="shared" si="5"/>
        <v>77</v>
      </c>
      <c r="CY202" s="455">
        <f t="shared" si="5"/>
        <v>13</v>
      </c>
      <c r="CZ202" s="455">
        <f t="shared" si="5"/>
        <v>9</v>
      </c>
      <c r="DA202" s="456">
        <f t="shared" si="5"/>
        <v>58</v>
      </c>
      <c r="DB202" s="529">
        <f t="shared" si="5"/>
        <v>195</v>
      </c>
    </row>
    <row r="204" spans="1:106" ht="15.95" customHeight="1" x14ac:dyDescent="0.25">
      <c r="N204" s="457">
        <f>SUM(N202:S202)</f>
        <v>103</v>
      </c>
      <c r="O204" t="s">
        <v>4140</v>
      </c>
      <c r="T204" s="457">
        <f>SUM(T202:AA202)</f>
        <v>163</v>
      </c>
      <c r="U204" t="s">
        <v>4139</v>
      </c>
      <c r="AB204" s="536">
        <f>SUM(AB202:AD202)</f>
        <v>9</v>
      </c>
      <c r="AC204" s="535" t="s">
        <v>4138</v>
      </c>
      <c r="AD204" s="535"/>
      <c r="AF204" s="457">
        <f>SUM(AF202:AM202)</f>
        <v>30</v>
      </c>
      <c r="AG204" t="s">
        <v>4137</v>
      </c>
      <c r="AN204" s="534">
        <f>SUM(AN202:BF202)</f>
        <v>330000</v>
      </c>
      <c r="AO204" s="534"/>
      <c r="AP204" t="s">
        <v>4136</v>
      </c>
      <c r="BG204" s="534">
        <f>SUM(BG202:BY202)</f>
        <v>2190</v>
      </c>
      <c r="BH204" s="534"/>
      <c r="BI204" t="s">
        <v>4133</v>
      </c>
      <c r="BZ204" s="458">
        <f>SUM(BZ202:CF202)</f>
        <v>21</v>
      </c>
      <c r="CA204" t="s">
        <v>4225</v>
      </c>
      <c r="CG204" s="457">
        <f>SUM(CG202:CM202)</f>
        <v>438</v>
      </c>
      <c r="CH204" t="s">
        <v>4134</v>
      </c>
      <c r="CN204" s="534">
        <f>(SUM(CN202:CS202))-CO205</f>
        <v>1510</v>
      </c>
      <c r="CO204" s="534"/>
      <c r="CP204" t="s">
        <v>4224</v>
      </c>
      <c r="CT204" s="457">
        <f>SUM(CT202:DA202)</f>
        <v>195</v>
      </c>
      <c r="CU204" t="s">
        <v>4135</v>
      </c>
    </row>
    <row r="205" spans="1:106" x14ac:dyDescent="0.25">
      <c r="AB205" s="536"/>
      <c r="AC205" s="535"/>
      <c r="AD205" s="535"/>
      <c r="CO205" s="457">
        <f>SUM(CP202:CQ202)</f>
        <v>720</v>
      </c>
      <c r="CP205" t="s">
        <v>4227</v>
      </c>
    </row>
    <row r="206" spans="1:106" x14ac:dyDescent="0.25">
      <c r="AB206" s="504"/>
      <c r="AC206" s="503"/>
      <c r="AD206" s="503"/>
    </row>
    <row r="207" spans="1:106" x14ac:dyDescent="0.25">
      <c r="AB207" s="504"/>
      <c r="AC207" s="503"/>
      <c r="AD207" s="503"/>
    </row>
  </sheetData>
  <mergeCells count="6">
    <mergeCell ref="AB204:AB205"/>
    <mergeCell ref="DB3:DB4"/>
    <mergeCell ref="BG204:BH204"/>
    <mergeCell ref="CN204:CO204"/>
    <mergeCell ref="AN204:AO204"/>
    <mergeCell ref="AC204:AD205"/>
  </mergeCells>
  <conditionalFormatting sqref="A5:XFD199">
    <cfRule type="expression" dxfId="6" priority="1">
      <formula>ISODD(ROW())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2862-940B-4937-89BF-D73267DD4550}">
  <dimension ref="A1:DB207"/>
  <sheetViews>
    <sheetView tabSelected="1" zoomScale="80" zoomScaleNormal="80" workbookViewId="0">
      <pane ySplit="4" topLeftCell="A5" activePane="bottomLeft" state="frozen"/>
      <selection pane="bottomLeft" activeCell="A47" sqref="A47:XFD47"/>
    </sheetView>
  </sheetViews>
  <sheetFormatPr defaultRowHeight="15.75" x14ac:dyDescent="0.25"/>
  <cols>
    <col min="1" max="1" width="31.125" bestFit="1" customWidth="1"/>
    <col min="2" max="2" width="5.625" customWidth="1"/>
    <col min="3" max="3" width="6.625" bestFit="1" customWidth="1"/>
    <col min="4" max="4" width="7.75" bestFit="1" customWidth="1"/>
    <col min="5" max="5" width="17.125" bestFit="1" customWidth="1"/>
    <col min="6" max="6" width="25.75" bestFit="1" customWidth="1"/>
    <col min="7" max="7" width="34.625" bestFit="1" customWidth="1"/>
    <col min="8" max="8" width="17.75" bestFit="1" customWidth="1"/>
    <col min="9" max="9" width="5.125" bestFit="1" customWidth="1"/>
    <col min="10" max="10" width="15.125" customWidth="1"/>
    <col min="11" max="11" width="20.375" customWidth="1"/>
    <col min="12" max="12" width="23.625" customWidth="1"/>
    <col min="13" max="13" width="12.875" customWidth="1"/>
    <col min="14" max="19" width="4.875" customWidth="1"/>
    <col min="20" max="30" width="7.125" customWidth="1"/>
    <col min="31" max="39" width="6.5" customWidth="1"/>
    <col min="40" max="58" width="6.875" customWidth="1"/>
    <col min="59" max="77" width="7.375" customWidth="1"/>
    <col min="78" max="84" width="6.625" customWidth="1"/>
    <col min="85" max="91" width="5.375" customWidth="1"/>
    <col min="92" max="97" width="6.875" customWidth="1"/>
    <col min="98" max="105" width="7" customWidth="1"/>
    <col min="106" max="106" width="7.125" customWidth="1"/>
  </cols>
  <sheetData>
    <row r="1" spans="1:106" x14ac:dyDescent="0.25"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2</v>
      </c>
      <c r="AO1">
        <v>2</v>
      </c>
      <c r="AP1">
        <v>2</v>
      </c>
      <c r="AQ1">
        <v>2</v>
      </c>
      <c r="AR1">
        <v>2</v>
      </c>
      <c r="AS1">
        <v>2</v>
      </c>
      <c r="AT1">
        <v>2</v>
      </c>
      <c r="AU1">
        <v>2</v>
      </c>
      <c r="AV1">
        <v>2</v>
      </c>
      <c r="AW1">
        <v>2</v>
      </c>
      <c r="AX1">
        <v>2</v>
      </c>
      <c r="AY1">
        <v>2</v>
      </c>
      <c r="AZ1">
        <v>2</v>
      </c>
      <c r="BA1">
        <v>2</v>
      </c>
      <c r="BB1">
        <v>2</v>
      </c>
      <c r="BC1">
        <v>2</v>
      </c>
      <c r="BD1">
        <v>2</v>
      </c>
      <c r="BE1">
        <v>2</v>
      </c>
      <c r="BF1">
        <v>2</v>
      </c>
      <c r="BG1">
        <v>2</v>
      </c>
      <c r="BH1">
        <v>2</v>
      </c>
      <c r="BI1">
        <v>2</v>
      </c>
      <c r="BJ1">
        <v>2</v>
      </c>
      <c r="BK1">
        <v>2</v>
      </c>
      <c r="BL1">
        <v>2</v>
      </c>
      <c r="BM1">
        <v>2</v>
      </c>
      <c r="BN1">
        <v>2</v>
      </c>
      <c r="BO1">
        <v>2</v>
      </c>
      <c r="BP1">
        <v>2</v>
      </c>
      <c r="BQ1">
        <v>2</v>
      </c>
      <c r="BR1">
        <v>2</v>
      </c>
      <c r="BS1">
        <v>2</v>
      </c>
      <c r="BT1">
        <v>2</v>
      </c>
      <c r="BU1">
        <v>2</v>
      </c>
      <c r="BV1">
        <v>2</v>
      </c>
      <c r="BW1">
        <v>2</v>
      </c>
      <c r="BX1">
        <v>2</v>
      </c>
      <c r="BY1">
        <v>2</v>
      </c>
      <c r="BZ1">
        <v>3</v>
      </c>
      <c r="CA1">
        <v>3</v>
      </c>
      <c r="CB1">
        <v>3</v>
      </c>
      <c r="CC1">
        <v>3</v>
      </c>
      <c r="CD1">
        <v>3</v>
      </c>
      <c r="CE1">
        <v>3</v>
      </c>
      <c r="CF1">
        <v>3</v>
      </c>
      <c r="CG1">
        <v>1</v>
      </c>
      <c r="CH1">
        <v>1</v>
      </c>
      <c r="CI1">
        <v>1</v>
      </c>
      <c r="CJ1">
        <v>1</v>
      </c>
      <c r="CK1">
        <v>1</v>
      </c>
      <c r="CL1">
        <v>1</v>
      </c>
      <c r="CM1">
        <v>1</v>
      </c>
      <c r="CN1">
        <v>2</v>
      </c>
      <c r="CO1">
        <v>2</v>
      </c>
      <c r="CP1">
        <v>2</v>
      </c>
      <c r="CQ1">
        <v>2</v>
      </c>
      <c r="CR1">
        <v>2</v>
      </c>
      <c r="CS1">
        <v>2</v>
      </c>
      <c r="CT1">
        <v>2</v>
      </c>
      <c r="CU1">
        <v>2</v>
      </c>
      <c r="CV1">
        <v>2</v>
      </c>
      <c r="CW1">
        <v>2</v>
      </c>
      <c r="CX1">
        <v>2</v>
      </c>
      <c r="CY1">
        <v>2</v>
      </c>
      <c r="CZ1">
        <v>2</v>
      </c>
      <c r="DA1">
        <v>2</v>
      </c>
    </row>
    <row r="2" spans="1:106" ht="16.5" thickBot="1" x14ac:dyDescent="0.3">
      <c r="N2" s="167" t="s">
        <v>4100</v>
      </c>
      <c r="O2" s="167"/>
      <c r="P2" s="167"/>
      <c r="Q2" s="167"/>
      <c r="R2" s="167"/>
      <c r="S2" s="167"/>
      <c r="T2" t="s">
        <v>4099</v>
      </c>
      <c r="AB2" s="167" t="s">
        <v>4098</v>
      </c>
      <c r="AC2" s="167"/>
      <c r="AD2" s="167"/>
      <c r="AE2" t="s">
        <v>4097</v>
      </c>
      <c r="AN2" t="s">
        <v>4031</v>
      </c>
      <c r="BG2" t="s">
        <v>4029</v>
      </c>
      <c r="BZ2" t="s">
        <v>4096</v>
      </c>
      <c r="CG2" t="s">
        <v>4101</v>
      </c>
      <c r="CN2" t="s">
        <v>4116</v>
      </c>
      <c r="CP2" t="s">
        <v>4226</v>
      </c>
      <c r="CQ2" t="s">
        <v>4226</v>
      </c>
      <c r="CT2" s="489" t="s">
        <v>4127</v>
      </c>
      <c r="CU2" s="489"/>
      <c r="CV2" s="489"/>
      <c r="CW2" s="489"/>
      <c r="CX2" s="489"/>
      <c r="CY2" s="489"/>
      <c r="CZ2" s="489"/>
      <c r="DA2" s="489"/>
      <c r="DB2" t="s">
        <v>4132</v>
      </c>
    </row>
    <row r="3" spans="1:106" s="474" customFormat="1" ht="144.4" customHeight="1" thickBot="1" x14ac:dyDescent="0.3">
      <c r="A3" s="500" t="s">
        <v>4222</v>
      </c>
      <c r="B3" s="473"/>
      <c r="C3" s="473"/>
      <c r="D3" s="473"/>
      <c r="E3" s="501" t="s">
        <v>4223</v>
      </c>
      <c r="F3" s="502">
        <v>46244</v>
      </c>
      <c r="G3" s="473"/>
      <c r="H3" s="473"/>
      <c r="I3" s="473"/>
      <c r="J3" s="473"/>
      <c r="K3" s="473"/>
      <c r="L3" s="473"/>
      <c r="M3" s="490" t="s">
        <v>4009</v>
      </c>
      <c r="N3" s="483" t="s">
        <v>4218</v>
      </c>
      <c r="O3" s="482" t="s">
        <v>4217</v>
      </c>
      <c r="P3" s="482" t="s">
        <v>4219</v>
      </c>
      <c r="Q3" s="505" t="s">
        <v>4228</v>
      </c>
      <c r="R3" s="482" t="s">
        <v>4220</v>
      </c>
      <c r="S3" s="484" t="s">
        <v>4221</v>
      </c>
      <c r="T3" s="481" t="s">
        <v>4198</v>
      </c>
      <c r="U3" s="480" t="s">
        <v>4199</v>
      </c>
      <c r="V3" s="480" t="s">
        <v>4200</v>
      </c>
      <c r="W3" s="480" t="s">
        <v>4201</v>
      </c>
      <c r="X3" s="480" t="s">
        <v>4195</v>
      </c>
      <c r="Y3" s="480" t="s">
        <v>4202</v>
      </c>
      <c r="Z3" s="480" t="s">
        <v>4196</v>
      </c>
      <c r="AA3" s="480" t="s">
        <v>4197</v>
      </c>
      <c r="AB3" s="483" t="s">
        <v>4193</v>
      </c>
      <c r="AC3" s="482" t="s">
        <v>4192</v>
      </c>
      <c r="AD3" s="484" t="s">
        <v>4194</v>
      </c>
      <c r="AE3" s="531" t="s">
        <v>4245</v>
      </c>
      <c r="AF3" s="481" t="s">
        <v>4188</v>
      </c>
      <c r="AG3" s="480" t="s">
        <v>4189</v>
      </c>
      <c r="AH3" s="480" t="s">
        <v>4190</v>
      </c>
      <c r="AI3" s="480" t="s">
        <v>4185</v>
      </c>
      <c r="AJ3" s="480" t="s">
        <v>4191</v>
      </c>
      <c r="AK3" s="480" t="s">
        <v>4186</v>
      </c>
      <c r="AL3" s="480" t="s">
        <v>4187</v>
      </c>
      <c r="AM3" s="480" t="s">
        <v>4191</v>
      </c>
      <c r="AN3" s="479" t="s">
        <v>4182</v>
      </c>
      <c r="AO3" s="475" t="s">
        <v>4183</v>
      </c>
      <c r="AP3" s="475" t="s">
        <v>4184</v>
      </c>
      <c r="AQ3" s="475" t="s">
        <v>4171</v>
      </c>
      <c r="AR3" s="475" t="s">
        <v>4172</v>
      </c>
      <c r="AS3" s="475" t="s">
        <v>4181</v>
      </c>
      <c r="AT3" s="475" t="s">
        <v>4152</v>
      </c>
      <c r="AU3" s="475" t="s">
        <v>4156</v>
      </c>
      <c r="AV3" s="475" t="s">
        <v>4157</v>
      </c>
      <c r="AW3" s="475" t="s">
        <v>4158</v>
      </c>
      <c r="AX3" s="475" t="s">
        <v>4149</v>
      </c>
      <c r="AY3" s="475" t="s">
        <v>4150</v>
      </c>
      <c r="AZ3" s="475" t="s">
        <v>4173</v>
      </c>
      <c r="BA3" s="475" t="s">
        <v>4174</v>
      </c>
      <c r="BB3" s="475" t="s">
        <v>4175</v>
      </c>
      <c r="BC3" s="475" t="s">
        <v>4176</v>
      </c>
      <c r="BD3" s="475" t="s">
        <v>4162</v>
      </c>
      <c r="BE3" s="475" t="s">
        <v>4163</v>
      </c>
      <c r="BF3" s="477" t="s">
        <v>4164</v>
      </c>
      <c r="BG3" s="478" t="s">
        <v>4178</v>
      </c>
      <c r="BH3" s="472" t="s">
        <v>4179</v>
      </c>
      <c r="BI3" s="472" t="s">
        <v>4180</v>
      </c>
      <c r="BJ3" s="472" t="s">
        <v>4165</v>
      </c>
      <c r="BK3" s="472" t="s">
        <v>4166</v>
      </c>
      <c r="BL3" s="472" t="s">
        <v>4177</v>
      </c>
      <c r="BM3" s="472" t="s">
        <v>4151</v>
      </c>
      <c r="BN3" s="472" t="s">
        <v>4153</v>
      </c>
      <c r="BO3" s="472" t="s">
        <v>4154</v>
      </c>
      <c r="BP3" s="472" t="s">
        <v>4155</v>
      </c>
      <c r="BQ3" s="472" t="s">
        <v>4147</v>
      </c>
      <c r="BR3" s="472" t="s">
        <v>4148</v>
      </c>
      <c r="BS3" s="472" t="s">
        <v>4167</v>
      </c>
      <c r="BT3" s="472" t="s">
        <v>4168</v>
      </c>
      <c r="BU3" s="472" t="s">
        <v>4169</v>
      </c>
      <c r="BV3" s="472" t="s">
        <v>4170</v>
      </c>
      <c r="BW3" s="472" t="s">
        <v>4159</v>
      </c>
      <c r="BX3" s="472" t="s">
        <v>4160</v>
      </c>
      <c r="BY3" s="476" t="s">
        <v>4161</v>
      </c>
      <c r="BZ3" s="486" t="s">
        <v>4206</v>
      </c>
      <c r="CA3" s="485" t="s">
        <v>4207</v>
      </c>
      <c r="CB3" s="485" t="s">
        <v>4208</v>
      </c>
      <c r="CC3" s="485" t="s">
        <v>4203</v>
      </c>
      <c r="CD3" s="485" t="s">
        <v>4209</v>
      </c>
      <c r="CE3" s="485" t="s">
        <v>4204</v>
      </c>
      <c r="CF3" s="485" t="s">
        <v>4205</v>
      </c>
      <c r="CG3" s="488" t="s">
        <v>4212</v>
      </c>
      <c r="CH3" s="487" t="s">
        <v>4213</v>
      </c>
      <c r="CI3" s="487" t="s">
        <v>4214</v>
      </c>
      <c r="CJ3" s="487" t="s">
        <v>4215</v>
      </c>
      <c r="CK3" s="487" t="s">
        <v>4216</v>
      </c>
      <c r="CL3" s="487" t="s">
        <v>4210</v>
      </c>
      <c r="CM3" s="487" t="s">
        <v>4211</v>
      </c>
      <c r="CN3" s="469" t="s">
        <v>4142</v>
      </c>
      <c r="CO3" s="470" t="s">
        <v>4144</v>
      </c>
      <c r="CP3" s="470" t="s">
        <v>4143</v>
      </c>
      <c r="CQ3" s="471" t="s">
        <v>4146</v>
      </c>
      <c r="CR3" s="470" t="s">
        <v>4145</v>
      </c>
      <c r="CS3" s="523" t="s">
        <v>4141</v>
      </c>
      <c r="CT3" s="498" t="s">
        <v>4243</v>
      </c>
      <c r="CU3" s="499" t="s">
        <v>4244</v>
      </c>
      <c r="CV3" s="499" t="s">
        <v>4238</v>
      </c>
      <c r="CW3" s="511" t="s">
        <v>4241</v>
      </c>
      <c r="CX3" s="511" t="s">
        <v>4239</v>
      </c>
      <c r="CY3" s="499" t="s">
        <v>4240</v>
      </c>
      <c r="CZ3" s="511" t="s">
        <v>4242</v>
      </c>
      <c r="DA3" s="512" t="s">
        <v>4237</v>
      </c>
      <c r="DB3" s="532" t="s">
        <v>4132</v>
      </c>
    </row>
    <row r="4" spans="1:106" ht="46.7" customHeight="1" thickBot="1" x14ac:dyDescent="0.3">
      <c r="A4" s="463" t="s">
        <v>4</v>
      </c>
      <c r="B4" s="464" t="s">
        <v>5</v>
      </c>
      <c r="C4" s="464" t="s">
        <v>6</v>
      </c>
      <c r="D4" s="465" t="s">
        <v>3725</v>
      </c>
      <c r="E4" s="464" t="s">
        <v>8</v>
      </c>
      <c r="F4" s="464" t="s">
        <v>9</v>
      </c>
      <c r="G4" s="464" t="s">
        <v>10</v>
      </c>
      <c r="H4" s="464" t="s">
        <v>11</v>
      </c>
      <c r="I4" s="464" t="s">
        <v>12</v>
      </c>
      <c r="J4" s="464" t="s">
        <v>13</v>
      </c>
      <c r="K4" s="466" t="s">
        <v>14</v>
      </c>
      <c r="L4" s="467" t="s">
        <v>4008</v>
      </c>
      <c r="M4" s="467" t="s">
        <v>3732</v>
      </c>
      <c r="N4" s="209" t="s">
        <v>4066</v>
      </c>
      <c r="O4" s="210" t="s">
        <v>4065</v>
      </c>
      <c r="P4" s="210" t="s">
        <v>4067</v>
      </c>
      <c r="Q4" s="210" t="s">
        <v>4068</v>
      </c>
      <c r="R4" s="210" t="s">
        <v>4064</v>
      </c>
      <c r="S4" s="211" t="s">
        <v>4069</v>
      </c>
      <c r="T4" s="254" t="s">
        <v>4067</v>
      </c>
      <c r="U4" s="255" t="s">
        <v>4068</v>
      </c>
      <c r="V4" s="255" t="s">
        <v>4072</v>
      </c>
      <c r="W4" s="255" t="s">
        <v>4064</v>
      </c>
      <c r="X4" s="255" t="s">
        <v>4071</v>
      </c>
      <c r="Y4" s="255" t="s">
        <v>4069</v>
      </c>
      <c r="Z4" s="255" t="s">
        <v>4065</v>
      </c>
      <c r="AA4" s="255" t="s">
        <v>4066</v>
      </c>
      <c r="AB4" s="257" t="s">
        <v>4066</v>
      </c>
      <c r="AC4" s="258" t="s">
        <v>4064</v>
      </c>
      <c r="AD4" s="259" t="s">
        <v>4068</v>
      </c>
      <c r="AE4" s="256" t="s">
        <v>4067</v>
      </c>
      <c r="AF4" s="254" t="s">
        <v>4068</v>
      </c>
      <c r="AG4" s="255" t="s">
        <v>4072</v>
      </c>
      <c r="AH4" s="255" t="s">
        <v>4064</v>
      </c>
      <c r="AI4" s="255" t="s">
        <v>4071</v>
      </c>
      <c r="AJ4" s="255" t="s">
        <v>4069</v>
      </c>
      <c r="AK4" s="255" t="s">
        <v>4065</v>
      </c>
      <c r="AL4" s="255" t="s">
        <v>4066</v>
      </c>
      <c r="AM4" s="255" t="s">
        <v>4069</v>
      </c>
      <c r="AN4" s="269" t="s">
        <v>4011</v>
      </c>
      <c r="AO4" s="270" t="s">
        <v>4018</v>
      </c>
      <c r="AP4" s="270" t="s">
        <v>4020</v>
      </c>
      <c r="AQ4" s="270" t="s">
        <v>4013</v>
      </c>
      <c r="AR4" s="270" t="s">
        <v>4022</v>
      </c>
      <c r="AS4" s="270" t="s">
        <v>4016</v>
      </c>
      <c r="AT4" s="268" t="s">
        <v>3839</v>
      </c>
      <c r="AU4" s="268" t="s">
        <v>3929</v>
      </c>
      <c r="AV4" s="268" t="s">
        <v>3951</v>
      </c>
      <c r="AW4" s="268" t="s">
        <v>3955</v>
      </c>
      <c r="AX4" s="268" t="s">
        <v>3845</v>
      </c>
      <c r="AY4" s="268" t="s">
        <v>3945</v>
      </c>
      <c r="AZ4" s="268" t="s">
        <v>3739</v>
      </c>
      <c r="BA4" s="268" t="s">
        <v>3802</v>
      </c>
      <c r="BB4" s="268" t="s">
        <v>3963</v>
      </c>
      <c r="BC4" s="268" t="s">
        <v>3851</v>
      </c>
      <c r="BD4" s="268" t="s">
        <v>3776</v>
      </c>
      <c r="BE4" s="268" t="s">
        <v>3969</v>
      </c>
      <c r="BF4" s="271" t="s">
        <v>3828</v>
      </c>
      <c r="BG4" s="274" t="s">
        <v>4011</v>
      </c>
      <c r="BH4" s="275" t="s">
        <v>4018</v>
      </c>
      <c r="BI4" s="275" t="s">
        <v>4020</v>
      </c>
      <c r="BJ4" s="275" t="s">
        <v>4013</v>
      </c>
      <c r="BK4" s="275" t="s">
        <v>4022</v>
      </c>
      <c r="BL4" s="275" t="s">
        <v>4016</v>
      </c>
      <c r="BM4" s="272" t="s">
        <v>3839</v>
      </c>
      <c r="BN4" s="272" t="s">
        <v>3929</v>
      </c>
      <c r="BO4" s="272" t="s">
        <v>3951</v>
      </c>
      <c r="BP4" s="272" t="s">
        <v>3955</v>
      </c>
      <c r="BQ4" s="272" t="s">
        <v>3845</v>
      </c>
      <c r="BR4" s="272" t="s">
        <v>3945</v>
      </c>
      <c r="BS4" s="272" t="s">
        <v>3739</v>
      </c>
      <c r="BT4" s="272" t="s">
        <v>3802</v>
      </c>
      <c r="BU4" s="272" t="s">
        <v>3963</v>
      </c>
      <c r="BV4" s="272" t="s">
        <v>3851</v>
      </c>
      <c r="BW4" s="272" t="s">
        <v>3776</v>
      </c>
      <c r="BX4" s="272" t="s">
        <v>3969</v>
      </c>
      <c r="BY4" s="273" t="s">
        <v>3828</v>
      </c>
      <c r="BZ4" s="506" t="s">
        <v>4067</v>
      </c>
      <c r="CA4" s="276" t="s">
        <v>4068</v>
      </c>
      <c r="CB4" s="276" t="s">
        <v>4064</v>
      </c>
      <c r="CC4" s="276" t="s">
        <v>4071</v>
      </c>
      <c r="CD4" s="276" t="s">
        <v>4069</v>
      </c>
      <c r="CE4" s="276" t="s">
        <v>4065</v>
      </c>
      <c r="CF4" s="276" t="s">
        <v>4066</v>
      </c>
      <c r="CG4" s="339" t="s">
        <v>4067</v>
      </c>
      <c r="CH4" s="340" t="s">
        <v>4068</v>
      </c>
      <c r="CI4" s="340" t="s">
        <v>4072</v>
      </c>
      <c r="CJ4" s="340" t="s">
        <v>4064</v>
      </c>
      <c r="CK4" s="340" t="s">
        <v>4069</v>
      </c>
      <c r="CL4" s="340" t="s">
        <v>4065</v>
      </c>
      <c r="CM4" s="340" t="s">
        <v>4066</v>
      </c>
      <c r="CN4" s="384" t="s">
        <v>4121</v>
      </c>
      <c r="CO4" s="385" t="s">
        <v>4122</v>
      </c>
      <c r="CP4" s="385" t="s">
        <v>4123</v>
      </c>
      <c r="CQ4" s="385" t="s">
        <v>4124</v>
      </c>
      <c r="CR4" s="385" t="s">
        <v>4125</v>
      </c>
      <c r="CS4" s="524" t="s">
        <v>4120</v>
      </c>
      <c r="CT4" s="507" t="s">
        <v>4067</v>
      </c>
      <c r="CU4" s="508" t="s">
        <v>4068</v>
      </c>
      <c r="CV4" s="508" t="s">
        <v>4072</v>
      </c>
      <c r="CW4" s="508" t="s">
        <v>4071</v>
      </c>
      <c r="CX4" s="508" t="s">
        <v>4064</v>
      </c>
      <c r="CY4" s="508" t="s">
        <v>4069</v>
      </c>
      <c r="CZ4" s="508" t="s">
        <v>4065</v>
      </c>
      <c r="DA4" s="509" t="s">
        <v>4066</v>
      </c>
      <c r="DB4" s="533"/>
    </row>
    <row r="5" spans="1:106" x14ac:dyDescent="0.25">
      <c r="A5" s="468" t="s">
        <v>41</v>
      </c>
      <c r="B5" s="468">
        <v>813</v>
      </c>
      <c r="C5" s="468" t="s">
        <v>434</v>
      </c>
      <c r="D5" s="468">
        <v>41</v>
      </c>
      <c r="E5" s="468" t="s">
        <v>435</v>
      </c>
      <c r="F5" s="468" t="s">
        <v>2990</v>
      </c>
      <c r="G5" s="468" t="s">
        <v>437</v>
      </c>
      <c r="H5" s="468" t="s">
        <v>438</v>
      </c>
      <c r="I5" s="468" t="s">
        <v>46</v>
      </c>
      <c r="J5" s="468" t="s">
        <v>439</v>
      </c>
      <c r="K5" s="468" t="s">
        <v>440</v>
      </c>
      <c r="L5" s="468" t="s">
        <v>3775</v>
      </c>
      <c r="M5" s="468" t="s">
        <v>3776</v>
      </c>
      <c r="N5" s="459"/>
      <c r="O5" s="278"/>
      <c r="P5" s="278"/>
      <c r="Q5" s="278"/>
      <c r="R5" s="278"/>
      <c r="S5" s="279"/>
      <c r="T5" s="280"/>
      <c r="U5" s="281"/>
      <c r="V5" s="281"/>
      <c r="W5" s="281"/>
      <c r="X5" s="281"/>
      <c r="Y5" s="281"/>
      <c r="Z5" s="281"/>
      <c r="AA5" s="281"/>
      <c r="AB5" s="277"/>
      <c r="AC5" s="278"/>
      <c r="AD5" s="279"/>
      <c r="AE5" s="284"/>
      <c r="AF5" s="282"/>
      <c r="AG5" s="283"/>
      <c r="AH5" s="283"/>
      <c r="AI5" s="283"/>
      <c r="AJ5" s="283">
        <v>1</v>
      </c>
      <c r="AK5" s="283"/>
      <c r="AL5" s="283"/>
      <c r="AM5" s="283"/>
      <c r="AN5" s="285"/>
      <c r="AO5" s="286"/>
      <c r="AP5" s="286"/>
      <c r="AQ5" s="286"/>
      <c r="AR5" s="286"/>
      <c r="AS5" s="286"/>
      <c r="AT5" s="286"/>
      <c r="AU5" s="286"/>
      <c r="AV5" s="286"/>
      <c r="AW5" s="286"/>
      <c r="AX5" s="286"/>
      <c r="AY5" s="286"/>
      <c r="AZ5" s="286"/>
      <c r="BA5" s="286"/>
      <c r="BB5" s="286"/>
      <c r="BC5" s="286"/>
      <c r="BD5" s="286">
        <v>1500</v>
      </c>
      <c r="BE5" s="286"/>
      <c r="BF5" s="287"/>
      <c r="BG5" s="288"/>
      <c r="BH5" s="289"/>
      <c r="BI5" s="289"/>
      <c r="BJ5" s="289"/>
      <c r="BK5" s="289"/>
      <c r="BL5" s="289"/>
      <c r="BM5" s="289"/>
      <c r="BN5" s="289"/>
      <c r="BO5" s="289"/>
      <c r="BP5" s="289"/>
      <c r="BQ5" s="289"/>
      <c r="BR5" s="289"/>
      <c r="BS5" s="289"/>
      <c r="BT5" s="289"/>
      <c r="BU5" s="289"/>
      <c r="BV5" s="289"/>
      <c r="BW5" s="289">
        <v>10</v>
      </c>
      <c r="BX5" s="289"/>
      <c r="BY5" s="290"/>
      <c r="BZ5" s="291"/>
      <c r="CA5" s="292"/>
      <c r="CB5" s="292"/>
      <c r="CC5" s="292"/>
      <c r="CD5" s="292"/>
      <c r="CE5" s="292"/>
      <c r="CF5" s="292"/>
      <c r="CG5" s="337"/>
      <c r="CH5" s="338"/>
      <c r="CI5" s="338"/>
      <c r="CJ5" s="338"/>
      <c r="CK5" s="338">
        <v>2</v>
      </c>
      <c r="CL5" s="338"/>
      <c r="CM5" s="338"/>
      <c r="CN5" s="377"/>
      <c r="CO5" s="378"/>
      <c r="CP5" s="378"/>
      <c r="CQ5" s="378"/>
      <c r="CR5" s="378">
        <v>10</v>
      </c>
      <c r="CS5" s="386"/>
      <c r="CT5" s="395"/>
      <c r="CU5" s="396"/>
      <c r="CV5" s="396"/>
      <c r="CW5" s="396"/>
      <c r="CX5" s="396">
        <v>1</v>
      </c>
      <c r="CY5" s="396"/>
      <c r="CZ5" s="396"/>
      <c r="DA5" s="397"/>
      <c r="DB5" s="522">
        <v>1</v>
      </c>
    </row>
    <row r="6" spans="1:106" x14ac:dyDescent="0.25">
      <c r="A6" s="468" t="s">
        <v>41</v>
      </c>
      <c r="B6" s="468">
        <v>813</v>
      </c>
      <c r="C6" s="468" t="s">
        <v>42</v>
      </c>
      <c r="D6" s="468">
        <v>42</v>
      </c>
      <c r="E6" s="468" t="s">
        <v>43</v>
      </c>
      <c r="F6" s="468" t="s">
        <v>441</v>
      </c>
      <c r="G6" s="468" t="s">
        <v>44</v>
      </c>
      <c r="H6" s="468" t="s">
        <v>45</v>
      </c>
      <c r="I6" s="468" t="s">
        <v>46</v>
      </c>
      <c r="J6" s="468" t="s">
        <v>47</v>
      </c>
      <c r="K6" s="468" t="s">
        <v>48</v>
      </c>
      <c r="L6" s="468" t="s">
        <v>3775</v>
      </c>
      <c r="M6" s="468" t="s">
        <v>3776</v>
      </c>
      <c r="N6" s="460"/>
      <c r="O6" s="294"/>
      <c r="P6" s="294"/>
      <c r="Q6" s="294"/>
      <c r="R6" s="294"/>
      <c r="S6" s="295"/>
      <c r="T6" s="296"/>
      <c r="U6" s="297"/>
      <c r="V6" s="297"/>
      <c r="W6" s="297"/>
      <c r="X6" s="297"/>
      <c r="Y6" s="297"/>
      <c r="Z6" s="297"/>
      <c r="AA6" s="297"/>
      <c r="AB6" s="293"/>
      <c r="AC6" s="294"/>
      <c r="AD6" s="295"/>
      <c r="AE6" s="298"/>
      <c r="AF6" s="299"/>
      <c r="AG6" s="297"/>
      <c r="AH6" s="297"/>
      <c r="AI6" s="297"/>
      <c r="AJ6" s="297">
        <v>1</v>
      </c>
      <c r="AK6" s="297"/>
      <c r="AL6" s="297"/>
      <c r="AM6" s="297"/>
      <c r="AN6" s="300"/>
      <c r="AO6" s="301"/>
      <c r="AP6" s="301"/>
      <c r="AQ6" s="301"/>
      <c r="AR6" s="301"/>
      <c r="AS6" s="301"/>
      <c r="AT6" s="301"/>
      <c r="AU6" s="301"/>
      <c r="AV6" s="301"/>
      <c r="AW6" s="301"/>
      <c r="AX6" s="301"/>
      <c r="AY6" s="301"/>
      <c r="AZ6" s="301"/>
      <c r="BA6" s="301"/>
      <c r="BB6" s="301"/>
      <c r="BC6" s="301"/>
      <c r="BD6" s="301">
        <v>1500</v>
      </c>
      <c r="BE6" s="301"/>
      <c r="BF6" s="302"/>
      <c r="BG6" s="303"/>
      <c r="BH6" s="304"/>
      <c r="BI6" s="304"/>
      <c r="BJ6" s="304"/>
      <c r="BK6" s="304"/>
      <c r="BL6" s="304"/>
      <c r="BM6" s="304"/>
      <c r="BN6" s="304"/>
      <c r="BO6" s="304"/>
      <c r="BP6" s="304"/>
      <c r="BQ6" s="304"/>
      <c r="BR6" s="304"/>
      <c r="BS6" s="304"/>
      <c r="BT6" s="304"/>
      <c r="BU6" s="304"/>
      <c r="BV6" s="304"/>
      <c r="BW6" s="304">
        <v>10</v>
      </c>
      <c r="BX6" s="304"/>
      <c r="BY6" s="305"/>
      <c r="BZ6" s="306"/>
      <c r="CA6" s="307"/>
      <c r="CB6" s="307"/>
      <c r="CC6" s="307"/>
      <c r="CD6" s="307"/>
      <c r="CE6" s="307"/>
      <c r="CF6" s="307"/>
      <c r="CG6" s="332"/>
      <c r="CH6" s="328"/>
      <c r="CI6" s="328"/>
      <c r="CJ6" s="328"/>
      <c r="CK6" s="328">
        <v>2</v>
      </c>
      <c r="CL6" s="328"/>
      <c r="CM6" s="328"/>
      <c r="CN6" s="370"/>
      <c r="CO6" s="367"/>
      <c r="CP6" s="367"/>
      <c r="CQ6" s="367"/>
      <c r="CR6" s="378">
        <v>10</v>
      </c>
      <c r="CS6" s="387"/>
      <c r="CT6" s="398"/>
      <c r="CU6" s="399"/>
      <c r="CV6" s="399"/>
      <c r="CW6" s="399"/>
      <c r="CX6" s="399">
        <v>1</v>
      </c>
      <c r="CY6" s="399"/>
      <c r="CZ6" s="399"/>
      <c r="DA6" s="400"/>
      <c r="DB6" s="522">
        <v>1</v>
      </c>
    </row>
    <row r="7" spans="1:106" x14ac:dyDescent="0.25">
      <c r="A7" s="468" t="s">
        <v>41</v>
      </c>
      <c r="B7" s="468">
        <v>813</v>
      </c>
      <c r="C7" s="468" t="s">
        <v>442</v>
      </c>
      <c r="D7" s="468">
        <v>43</v>
      </c>
      <c r="E7" s="468" t="s">
        <v>443</v>
      </c>
      <c r="F7" s="468" t="s">
        <v>2954</v>
      </c>
      <c r="G7" s="468" t="s">
        <v>444</v>
      </c>
      <c r="H7" s="468" t="s">
        <v>144</v>
      </c>
      <c r="I7" s="468" t="s">
        <v>46</v>
      </c>
      <c r="J7" s="468" t="s">
        <v>445</v>
      </c>
      <c r="K7" s="468" t="s">
        <v>446</v>
      </c>
      <c r="L7" s="468" t="s">
        <v>3775</v>
      </c>
      <c r="M7" s="468" t="s">
        <v>3776</v>
      </c>
      <c r="N7" s="460"/>
      <c r="O7" s="294"/>
      <c r="P7" s="294"/>
      <c r="Q7" s="294"/>
      <c r="R7" s="294"/>
      <c r="S7" s="295"/>
      <c r="T7" s="296"/>
      <c r="U7" s="297"/>
      <c r="V7" s="297"/>
      <c r="W7" s="297"/>
      <c r="X7" s="297"/>
      <c r="Y7" s="297"/>
      <c r="Z7" s="297"/>
      <c r="AA7" s="297"/>
      <c r="AB7" s="293"/>
      <c r="AC7" s="294"/>
      <c r="AD7" s="295"/>
      <c r="AE7" s="298"/>
      <c r="AF7" s="299"/>
      <c r="AG7" s="297"/>
      <c r="AH7" s="297"/>
      <c r="AI7" s="297"/>
      <c r="AJ7" s="297">
        <v>1</v>
      </c>
      <c r="AK7" s="297"/>
      <c r="AL7" s="297"/>
      <c r="AM7" s="297"/>
      <c r="AN7" s="300"/>
      <c r="AO7" s="301"/>
      <c r="AP7" s="301"/>
      <c r="AQ7" s="301"/>
      <c r="AR7" s="301"/>
      <c r="AS7" s="301"/>
      <c r="AT7" s="301"/>
      <c r="AU7" s="301"/>
      <c r="AV7" s="301"/>
      <c r="AW7" s="301"/>
      <c r="AX7" s="301"/>
      <c r="AY7" s="301"/>
      <c r="AZ7" s="301"/>
      <c r="BA7" s="301"/>
      <c r="BB7" s="301"/>
      <c r="BC7" s="301"/>
      <c r="BD7" s="301">
        <v>1500</v>
      </c>
      <c r="BE7" s="301"/>
      <c r="BF7" s="302"/>
      <c r="BG7" s="303"/>
      <c r="BH7" s="304"/>
      <c r="BI7" s="304"/>
      <c r="BJ7" s="304"/>
      <c r="BK7" s="304"/>
      <c r="BL7" s="304"/>
      <c r="BM7" s="304"/>
      <c r="BN7" s="304"/>
      <c r="BO7" s="304"/>
      <c r="BP7" s="304"/>
      <c r="BQ7" s="304"/>
      <c r="BR7" s="304"/>
      <c r="BS7" s="304"/>
      <c r="BT7" s="304"/>
      <c r="BU7" s="304"/>
      <c r="BV7" s="304"/>
      <c r="BW7" s="304">
        <v>10</v>
      </c>
      <c r="BX7" s="304"/>
      <c r="BY7" s="305"/>
      <c r="BZ7" s="306"/>
      <c r="CA7" s="307"/>
      <c r="CB7" s="307"/>
      <c r="CC7" s="307"/>
      <c r="CD7" s="307"/>
      <c r="CE7" s="307"/>
      <c r="CF7" s="307"/>
      <c r="CG7" s="332"/>
      <c r="CH7" s="328"/>
      <c r="CI7" s="328"/>
      <c r="CJ7" s="328"/>
      <c r="CK7" s="328">
        <v>2</v>
      </c>
      <c r="CL7" s="328"/>
      <c r="CM7" s="328"/>
      <c r="CN7" s="370"/>
      <c r="CO7" s="367"/>
      <c r="CP7" s="367"/>
      <c r="CQ7" s="367"/>
      <c r="CR7" s="378">
        <v>10</v>
      </c>
      <c r="CS7" s="387"/>
      <c r="CT7" s="398"/>
      <c r="CU7" s="399"/>
      <c r="CV7" s="399"/>
      <c r="CW7" s="399"/>
      <c r="CX7" s="399">
        <v>1</v>
      </c>
      <c r="CY7" s="399"/>
      <c r="CZ7" s="399"/>
      <c r="DA7" s="400"/>
      <c r="DB7" s="522">
        <v>1</v>
      </c>
    </row>
    <row r="8" spans="1:106" x14ac:dyDescent="0.25">
      <c r="A8" s="468" t="s">
        <v>41</v>
      </c>
      <c r="B8" s="468">
        <v>813</v>
      </c>
      <c r="C8" s="468" t="s">
        <v>447</v>
      </c>
      <c r="D8" s="468">
        <v>44</v>
      </c>
      <c r="E8" s="468" t="s">
        <v>448</v>
      </c>
      <c r="F8" s="468" t="s">
        <v>436</v>
      </c>
      <c r="G8" s="468" t="s">
        <v>450</v>
      </c>
      <c r="H8" s="468" t="s">
        <v>451</v>
      </c>
      <c r="I8" s="468" t="s">
        <v>46</v>
      </c>
      <c r="J8" s="468" t="s">
        <v>3082</v>
      </c>
      <c r="K8" s="468" t="s">
        <v>452</v>
      </c>
      <c r="L8" s="468" t="s">
        <v>3775</v>
      </c>
      <c r="M8" s="468" t="s">
        <v>3776</v>
      </c>
      <c r="N8" s="460"/>
      <c r="O8" s="294"/>
      <c r="P8" s="294"/>
      <c r="Q8" s="294"/>
      <c r="R8" s="294"/>
      <c r="S8" s="295"/>
      <c r="T8" s="296"/>
      <c r="U8" s="297"/>
      <c r="V8" s="297"/>
      <c r="W8" s="297"/>
      <c r="X8" s="297"/>
      <c r="Y8" s="297"/>
      <c r="Z8" s="297"/>
      <c r="AA8" s="297"/>
      <c r="AB8" s="293"/>
      <c r="AC8" s="294"/>
      <c r="AD8" s="295"/>
      <c r="AE8" s="298"/>
      <c r="AF8" s="299"/>
      <c r="AG8" s="297"/>
      <c r="AH8" s="297"/>
      <c r="AI8" s="297"/>
      <c r="AJ8" s="297">
        <v>1</v>
      </c>
      <c r="AK8" s="297"/>
      <c r="AL8" s="297"/>
      <c r="AM8" s="297"/>
      <c r="AN8" s="300"/>
      <c r="AO8" s="301"/>
      <c r="AP8" s="301"/>
      <c r="AQ8" s="301"/>
      <c r="AR8" s="301"/>
      <c r="AS8" s="301"/>
      <c r="AT8" s="301"/>
      <c r="AU8" s="301"/>
      <c r="AV8" s="301"/>
      <c r="AW8" s="301"/>
      <c r="AX8" s="301"/>
      <c r="AY8" s="301"/>
      <c r="AZ8" s="301"/>
      <c r="BA8" s="301"/>
      <c r="BB8" s="301"/>
      <c r="BC8" s="301"/>
      <c r="BD8" s="301">
        <v>1500</v>
      </c>
      <c r="BE8" s="301"/>
      <c r="BF8" s="302"/>
      <c r="BG8" s="303"/>
      <c r="BH8" s="304"/>
      <c r="BI8" s="304"/>
      <c r="BJ8" s="304"/>
      <c r="BK8" s="304"/>
      <c r="BL8" s="304"/>
      <c r="BM8" s="304"/>
      <c r="BN8" s="304"/>
      <c r="BO8" s="304"/>
      <c r="BP8" s="304"/>
      <c r="BQ8" s="304"/>
      <c r="BR8" s="304"/>
      <c r="BS8" s="304"/>
      <c r="BT8" s="304"/>
      <c r="BU8" s="304"/>
      <c r="BV8" s="304"/>
      <c r="BW8" s="304">
        <v>10</v>
      </c>
      <c r="BX8" s="304"/>
      <c r="BY8" s="305"/>
      <c r="BZ8" s="306"/>
      <c r="CA8" s="307"/>
      <c r="CB8" s="307"/>
      <c r="CC8" s="307"/>
      <c r="CD8" s="307"/>
      <c r="CE8" s="307"/>
      <c r="CF8" s="307"/>
      <c r="CG8" s="332"/>
      <c r="CH8" s="328"/>
      <c r="CI8" s="328"/>
      <c r="CJ8" s="328"/>
      <c r="CK8" s="328">
        <v>2</v>
      </c>
      <c r="CL8" s="328"/>
      <c r="CM8" s="328"/>
      <c r="CN8" s="370"/>
      <c r="CO8" s="367"/>
      <c r="CP8" s="367"/>
      <c r="CQ8" s="367"/>
      <c r="CR8" s="378">
        <v>10</v>
      </c>
      <c r="CS8" s="387"/>
      <c r="CT8" s="398"/>
      <c r="CU8" s="399"/>
      <c r="CV8" s="399"/>
      <c r="CW8" s="399"/>
      <c r="CX8" s="399">
        <v>1</v>
      </c>
      <c r="CY8" s="399"/>
      <c r="CZ8" s="399"/>
      <c r="DA8" s="400"/>
      <c r="DB8" s="522">
        <v>1</v>
      </c>
    </row>
    <row r="9" spans="1:106" x14ac:dyDescent="0.25">
      <c r="A9" s="468" t="s">
        <v>41</v>
      </c>
      <c r="B9" s="468">
        <v>813</v>
      </c>
      <c r="C9" s="468" t="s">
        <v>453</v>
      </c>
      <c r="D9" s="468">
        <v>45</v>
      </c>
      <c r="E9" s="468" t="s">
        <v>454</v>
      </c>
      <c r="F9" s="468" t="s">
        <v>449</v>
      </c>
      <c r="G9" s="468" t="s">
        <v>455</v>
      </c>
      <c r="H9" s="468" t="s">
        <v>451</v>
      </c>
      <c r="I9" s="468" t="s">
        <v>46</v>
      </c>
      <c r="J9" s="468" t="s">
        <v>456</v>
      </c>
      <c r="K9" s="468" t="s">
        <v>457</v>
      </c>
      <c r="L9" s="468" t="s">
        <v>3775</v>
      </c>
      <c r="M9" s="468" t="s">
        <v>3776</v>
      </c>
      <c r="N9" s="460"/>
      <c r="O9" s="294"/>
      <c r="P9" s="294"/>
      <c r="Q9" s="294"/>
      <c r="R9" s="294"/>
      <c r="S9" s="295"/>
      <c r="T9" s="296"/>
      <c r="U9" s="297"/>
      <c r="V9" s="297"/>
      <c r="W9" s="297"/>
      <c r="X9" s="297"/>
      <c r="Y9" s="297"/>
      <c r="Z9" s="297"/>
      <c r="AA9" s="297"/>
      <c r="AB9" s="293"/>
      <c r="AC9" s="294"/>
      <c r="AD9" s="295"/>
      <c r="AE9" s="298"/>
      <c r="AF9" s="299"/>
      <c r="AG9" s="297"/>
      <c r="AH9" s="297"/>
      <c r="AI9" s="297"/>
      <c r="AJ9" s="297">
        <v>1</v>
      </c>
      <c r="AK9" s="297"/>
      <c r="AL9" s="297"/>
      <c r="AM9" s="297"/>
      <c r="AN9" s="300"/>
      <c r="AO9" s="301"/>
      <c r="AP9" s="301"/>
      <c r="AQ9" s="301"/>
      <c r="AR9" s="301"/>
      <c r="AS9" s="301"/>
      <c r="AT9" s="301"/>
      <c r="AU9" s="301"/>
      <c r="AV9" s="301"/>
      <c r="AW9" s="301"/>
      <c r="AX9" s="301"/>
      <c r="AY9" s="301"/>
      <c r="AZ9" s="301"/>
      <c r="BA9" s="301"/>
      <c r="BB9" s="301"/>
      <c r="BC9" s="301"/>
      <c r="BD9" s="301">
        <v>1500</v>
      </c>
      <c r="BE9" s="301"/>
      <c r="BF9" s="302"/>
      <c r="BG9" s="303"/>
      <c r="BH9" s="304"/>
      <c r="BI9" s="304"/>
      <c r="BJ9" s="304"/>
      <c r="BK9" s="304"/>
      <c r="BL9" s="304"/>
      <c r="BM9" s="304"/>
      <c r="BN9" s="304"/>
      <c r="BO9" s="304"/>
      <c r="BP9" s="304"/>
      <c r="BQ9" s="304"/>
      <c r="BR9" s="304"/>
      <c r="BS9" s="304"/>
      <c r="BT9" s="304"/>
      <c r="BU9" s="304"/>
      <c r="BV9" s="304"/>
      <c r="BW9" s="304">
        <v>10</v>
      </c>
      <c r="BX9" s="304"/>
      <c r="BY9" s="305"/>
      <c r="BZ9" s="306"/>
      <c r="CA9" s="307"/>
      <c r="CB9" s="307"/>
      <c r="CC9" s="307"/>
      <c r="CD9" s="307"/>
      <c r="CE9" s="307"/>
      <c r="CF9" s="307"/>
      <c r="CG9" s="332"/>
      <c r="CH9" s="328"/>
      <c r="CI9" s="328"/>
      <c r="CJ9" s="328"/>
      <c r="CK9" s="328">
        <v>2</v>
      </c>
      <c r="CL9" s="328"/>
      <c r="CM9" s="328"/>
      <c r="CN9" s="370"/>
      <c r="CO9" s="367"/>
      <c r="CP9" s="367"/>
      <c r="CQ9" s="367"/>
      <c r="CR9" s="378">
        <v>10</v>
      </c>
      <c r="CS9" s="387"/>
      <c r="CT9" s="398"/>
      <c r="CU9" s="399"/>
      <c r="CV9" s="399"/>
      <c r="CW9" s="399"/>
      <c r="CX9" s="399">
        <v>1</v>
      </c>
      <c r="CY9" s="399"/>
      <c r="CZ9" s="399"/>
      <c r="DA9" s="400"/>
      <c r="DB9" s="522">
        <v>1</v>
      </c>
    </row>
    <row r="10" spans="1:106" x14ac:dyDescent="0.25">
      <c r="A10" s="468" t="s">
        <v>41</v>
      </c>
      <c r="B10" s="468">
        <v>813</v>
      </c>
      <c r="C10" s="468" t="s">
        <v>458</v>
      </c>
      <c r="D10" s="468">
        <v>46</v>
      </c>
      <c r="E10" s="468" t="s">
        <v>459</v>
      </c>
      <c r="F10" s="468" t="s">
        <v>460</v>
      </c>
      <c r="G10" s="468" t="s">
        <v>461</v>
      </c>
      <c r="H10" s="468" t="s">
        <v>451</v>
      </c>
      <c r="I10" s="468" t="s">
        <v>46</v>
      </c>
      <c r="J10" s="468" t="s">
        <v>462</v>
      </c>
      <c r="K10" s="468" t="s">
        <v>463</v>
      </c>
      <c r="L10" s="468" t="s">
        <v>3775</v>
      </c>
      <c r="M10" s="468" t="s">
        <v>3776</v>
      </c>
      <c r="N10" s="460"/>
      <c r="O10" s="294"/>
      <c r="P10" s="294"/>
      <c r="Q10" s="294"/>
      <c r="R10" s="294"/>
      <c r="S10" s="295"/>
      <c r="T10" s="296"/>
      <c r="U10" s="297"/>
      <c r="V10" s="297"/>
      <c r="W10" s="297"/>
      <c r="X10" s="297"/>
      <c r="Y10" s="297"/>
      <c r="Z10" s="297"/>
      <c r="AA10" s="297"/>
      <c r="AB10" s="293"/>
      <c r="AC10" s="294"/>
      <c r="AD10" s="295"/>
      <c r="AE10" s="298"/>
      <c r="AF10" s="299"/>
      <c r="AG10" s="297"/>
      <c r="AH10" s="297"/>
      <c r="AI10" s="297"/>
      <c r="AJ10" s="297">
        <v>1</v>
      </c>
      <c r="AK10" s="297"/>
      <c r="AL10" s="297"/>
      <c r="AM10" s="297"/>
      <c r="AN10" s="300"/>
      <c r="AO10" s="301"/>
      <c r="AP10" s="301"/>
      <c r="AQ10" s="301"/>
      <c r="AR10" s="301"/>
      <c r="AS10" s="301"/>
      <c r="AT10" s="301"/>
      <c r="AU10" s="301"/>
      <c r="AV10" s="301"/>
      <c r="AW10" s="301"/>
      <c r="AX10" s="301"/>
      <c r="AY10" s="301"/>
      <c r="AZ10" s="301"/>
      <c r="BA10" s="301"/>
      <c r="BB10" s="301"/>
      <c r="BC10" s="301"/>
      <c r="BD10" s="301">
        <v>1500</v>
      </c>
      <c r="BE10" s="301"/>
      <c r="BF10" s="302"/>
      <c r="BG10" s="303"/>
      <c r="BH10" s="304"/>
      <c r="BI10" s="304"/>
      <c r="BJ10" s="304"/>
      <c r="BK10" s="304"/>
      <c r="BL10" s="304"/>
      <c r="BM10" s="304"/>
      <c r="BN10" s="304"/>
      <c r="BO10" s="304"/>
      <c r="BP10" s="304"/>
      <c r="BQ10" s="304"/>
      <c r="BR10" s="304"/>
      <c r="BS10" s="304"/>
      <c r="BT10" s="304"/>
      <c r="BU10" s="304"/>
      <c r="BV10" s="304"/>
      <c r="BW10" s="304">
        <v>10</v>
      </c>
      <c r="BX10" s="304"/>
      <c r="BY10" s="305"/>
      <c r="BZ10" s="306"/>
      <c r="CA10" s="307"/>
      <c r="CB10" s="307"/>
      <c r="CC10" s="307"/>
      <c r="CD10" s="307"/>
      <c r="CE10" s="307"/>
      <c r="CF10" s="307"/>
      <c r="CG10" s="332"/>
      <c r="CH10" s="328"/>
      <c r="CI10" s="328"/>
      <c r="CJ10" s="328"/>
      <c r="CK10" s="328">
        <v>2</v>
      </c>
      <c r="CL10" s="328"/>
      <c r="CM10" s="328"/>
      <c r="CN10" s="370"/>
      <c r="CO10" s="367"/>
      <c r="CP10" s="367"/>
      <c r="CQ10" s="367"/>
      <c r="CR10" s="378">
        <v>10</v>
      </c>
      <c r="CS10" s="387"/>
      <c r="CT10" s="398"/>
      <c r="CU10" s="399"/>
      <c r="CV10" s="399"/>
      <c r="CW10" s="399"/>
      <c r="CX10" s="399">
        <v>1</v>
      </c>
      <c r="CY10" s="399"/>
      <c r="CZ10" s="399"/>
      <c r="DA10" s="400"/>
      <c r="DB10" s="522">
        <v>1</v>
      </c>
    </row>
    <row r="11" spans="1:106" x14ac:dyDescent="0.25">
      <c r="A11" s="468" t="s">
        <v>41</v>
      </c>
      <c r="B11" s="468">
        <v>813</v>
      </c>
      <c r="C11" s="468" t="s">
        <v>464</v>
      </c>
      <c r="D11" s="468">
        <v>47</v>
      </c>
      <c r="E11" s="468" t="s">
        <v>465</v>
      </c>
      <c r="F11" s="468" t="s">
        <v>466</v>
      </c>
      <c r="G11" s="468" t="s">
        <v>467</v>
      </c>
      <c r="H11" s="468" t="s">
        <v>45</v>
      </c>
      <c r="I11" s="468" t="s">
        <v>46</v>
      </c>
      <c r="J11" s="468" t="s">
        <v>468</v>
      </c>
      <c r="K11" s="468" t="s">
        <v>469</v>
      </c>
      <c r="L11" s="468" t="s">
        <v>3775</v>
      </c>
      <c r="M11" s="468" t="s">
        <v>3776</v>
      </c>
      <c r="N11" s="460"/>
      <c r="O11" s="294"/>
      <c r="P11" s="294"/>
      <c r="Q11" s="294"/>
      <c r="R11" s="294"/>
      <c r="S11" s="295"/>
      <c r="T11" s="296"/>
      <c r="U11" s="297"/>
      <c r="V11" s="297"/>
      <c r="W11" s="297"/>
      <c r="X11" s="297"/>
      <c r="Y11" s="297"/>
      <c r="Z11" s="297"/>
      <c r="AA11" s="297"/>
      <c r="AB11" s="293"/>
      <c r="AC11" s="294"/>
      <c r="AD11" s="295"/>
      <c r="AE11" s="298"/>
      <c r="AF11" s="299"/>
      <c r="AG11" s="297"/>
      <c r="AH11" s="297"/>
      <c r="AI11" s="297"/>
      <c r="AJ11" s="297">
        <v>1</v>
      </c>
      <c r="AK11" s="297"/>
      <c r="AL11" s="297"/>
      <c r="AM11" s="297"/>
      <c r="AN11" s="300"/>
      <c r="AO11" s="301"/>
      <c r="AP11" s="301"/>
      <c r="AQ11" s="301"/>
      <c r="AR11" s="301"/>
      <c r="AS11" s="301"/>
      <c r="AT11" s="301"/>
      <c r="AU11" s="301"/>
      <c r="AV11" s="301"/>
      <c r="AW11" s="301"/>
      <c r="AX11" s="301"/>
      <c r="AY11" s="301"/>
      <c r="AZ11" s="301"/>
      <c r="BA11" s="301"/>
      <c r="BB11" s="301"/>
      <c r="BC11" s="301"/>
      <c r="BD11" s="301">
        <v>1500</v>
      </c>
      <c r="BE11" s="301"/>
      <c r="BF11" s="302"/>
      <c r="BG11" s="303"/>
      <c r="BH11" s="304"/>
      <c r="BI11" s="304"/>
      <c r="BJ11" s="304"/>
      <c r="BK11" s="304"/>
      <c r="BL11" s="304"/>
      <c r="BM11" s="304"/>
      <c r="BN11" s="304"/>
      <c r="BO11" s="304"/>
      <c r="BP11" s="304"/>
      <c r="BQ11" s="304"/>
      <c r="BR11" s="304"/>
      <c r="BS11" s="304"/>
      <c r="BT11" s="304"/>
      <c r="BU11" s="304"/>
      <c r="BV11" s="304"/>
      <c r="BW11" s="304">
        <v>10</v>
      </c>
      <c r="BX11" s="304"/>
      <c r="BY11" s="305"/>
      <c r="BZ11" s="306"/>
      <c r="CA11" s="307"/>
      <c r="CB11" s="307"/>
      <c r="CC11" s="307"/>
      <c r="CD11" s="307"/>
      <c r="CE11" s="307"/>
      <c r="CF11" s="307"/>
      <c r="CG11" s="332"/>
      <c r="CH11" s="328"/>
      <c r="CI11" s="328"/>
      <c r="CJ11" s="328"/>
      <c r="CK11" s="328">
        <v>2</v>
      </c>
      <c r="CL11" s="328"/>
      <c r="CM11" s="328"/>
      <c r="CN11" s="370"/>
      <c r="CO11" s="367"/>
      <c r="CP11" s="367"/>
      <c r="CQ11" s="367"/>
      <c r="CR11" s="378">
        <v>10</v>
      </c>
      <c r="CS11" s="387"/>
      <c r="CT11" s="398"/>
      <c r="CU11" s="399"/>
      <c r="CV11" s="399"/>
      <c r="CW11" s="399"/>
      <c r="CX11" s="399">
        <v>1</v>
      </c>
      <c r="CY11" s="399"/>
      <c r="CZ11" s="399"/>
      <c r="DA11" s="400"/>
      <c r="DB11" s="522">
        <v>1</v>
      </c>
    </row>
    <row r="12" spans="1:106" x14ac:dyDescent="0.25">
      <c r="A12" s="468" t="s">
        <v>41</v>
      </c>
      <c r="B12" s="468">
        <v>813</v>
      </c>
      <c r="C12" s="468" t="s">
        <v>470</v>
      </c>
      <c r="D12" s="468">
        <v>51</v>
      </c>
      <c r="E12" s="468" t="s">
        <v>471</v>
      </c>
      <c r="F12" s="468" t="s">
        <v>472</v>
      </c>
      <c r="G12" s="468" t="s">
        <v>473</v>
      </c>
      <c r="H12" s="468" t="s">
        <v>474</v>
      </c>
      <c r="I12" s="468" t="s">
        <v>46</v>
      </c>
      <c r="J12" s="468" t="s">
        <v>475</v>
      </c>
      <c r="K12" s="468" t="s">
        <v>476</v>
      </c>
      <c r="L12" s="468" t="s">
        <v>3775</v>
      </c>
      <c r="M12" s="468" t="s">
        <v>3776</v>
      </c>
      <c r="N12" s="460"/>
      <c r="O12" s="294"/>
      <c r="P12" s="294"/>
      <c r="Q12" s="294"/>
      <c r="R12" s="294"/>
      <c r="S12" s="295"/>
      <c r="T12" s="296"/>
      <c r="U12" s="297"/>
      <c r="V12" s="297"/>
      <c r="W12" s="297"/>
      <c r="X12" s="297"/>
      <c r="Y12" s="297"/>
      <c r="Z12" s="297"/>
      <c r="AA12" s="297"/>
      <c r="AB12" s="293"/>
      <c r="AC12" s="294"/>
      <c r="AD12" s="295"/>
      <c r="AE12" s="298"/>
      <c r="AF12" s="299"/>
      <c r="AG12" s="297"/>
      <c r="AH12" s="297"/>
      <c r="AI12" s="297"/>
      <c r="AJ12" s="297">
        <v>1</v>
      </c>
      <c r="AK12" s="297"/>
      <c r="AL12" s="297"/>
      <c r="AM12" s="297"/>
      <c r="AN12" s="300"/>
      <c r="AO12" s="301"/>
      <c r="AP12" s="301"/>
      <c r="AQ12" s="301"/>
      <c r="AR12" s="301"/>
      <c r="AS12" s="301"/>
      <c r="AT12" s="301"/>
      <c r="AU12" s="301"/>
      <c r="AV12" s="301"/>
      <c r="AW12" s="301"/>
      <c r="AX12" s="301"/>
      <c r="AY12" s="301"/>
      <c r="AZ12" s="301"/>
      <c r="BA12" s="301"/>
      <c r="BB12" s="301"/>
      <c r="BC12" s="301"/>
      <c r="BD12" s="301">
        <v>1500</v>
      </c>
      <c r="BE12" s="301"/>
      <c r="BF12" s="302"/>
      <c r="BG12" s="303"/>
      <c r="BH12" s="304"/>
      <c r="BI12" s="304"/>
      <c r="BJ12" s="304"/>
      <c r="BK12" s="304"/>
      <c r="BL12" s="304"/>
      <c r="BM12" s="304"/>
      <c r="BN12" s="304"/>
      <c r="BO12" s="304"/>
      <c r="BP12" s="304"/>
      <c r="BQ12" s="304"/>
      <c r="BR12" s="304"/>
      <c r="BS12" s="304"/>
      <c r="BT12" s="304"/>
      <c r="BU12" s="304"/>
      <c r="BV12" s="304"/>
      <c r="BW12" s="304">
        <v>10</v>
      </c>
      <c r="BX12" s="304"/>
      <c r="BY12" s="305"/>
      <c r="BZ12" s="306"/>
      <c r="CA12" s="307"/>
      <c r="CB12" s="307"/>
      <c r="CC12" s="307"/>
      <c r="CD12" s="307"/>
      <c r="CE12" s="307"/>
      <c r="CF12" s="307"/>
      <c r="CG12" s="332"/>
      <c r="CH12" s="328"/>
      <c r="CI12" s="328"/>
      <c r="CJ12" s="328"/>
      <c r="CK12" s="328">
        <v>2</v>
      </c>
      <c r="CL12" s="328"/>
      <c r="CM12" s="328"/>
      <c r="CN12" s="370"/>
      <c r="CO12" s="367"/>
      <c r="CP12" s="367"/>
      <c r="CQ12" s="367"/>
      <c r="CR12" s="378">
        <v>10</v>
      </c>
      <c r="CS12" s="387"/>
      <c r="CT12" s="398"/>
      <c r="CU12" s="399"/>
      <c r="CV12" s="399"/>
      <c r="CW12" s="399"/>
      <c r="CX12" s="399">
        <v>1</v>
      </c>
      <c r="CY12" s="399"/>
      <c r="CZ12" s="399"/>
      <c r="DA12" s="400"/>
      <c r="DB12" s="522">
        <v>1</v>
      </c>
    </row>
    <row r="13" spans="1:106" x14ac:dyDescent="0.25">
      <c r="A13" s="468" t="s">
        <v>41</v>
      </c>
      <c r="B13" s="468">
        <v>813</v>
      </c>
      <c r="C13" s="468" t="s">
        <v>477</v>
      </c>
      <c r="D13" s="468">
        <v>52</v>
      </c>
      <c r="E13" s="468" t="s">
        <v>478</v>
      </c>
      <c r="F13" s="468" t="s">
        <v>479</v>
      </c>
      <c r="G13" s="468" t="s">
        <v>480</v>
      </c>
      <c r="H13" s="468" t="s">
        <v>481</v>
      </c>
      <c r="I13" s="468" t="s">
        <v>46</v>
      </c>
      <c r="J13" s="468" t="s">
        <v>482</v>
      </c>
      <c r="K13" s="468" t="s">
        <v>483</v>
      </c>
      <c r="L13" s="468" t="s">
        <v>3775</v>
      </c>
      <c r="M13" s="468" t="s">
        <v>3776</v>
      </c>
      <c r="N13" s="460"/>
      <c r="O13" s="294"/>
      <c r="P13" s="294"/>
      <c r="Q13" s="294"/>
      <c r="R13" s="294"/>
      <c r="S13" s="295"/>
      <c r="T13" s="296"/>
      <c r="U13" s="297"/>
      <c r="V13" s="297"/>
      <c r="W13" s="297"/>
      <c r="X13" s="297"/>
      <c r="Y13" s="297"/>
      <c r="Z13" s="297"/>
      <c r="AA13" s="297"/>
      <c r="AB13" s="293"/>
      <c r="AC13" s="294"/>
      <c r="AD13" s="295"/>
      <c r="AE13" s="298"/>
      <c r="AF13" s="299"/>
      <c r="AG13" s="297"/>
      <c r="AH13" s="297"/>
      <c r="AI13" s="297"/>
      <c r="AJ13" s="297"/>
      <c r="AK13" s="297"/>
      <c r="AL13" s="297"/>
      <c r="AM13" s="297"/>
      <c r="AN13" s="300"/>
      <c r="AO13" s="301"/>
      <c r="AP13" s="301"/>
      <c r="AQ13" s="301"/>
      <c r="AR13" s="301"/>
      <c r="AS13" s="301"/>
      <c r="AT13" s="301"/>
      <c r="AU13" s="301"/>
      <c r="AV13" s="301"/>
      <c r="AW13" s="301"/>
      <c r="AX13" s="301"/>
      <c r="AY13" s="301"/>
      <c r="AZ13" s="301"/>
      <c r="BA13" s="301"/>
      <c r="BB13" s="301"/>
      <c r="BC13" s="301"/>
      <c r="BD13" s="301">
        <v>1500</v>
      </c>
      <c r="BE13" s="301"/>
      <c r="BF13" s="302"/>
      <c r="BG13" s="303"/>
      <c r="BH13" s="304"/>
      <c r="BI13" s="304"/>
      <c r="BJ13" s="304"/>
      <c r="BK13" s="304"/>
      <c r="BL13" s="304"/>
      <c r="BM13" s="304"/>
      <c r="BN13" s="304"/>
      <c r="BO13" s="304"/>
      <c r="BP13" s="304"/>
      <c r="BQ13" s="304"/>
      <c r="BR13" s="304"/>
      <c r="BS13" s="304"/>
      <c r="BT13" s="304"/>
      <c r="BU13" s="304"/>
      <c r="BV13" s="304"/>
      <c r="BW13" s="304">
        <v>10</v>
      </c>
      <c r="BX13" s="304"/>
      <c r="BY13" s="305"/>
      <c r="BZ13" s="308"/>
      <c r="CA13" s="307"/>
      <c r="CB13" s="307"/>
      <c r="CC13" s="307"/>
      <c r="CD13" s="309">
        <v>1</v>
      </c>
      <c r="CE13" s="307"/>
      <c r="CF13" s="307"/>
      <c r="CG13" s="332"/>
      <c r="CH13" s="328"/>
      <c r="CI13" s="328"/>
      <c r="CJ13" s="328"/>
      <c r="CK13" s="328">
        <v>2</v>
      </c>
      <c r="CL13" s="328"/>
      <c r="CM13" s="328"/>
      <c r="CN13" s="370"/>
      <c r="CO13" s="367"/>
      <c r="CP13" s="367"/>
      <c r="CQ13" s="367"/>
      <c r="CR13" s="378">
        <v>10</v>
      </c>
      <c r="CS13" s="387"/>
      <c r="CT13" s="398"/>
      <c r="CU13" s="399"/>
      <c r="CV13" s="399"/>
      <c r="CW13" s="399"/>
      <c r="CX13" s="399">
        <v>1</v>
      </c>
      <c r="CY13" s="399"/>
      <c r="CZ13" s="399"/>
      <c r="DA13" s="400"/>
      <c r="DB13" s="522">
        <v>1</v>
      </c>
    </row>
    <row r="14" spans="1:106" x14ac:dyDescent="0.25">
      <c r="A14" s="468" t="s">
        <v>41</v>
      </c>
      <c r="B14" s="468">
        <v>813</v>
      </c>
      <c r="C14" s="468" t="s">
        <v>484</v>
      </c>
      <c r="D14" s="468">
        <v>53</v>
      </c>
      <c r="E14" s="468" t="s">
        <v>485</v>
      </c>
      <c r="F14" s="468" t="s">
        <v>486</v>
      </c>
      <c r="G14" s="468" t="s">
        <v>487</v>
      </c>
      <c r="H14" s="468" t="s">
        <v>474</v>
      </c>
      <c r="I14" s="468" t="s">
        <v>46</v>
      </c>
      <c r="J14" s="468" t="s">
        <v>3083</v>
      </c>
      <c r="K14" s="468" t="s">
        <v>488</v>
      </c>
      <c r="L14" s="468" t="s">
        <v>3775</v>
      </c>
      <c r="M14" s="468" t="s">
        <v>3776</v>
      </c>
      <c r="N14" s="460"/>
      <c r="O14" s="294"/>
      <c r="P14" s="294"/>
      <c r="Q14" s="294"/>
      <c r="R14" s="294"/>
      <c r="S14" s="295"/>
      <c r="T14" s="296"/>
      <c r="U14" s="297"/>
      <c r="V14" s="297"/>
      <c r="W14" s="297"/>
      <c r="X14" s="297"/>
      <c r="Y14" s="297"/>
      <c r="Z14" s="297"/>
      <c r="AA14" s="297"/>
      <c r="AB14" s="293"/>
      <c r="AC14" s="294"/>
      <c r="AD14" s="295"/>
      <c r="AE14" s="298"/>
      <c r="AF14" s="299"/>
      <c r="AG14" s="297"/>
      <c r="AH14" s="297"/>
      <c r="AI14" s="297"/>
      <c r="AJ14" s="297">
        <v>1</v>
      </c>
      <c r="AK14" s="297"/>
      <c r="AL14" s="297"/>
      <c r="AM14" s="297"/>
      <c r="AN14" s="300"/>
      <c r="AO14" s="301"/>
      <c r="AP14" s="301"/>
      <c r="AQ14" s="301"/>
      <c r="AR14" s="301"/>
      <c r="AS14" s="301"/>
      <c r="AT14" s="301"/>
      <c r="AU14" s="301"/>
      <c r="AV14" s="301"/>
      <c r="AW14" s="301"/>
      <c r="AX14" s="301"/>
      <c r="AY14" s="301"/>
      <c r="AZ14" s="301"/>
      <c r="BA14" s="301"/>
      <c r="BB14" s="301"/>
      <c r="BC14" s="301"/>
      <c r="BD14" s="301">
        <v>1500</v>
      </c>
      <c r="BE14" s="301"/>
      <c r="BF14" s="302"/>
      <c r="BG14" s="303"/>
      <c r="BH14" s="304"/>
      <c r="BI14" s="304"/>
      <c r="BJ14" s="304"/>
      <c r="BK14" s="304"/>
      <c r="BL14" s="304"/>
      <c r="BM14" s="304"/>
      <c r="BN14" s="304"/>
      <c r="BO14" s="304"/>
      <c r="BP14" s="304"/>
      <c r="BQ14" s="304"/>
      <c r="BR14" s="304"/>
      <c r="BS14" s="304"/>
      <c r="BT14" s="304"/>
      <c r="BU14" s="304"/>
      <c r="BV14" s="304"/>
      <c r="BW14" s="304">
        <v>10</v>
      </c>
      <c r="BX14" s="304"/>
      <c r="BY14" s="305"/>
      <c r="BZ14" s="306"/>
      <c r="CA14" s="307"/>
      <c r="CB14" s="307"/>
      <c r="CC14" s="307"/>
      <c r="CD14" s="307"/>
      <c r="CE14" s="307"/>
      <c r="CF14" s="307"/>
      <c r="CG14" s="332"/>
      <c r="CH14" s="328"/>
      <c r="CI14" s="328"/>
      <c r="CJ14" s="328"/>
      <c r="CK14" s="328">
        <v>2</v>
      </c>
      <c r="CL14" s="328"/>
      <c r="CM14" s="328"/>
      <c r="CN14" s="370"/>
      <c r="CO14" s="367"/>
      <c r="CP14" s="367"/>
      <c r="CQ14" s="367"/>
      <c r="CR14" s="378">
        <v>10</v>
      </c>
      <c r="CS14" s="387"/>
      <c r="CT14" s="398"/>
      <c r="CU14" s="399"/>
      <c r="CV14" s="399"/>
      <c r="CW14" s="399"/>
      <c r="CX14" s="399">
        <v>1</v>
      </c>
      <c r="CY14" s="399"/>
      <c r="CZ14" s="399"/>
      <c r="DA14" s="400"/>
      <c r="DB14" s="522">
        <v>1</v>
      </c>
    </row>
    <row r="15" spans="1:106" x14ac:dyDescent="0.25">
      <c r="A15" s="468" t="s">
        <v>100</v>
      </c>
      <c r="B15" s="468">
        <v>806</v>
      </c>
      <c r="C15" s="468" t="s">
        <v>545</v>
      </c>
      <c r="D15" s="468">
        <v>326</v>
      </c>
      <c r="E15" s="468" t="s">
        <v>546</v>
      </c>
      <c r="F15" s="468" t="s">
        <v>558</v>
      </c>
      <c r="G15" s="468" t="s">
        <v>547</v>
      </c>
      <c r="H15" s="468" t="s">
        <v>104</v>
      </c>
      <c r="I15" s="468" t="s">
        <v>105</v>
      </c>
      <c r="J15" s="468" t="s">
        <v>548</v>
      </c>
      <c r="K15" s="468" t="s">
        <v>549</v>
      </c>
      <c r="L15" s="468" t="s">
        <v>3737</v>
      </c>
      <c r="M15" s="468" t="s">
        <v>3739</v>
      </c>
      <c r="N15" s="460"/>
      <c r="O15" s="294"/>
      <c r="P15" s="294"/>
      <c r="Q15" s="294"/>
      <c r="R15" s="294"/>
      <c r="S15" s="295"/>
      <c r="T15" s="296"/>
      <c r="U15" s="297"/>
      <c r="V15" s="297"/>
      <c r="W15" s="297"/>
      <c r="X15" s="297"/>
      <c r="Y15" s="297"/>
      <c r="Z15" s="297"/>
      <c r="AA15" s="297"/>
      <c r="AB15" s="293"/>
      <c r="AC15" s="294"/>
      <c r="AD15" s="295"/>
      <c r="AE15" s="298"/>
      <c r="AF15" s="296"/>
      <c r="AG15" s="297"/>
      <c r="AH15" s="297"/>
      <c r="AI15" s="297"/>
      <c r="AJ15" s="297"/>
      <c r="AK15" s="297"/>
      <c r="AL15" s="297"/>
      <c r="AM15" s="297"/>
      <c r="AN15" s="300"/>
      <c r="AO15" s="301"/>
      <c r="AP15" s="301"/>
      <c r="AQ15" s="301"/>
      <c r="AR15" s="301"/>
      <c r="AS15" s="301"/>
      <c r="AT15" s="301"/>
      <c r="AU15" s="301"/>
      <c r="AV15" s="301"/>
      <c r="AW15" s="301"/>
      <c r="AX15" s="301"/>
      <c r="AY15" s="301"/>
      <c r="AZ15" s="301">
        <v>1500</v>
      </c>
      <c r="BA15" s="301"/>
      <c r="BB15" s="301"/>
      <c r="BC15" s="301"/>
      <c r="BD15" s="301"/>
      <c r="BE15" s="301"/>
      <c r="BF15" s="302"/>
      <c r="BG15" s="303"/>
      <c r="BH15" s="304"/>
      <c r="BI15" s="304"/>
      <c r="BJ15" s="304"/>
      <c r="BK15" s="304"/>
      <c r="BL15" s="304"/>
      <c r="BM15" s="304"/>
      <c r="BN15" s="304"/>
      <c r="BO15" s="304"/>
      <c r="BP15" s="304"/>
      <c r="BQ15" s="304"/>
      <c r="BR15" s="304"/>
      <c r="BS15" s="304">
        <v>10</v>
      </c>
      <c r="BT15" s="304"/>
      <c r="BU15" s="304"/>
      <c r="BV15" s="304"/>
      <c r="BW15" s="304"/>
      <c r="BX15" s="304"/>
      <c r="BY15" s="305"/>
      <c r="BZ15" s="308"/>
      <c r="CA15" s="307"/>
      <c r="CB15" s="309">
        <v>1</v>
      </c>
      <c r="CC15" s="307"/>
      <c r="CD15" s="307"/>
      <c r="CE15" s="307"/>
      <c r="CF15" s="307"/>
      <c r="CG15" s="332"/>
      <c r="CH15" s="328"/>
      <c r="CI15" s="328"/>
      <c r="CJ15" s="328">
        <v>2</v>
      </c>
      <c r="CK15" s="328"/>
      <c r="CL15" s="328"/>
      <c r="CM15" s="328"/>
      <c r="CN15" s="370"/>
      <c r="CO15" s="367"/>
      <c r="CP15" s="367"/>
      <c r="CQ15" s="367">
        <v>10</v>
      </c>
      <c r="CR15" s="367"/>
      <c r="CS15" s="387"/>
      <c r="CT15" s="398"/>
      <c r="CU15" s="399"/>
      <c r="CV15" s="399"/>
      <c r="CW15" s="399"/>
      <c r="CX15" s="399">
        <v>1</v>
      </c>
      <c r="CY15" s="399"/>
      <c r="CZ15" s="399"/>
      <c r="DA15" s="400"/>
      <c r="DB15" s="522">
        <v>1</v>
      </c>
    </row>
    <row r="16" spans="1:106" x14ac:dyDescent="0.25">
      <c r="A16" s="468" t="s">
        <v>100</v>
      </c>
      <c r="B16" s="468">
        <v>806</v>
      </c>
      <c r="C16" s="468" t="s">
        <v>550</v>
      </c>
      <c r="D16" s="468">
        <v>327</v>
      </c>
      <c r="E16" s="468" t="s">
        <v>551</v>
      </c>
      <c r="F16" s="468" t="s">
        <v>552</v>
      </c>
      <c r="G16" s="468" t="s">
        <v>553</v>
      </c>
      <c r="H16" s="468" t="s">
        <v>104</v>
      </c>
      <c r="I16" s="468" t="s">
        <v>105</v>
      </c>
      <c r="J16" s="468" t="s">
        <v>3149</v>
      </c>
      <c r="K16" s="468" t="s">
        <v>554</v>
      </c>
      <c r="L16" s="468" t="s">
        <v>3737</v>
      </c>
      <c r="M16" s="468" t="s">
        <v>3739</v>
      </c>
      <c r="N16" s="460"/>
      <c r="O16" s="294"/>
      <c r="P16" s="294"/>
      <c r="Q16" s="294"/>
      <c r="R16" s="294"/>
      <c r="S16" s="295"/>
      <c r="T16" s="296"/>
      <c r="U16" s="297"/>
      <c r="V16" s="297"/>
      <c r="W16" s="297"/>
      <c r="X16" s="297"/>
      <c r="Y16" s="297"/>
      <c r="Z16" s="297"/>
      <c r="AA16" s="297"/>
      <c r="AB16" s="293"/>
      <c r="AC16" s="294"/>
      <c r="AD16" s="295"/>
      <c r="AE16" s="298"/>
      <c r="AF16" s="296"/>
      <c r="AG16" s="297"/>
      <c r="AH16" s="297"/>
      <c r="AI16" s="297"/>
      <c r="AJ16" s="297"/>
      <c r="AK16" s="297"/>
      <c r="AL16" s="297"/>
      <c r="AM16" s="297"/>
      <c r="AN16" s="300"/>
      <c r="AO16" s="301"/>
      <c r="AP16" s="301"/>
      <c r="AQ16" s="301"/>
      <c r="AR16" s="301"/>
      <c r="AS16" s="301"/>
      <c r="AT16" s="301"/>
      <c r="AU16" s="301"/>
      <c r="AV16" s="301"/>
      <c r="AW16" s="301"/>
      <c r="AX16" s="301"/>
      <c r="AY16" s="301"/>
      <c r="AZ16" s="301">
        <v>1500</v>
      </c>
      <c r="BA16" s="301"/>
      <c r="BB16" s="301"/>
      <c r="BC16" s="301"/>
      <c r="BD16" s="301"/>
      <c r="BE16" s="301"/>
      <c r="BF16" s="302"/>
      <c r="BG16" s="303"/>
      <c r="BH16" s="304"/>
      <c r="BI16" s="304"/>
      <c r="BJ16" s="304"/>
      <c r="BK16" s="304"/>
      <c r="BL16" s="304"/>
      <c r="BM16" s="304"/>
      <c r="BN16" s="304"/>
      <c r="BO16" s="304"/>
      <c r="BP16" s="304"/>
      <c r="BQ16" s="304"/>
      <c r="BR16" s="304"/>
      <c r="BS16" s="304">
        <v>10</v>
      </c>
      <c r="BT16" s="304"/>
      <c r="BU16" s="304"/>
      <c r="BV16" s="304"/>
      <c r="BW16" s="304"/>
      <c r="BX16" s="304"/>
      <c r="BY16" s="305"/>
      <c r="BZ16" s="308"/>
      <c r="CA16" s="307"/>
      <c r="CB16" s="309">
        <v>1</v>
      </c>
      <c r="CC16" s="307"/>
      <c r="CD16" s="307"/>
      <c r="CE16" s="307"/>
      <c r="CF16" s="307"/>
      <c r="CG16" s="332"/>
      <c r="CH16" s="328"/>
      <c r="CI16" s="328"/>
      <c r="CJ16" s="328">
        <v>2</v>
      </c>
      <c r="CK16" s="328"/>
      <c r="CL16" s="328"/>
      <c r="CM16" s="328"/>
      <c r="CN16" s="370"/>
      <c r="CO16" s="367"/>
      <c r="CP16" s="367"/>
      <c r="CQ16" s="367">
        <v>10</v>
      </c>
      <c r="CR16" s="367"/>
      <c r="CS16" s="387"/>
      <c r="CT16" s="398"/>
      <c r="CU16" s="399"/>
      <c r="CV16" s="399"/>
      <c r="CW16" s="399"/>
      <c r="CX16" s="399">
        <v>1</v>
      </c>
      <c r="CY16" s="399"/>
      <c r="CZ16" s="399"/>
      <c r="DA16" s="400"/>
      <c r="DB16" s="522">
        <v>1</v>
      </c>
    </row>
    <row r="17" spans="1:106" x14ac:dyDescent="0.25">
      <c r="A17" s="468" t="s">
        <v>100</v>
      </c>
      <c r="B17" s="468">
        <v>806</v>
      </c>
      <c r="C17" s="468" t="s">
        <v>101</v>
      </c>
      <c r="D17" s="468">
        <v>328</v>
      </c>
      <c r="E17" s="468" t="s">
        <v>102</v>
      </c>
      <c r="F17" s="468" t="s">
        <v>555</v>
      </c>
      <c r="G17" s="468" t="s">
        <v>103</v>
      </c>
      <c r="H17" s="468" t="s">
        <v>104</v>
      </c>
      <c r="I17" s="468" t="s">
        <v>105</v>
      </c>
      <c r="J17" s="468" t="s">
        <v>3150</v>
      </c>
      <c r="K17" s="468" t="s">
        <v>106</v>
      </c>
      <c r="L17" s="468" t="s">
        <v>3737</v>
      </c>
      <c r="M17" s="468" t="s">
        <v>3739</v>
      </c>
      <c r="N17" s="460"/>
      <c r="O17" s="294"/>
      <c r="P17" s="294"/>
      <c r="Q17" s="294"/>
      <c r="R17" s="294"/>
      <c r="S17" s="295"/>
      <c r="T17" s="296"/>
      <c r="U17" s="297"/>
      <c r="V17" s="297"/>
      <c r="W17" s="297"/>
      <c r="X17" s="297"/>
      <c r="Y17" s="297"/>
      <c r="Z17" s="297"/>
      <c r="AA17" s="297"/>
      <c r="AB17" s="293"/>
      <c r="AC17" s="294"/>
      <c r="AD17" s="295"/>
      <c r="AE17" s="298"/>
      <c r="AF17" s="296"/>
      <c r="AG17" s="297"/>
      <c r="AH17" s="297"/>
      <c r="AI17" s="297"/>
      <c r="AJ17" s="297"/>
      <c r="AK17" s="297"/>
      <c r="AL17" s="297"/>
      <c r="AM17" s="297"/>
      <c r="AN17" s="300"/>
      <c r="AO17" s="301"/>
      <c r="AP17" s="301"/>
      <c r="AQ17" s="301"/>
      <c r="AR17" s="301"/>
      <c r="AS17" s="301"/>
      <c r="AT17" s="301"/>
      <c r="AU17" s="301"/>
      <c r="AV17" s="301"/>
      <c r="AW17" s="301"/>
      <c r="AX17" s="301"/>
      <c r="AY17" s="301"/>
      <c r="AZ17" s="301">
        <v>1500</v>
      </c>
      <c r="BA17" s="301"/>
      <c r="BB17" s="301"/>
      <c r="BC17" s="301"/>
      <c r="BD17" s="301"/>
      <c r="BE17" s="301"/>
      <c r="BF17" s="302"/>
      <c r="BG17" s="303"/>
      <c r="BH17" s="304"/>
      <c r="BI17" s="304"/>
      <c r="BJ17" s="304"/>
      <c r="BK17" s="304"/>
      <c r="BL17" s="304"/>
      <c r="BM17" s="304"/>
      <c r="BN17" s="304"/>
      <c r="BO17" s="304"/>
      <c r="BP17" s="304"/>
      <c r="BQ17" s="304"/>
      <c r="BR17" s="304"/>
      <c r="BS17" s="304">
        <v>10</v>
      </c>
      <c r="BT17" s="304"/>
      <c r="BU17" s="304"/>
      <c r="BV17" s="304"/>
      <c r="BW17" s="304"/>
      <c r="BX17" s="304"/>
      <c r="BY17" s="305"/>
      <c r="BZ17" s="308"/>
      <c r="CA17" s="307"/>
      <c r="CB17" s="309">
        <v>1</v>
      </c>
      <c r="CC17" s="307"/>
      <c r="CD17" s="307"/>
      <c r="CE17" s="307"/>
      <c r="CF17" s="307"/>
      <c r="CG17" s="332"/>
      <c r="CH17" s="328"/>
      <c r="CI17" s="328"/>
      <c r="CJ17" s="328">
        <v>2</v>
      </c>
      <c r="CK17" s="328"/>
      <c r="CL17" s="328"/>
      <c r="CM17" s="328"/>
      <c r="CN17" s="370"/>
      <c r="CO17" s="367"/>
      <c r="CP17" s="367"/>
      <c r="CQ17" s="367">
        <v>10</v>
      </c>
      <c r="CR17" s="367"/>
      <c r="CS17" s="387"/>
      <c r="CT17" s="398"/>
      <c r="CU17" s="399"/>
      <c r="CV17" s="399"/>
      <c r="CW17" s="399"/>
      <c r="CX17" s="399">
        <v>1</v>
      </c>
      <c r="CY17" s="399"/>
      <c r="CZ17" s="399"/>
      <c r="DA17" s="400"/>
      <c r="DB17" s="522">
        <v>1</v>
      </c>
    </row>
    <row r="18" spans="1:106" x14ac:dyDescent="0.25">
      <c r="A18" s="468" t="s">
        <v>100</v>
      </c>
      <c r="B18" s="468">
        <v>806</v>
      </c>
      <c r="C18" s="468" t="s">
        <v>570</v>
      </c>
      <c r="D18" s="468">
        <v>335</v>
      </c>
      <c r="E18" s="468" t="s">
        <v>571</v>
      </c>
      <c r="F18" s="468">
        <v>0</v>
      </c>
      <c r="G18" s="468" t="s">
        <v>572</v>
      </c>
      <c r="H18" s="468" t="s">
        <v>104</v>
      </c>
      <c r="I18" s="468" t="s">
        <v>105</v>
      </c>
      <c r="J18" s="468" t="s">
        <v>3151</v>
      </c>
      <c r="K18" s="468" t="s">
        <v>573</v>
      </c>
      <c r="L18" s="468" t="s">
        <v>4004</v>
      </c>
      <c r="M18" s="468" t="s">
        <v>3739</v>
      </c>
      <c r="N18" s="460"/>
      <c r="O18" s="294"/>
      <c r="P18" s="294"/>
      <c r="Q18" s="294"/>
      <c r="R18" s="294"/>
      <c r="S18" s="295"/>
      <c r="T18" s="296"/>
      <c r="U18" s="297"/>
      <c r="V18" s="297"/>
      <c r="W18" s="297"/>
      <c r="X18" s="297"/>
      <c r="Y18" s="297"/>
      <c r="Z18" s="297"/>
      <c r="AA18" s="297"/>
      <c r="AB18" s="293"/>
      <c r="AC18" s="294"/>
      <c r="AD18" s="295"/>
      <c r="AE18" s="298"/>
      <c r="AF18" s="296"/>
      <c r="AG18" s="297"/>
      <c r="AH18" s="297"/>
      <c r="AI18" s="297"/>
      <c r="AJ18" s="297"/>
      <c r="AK18" s="297"/>
      <c r="AL18" s="297"/>
      <c r="AM18" s="297"/>
      <c r="AN18" s="300"/>
      <c r="AO18" s="301"/>
      <c r="AP18" s="301"/>
      <c r="AQ18" s="301"/>
      <c r="AR18" s="301"/>
      <c r="AS18" s="301"/>
      <c r="AT18" s="301"/>
      <c r="AU18" s="301"/>
      <c r="AV18" s="301"/>
      <c r="AW18" s="301"/>
      <c r="AX18" s="301"/>
      <c r="AY18" s="301"/>
      <c r="AZ18" s="301">
        <v>1500</v>
      </c>
      <c r="BA18" s="301"/>
      <c r="BB18" s="301"/>
      <c r="BC18" s="301"/>
      <c r="BD18" s="301"/>
      <c r="BE18" s="301"/>
      <c r="BF18" s="302"/>
      <c r="BG18" s="303"/>
      <c r="BH18" s="304"/>
      <c r="BI18" s="304"/>
      <c r="BJ18" s="304"/>
      <c r="BK18" s="304"/>
      <c r="BL18" s="304"/>
      <c r="BM18" s="304"/>
      <c r="BN18" s="304"/>
      <c r="BO18" s="304"/>
      <c r="BP18" s="304"/>
      <c r="BQ18" s="304"/>
      <c r="BR18" s="304"/>
      <c r="BS18" s="304">
        <v>10</v>
      </c>
      <c r="BT18" s="304"/>
      <c r="BU18" s="304"/>
      <c r="BV18" s="304"/>
      <c r="BW18" s="304"/>
      <c r="BX18" s="304"/>
      <c r="BY18" s="305"/>
      <c r="BZ18" s="308"/>
      <c r="CA18" s="307"/>
      <c r="CB18" s="309">
        <v>1</v>
      </c>
      <c r="CC18" s="307"/>
      <c r="CD18" s="307"/>
      <c r="CE18" s="307"/>
      <c r="CF18" s="307"/>
      <c r="CG18" s="332"/>
      <c r="CH18" s="328"/>
      <c r="CI18" s="328"/>
      <c r="CJ18" s="328">
        <v>2</v>
      </c>
      <c r="CK18" s="328"/>
      <c r="CL18" s="328"/>
      <c r="CM18" s="328"/>
      <c r="CN18" s="370"/>
      <c r="CO18" s="367"/>
      <c r="CP18" s="367"/>
      <c r="CQ18" s="367">
        <v>10</v>
      </c>
      <c r="CR18" s="367"/>
      <c r="CS18" s="387"/>
      <c r="CT18" s="398"/>
      <c r="CU18" s="399"/>
      <c r="CV18" s="399"/>
      <c r="CW18" s="399"/>
      <c r="CX18" s="399">
        <v>1</v>
      </c>
      <c r="CY18" s="399"/>
      <c r="CZ18" s="399"/>
      <c r="DA18" s="400"/>
      <c r="DB18" s="522">
        <v>1</v>
      </c>
    </row>
    <row r="19" spans="1:106" x14ac:dyDescent="0.25">
      <c r="A19" s="468" t="s">
        <v>100</v>
      </c>
      <c r="B19" s="468">
        <v>806</v>
      </c>
      <c r="C19" s="468" t="s">
        <v>3466</v>
      </c>
      <c r="D19" s="468">
        <v>1329</v>
      </c>
      <c r="E19" s="468" t="s">
        <v>510</v>
      </c>
      <c r="F19" s="468" t="s">
        <v>511</v>
      </c>
      <c r="G19" s="468" t="s">
        <v>512</v>
      </c>
      <c r="H19" s="468" t="s">
        <v>104</v>
      </c>
      <c r="I19" s="468" t="s">
        <v>105</v>
      </c>
      <c r="J19" s="468" t="s">
        <v>3467</v>
      </c>
      <c r="K19" s="468" t="s">
        <v>513</v>
      </c>
      <c r="L19" s="468" t="s">
        <v>3737</v>
      </c>
      <c r="M19" s="468" t="s">
        <v>3739</v>
      </c>
      <c r="N19" s="461"/>
      <c r="O19" s="294"/>
      <c r="P19" s="294"/>
      <c r="Q19" s="294"/>
      <c r="R19" s="294">
        <v>2</v>
      </c>
      <c r="S19" s="295"/>
      <c r="T19" s="296"/>
      <c r="U19" s="297"/>
      <c r="V19" s="297"/>
      <c r="W19" s="297"/>
      <c r="X19" s="297"/>
      <c r="Y19" s="297"/>
      <c r="Z19" s="297"/>
      <c r="AA19" s="297"/>
      <c r="AB19" s="293"/>
      <c r="AC19" s="294"/>
      <c r="AD19" s="295"/>
      <c r="AE19" s="298"/>
      <c r="AF19" s="296"/>
      <c r="AG19" s="297"/>
      <c r="AH19" s="297"/>
      <c r="AI19" s="297"/>
      <c r="AJ19" s="297"/>
      <c r="AK19" s="297"/>
      <c r="AL19" s="297"/>
      <c r="AM19" s="297"/>
      <c r="AN19" s="300"/>
      <c r="AO19" s="301"/>
      <c r="AP19" s="301"/>
      <c r="AQ19" s="301"/>
      <c r="AR19" s="301"/>
      <c r="AS19" s="301"/>
      <c r="AT19" s="301"/>
      <c r="AU19" s="301"/>
      <c r="AV19" s="301"/>
      <c r="AW19" s="301"/>
      <c r="AX19" s="301"/>
      <c r="AY19" s="301"/>
      <c r="AZ19" s="301">
        <v>1500</v>
      </c>
      <c r="BA19" s="301"/>
      <c r="BB19" s="301"/>
      <c r="BC19" s="301"/>
      <c r="BD19" s="301"/>
      <c r="BE19" s="301"/>
      <c r="BF19" s="302"/>
      <c r="BG19" s="303"/>
      <c r="BH19" s="304"/>
      <c r="BI19" s="304"/>
      <c r="BJ19" s="304"/>
      <c r="BK19" s="304"/>
      <c r="BL19" s="304"/>
      <c r="BM19" s="304"/>
      <c r="BN19" s="304"/>
      <c r="BO19" s="304"/>
      <c r="BP19" s="304"/>
      <c r="BQ19" s="304"/>
      <c r="BR19" s="304"/>
      <c r="BS19" s="304">
        <v>10</v>
      </c>
      <c r="BT19" s="304"/>
      <c r="BU19" s="304"/>
      <c r="BV19" s="304"/>
      <c r="BW19" s="304"/>
      <c r="BX19" s="304"/>
      <c r="BY19" s="305"/>
      <c r="BZ19" s="306"/>
      <c r="CA19" s="307"/>
      <c r="CB19" s="307"/>
      <c r="CC19" s="307"/>
      <c r="CD19" s="307"/>
      <c r="CE19" s="307"/>
      <c r="CF19" s="307"/>
      <c r="CG19" s="332"/>
      <c r="CH19" s="328"/>
      <c r="CI19" s="328"/>
      <c r="CJ19" s="328">
        <v>2</v>
      </c>
      <c r="CK19" s="328"/>
      <c r="CL19" s="328"/>
      <c r="CM19" s="328"/>
      <c r="CN19" s="370"/>
      <c r="CO19" s="367"/>
      <c r="CP19" s="367"/>
      <c r="CQ19" s="367">
        <v>10</v>
      </c>
      <c r="CR19" s="367"/>
      <c r="CS19" s="387"/>
      <c r="CT19" s="398"/>
      <c r="CU19" s="399"/>
      <c r="CV19" s="399"/>
      <c r="CW19" s="399"/>
      <c r="CX19" s="399">
        <v>1</v>
      </c>
      <c r="CY19" s="399"/>
      <c r="CZ19" s="399"/>
      <c r="DA19" s="400"/>
      <c r="DB19" s="522">
        <v>1</v>
      </c>
    </row>
    <row r="20" spans="1:106" x14ac:dyDescent="0.25">
      <c r="A20" s="468" t="s">
        <v>100</v>
      </c>
      <c r="B20" s="468">
        <v>806</v>
      </c>
      <c r="C20" s="468" t="s">
        <v>3468</v>
      </c>
      <c r="D20" s="468">
        <v>1331</v>
      </c>
      <c r="E20" s="468" t="s">
        <v>514</v>
      </c>
      <c r="F20" s="468" t="s">
        <v>515</v>
      </c>
      <c r="G20" s="468" t="s">
        <v>516</v>
      </c>
      <c r="H20" s="468" t="s">
        <v>104</v>
      </c>
      <c r="I20" s="468" t="s">
        <v>105</v>
      </c>
      <c r="J20" s="468" t="s">
        <v>3459</v>
      </c>
      <c r="K20" s="468" t="s">
        <v>517</v>
      </c>
      <c r="L20" s="468" t="s">
        <v>3737</v>
      </c>
      <c r="M20" s="468" t="s">
        <v>3739</v>
      </c>
      <c r="N20" s="461"/>
      <c r="O20" s="294"/>
      <c r="P20" s="294"/>
      <c r="Q20" s="294"/>
      <c r="R20" s="294">
        <v>1</v>
      </c>
      <c r="S20" s="295"/>
      <c r="T20" s="296"/>
      <c r="U20" s="297"/>
      <c r="V20" s="297"/>
      <c r="W20" s="297"/>
      <c r="X20" s="297"/>
      <c r="Y20" s="297"/>
      <c r="Z20" s="297"/>
      <c r="AA20" s="297"/>
      <c r="AB20" s="293"/>
      <c r="AC20" s="294"/>
      <c r="AD20" s="295"/>
      <c r="AE20" s="298"/>
      <c r="AF20" s="296"/>
      <c r="AG20" s="297"/>
      <c r="AH20" s="297"/>
      <c r="AI20" s="297"/>
      <c r="AJ20" s="297"/>
      <c r="AK20" s="297"/>
      <c r="AL20" s="297"/>
      <c r="AM20" s="297"/>
      <c r="AN20" s="300"/>
      <c r="AO20" s="301"/>
      <c r="AP20" s="301"/>
      <c r="AQ20" s="301"/>
      <c r="AR20" s="301"/>
      <c r="AS20" s="301"/>
      <c r="AT20" s="301"/>
      <c r="AU20" s="301"/>
      <c r="AV20" s="301"/>
      <c r="AW20" s="301"/>
      <c r="AX20" s="301"/>
      <c r="AY20" s="301"/>
      <c r="AZ20" s="301">
        <v>1500</v>
      </c>
      <c r="BA20" s="301"/>
      <c r="BB20" s="301"/>
      <c r="BC20" s="301"/>
      <c r="BD20" s="301"/>
      <c r="BE20" s="301"/>
      <c r="BF20" s="302"/>
      <c r="BG20" s="303"/>
      <c r="BH20" s="304"/>
      <c r="BI20" s="304"/>
      <c r="BJ20" s="304"/>
      <c r="BK20" s="304"/>
      <c r="BL20" s="304"/>
      <c r="BM20" s="304"/>
      <c r="BN20" s="304"/>
      <c r="BO20" s="304"/>
      <c r="BP20" s="304"/>
      <c r="BQ20" s="304"/>
      <c r="BR20" s="304"/>
      <c r="BS20" s="304">
        <v>10</v>
      </c>
      <c r="BT20" s="304"/>
      <c r="BU20" s="304"/>
      <c r="BV20" s="304"/>
      <c r="BW20" s="304"/>
      <c r="BX20" s="304"/>
      <c r="BY20" s="305"/>
      <c r="BZ20" s="306"/>
      <c r="CA20" s="307"/>
      <c r="CB20" s="307"/>
      <c r="CC20" s="307"/>
      <c r="CD20" s="307"/>
      <c r="CE20" s="307"/>
      <c r="CF20" s="307"/>
      <c r="CG20" s="332"/>
      <c r="CH20" s="328"/>
      <c r="CI20" s="328"/>
      <c r="CJ20" s="328">
        <v>2</v>
      </c>
      <c r="CK20" s="328"/>
      <c r="CL20" s="328"/>
      <c r="CM20" s="328"/>
      <c r="CN20" s="370"/>
      <c r="CO20" s="367"/>
      <c r="CP20" s="367"/>
      <c r="CQ20" s="367">
        <v>10</v>
      </c>
      <c r="CR20" s="367"/>
      <c r="CS20" s="387"/>
      <c r="CT20" s="398"/>
      <c r="CU20" s="399"/>
      <c r="CV20" s="399"/>
      <c r="CW20" s="399"/>
      <c r="CX20" s="399">
        <v>1</v>
      </c>
      <c r="CY20" s="399"/>
      <c r="CZ20" s="399"/>
      <c r="DA20" s="400"/>
      <c r="DB20" s="522">
        <v>1</v>
      </c>
    </row>
    <row r="21" spans="1:106" x14ac:dyDescent="0.25">
      <c r="A21" s="468" t="s">
        <v>100</v>
      </c>
      <c r="B21" s="468">
        <v>806</v>
      </c>
      <c r="C21" s="468" t="s">
        <v>3692</v>
      </c>
      <c r="D21" s="468">
        <v>2552</v>
      </c>
      <c r="E21" s="468" t="s">
        <v>518</v>
      </c>
      <c r="F21" s="468" t="s">
        <v>503</v>
      </c>
      <c r="G21" s="468" t="s">
        <v>520</v>
      </c>
      <c r="H21" s="468" t="s">
        <v>104</v>
      </c>
      <c r="I21" s="468" t="s">
        <v>105</v>
      </c>
      <c r="J21" s="468" t="s">
        <v>3153</v>
      </c>
      <c r="K21" s="468" t="s">
        <v>521</v>
      </c>
      <c r="L21" s="468" t="s">
        <v>3737</v>
      </c>
      <c r="M21" s="468" t="s">
        <v>3739</v>
      </c>
      <c r="N21" s="461"/>
      <c r="O21" s="294"/>
      <c r="P21" s="294"/>
      <c r="Q21" s="294"/>
      <c r="R21" s="294">
        <v>1</v>
      </c>
      <c r="S21" s="295"/>
      <c r="T21" s="296"/>
      <c r="U21" s="297"/>
      <c r="V21" s="297"/>
      <c r="W21" s="297"/>
      <c r="X21" s="297"/>
      <c r="Y21" s="297"/>
      <c r="Z21" s="297"/>
      <c r="AA21" s="297"/>
      <c r="AB21" s="293"/>
      <c r="AC21" s="294"/>
      <c r="AD21" s="295"/>
      <c r="AE21" s="298"/>
      <c r="AF21" s="296"/>
      <c r="AG21" s="297"/>
      <c r="AH21" s="297"/>
      <c r="AI21" s="297"/>
      <c r="AJ21" s="297"/>
      <c r="AK21" s="297"/>
      <c r="AL21" s="297"/>
      <c r="AM21" s="297"/>
      <c r="AN21" s="300"/>
      <c r="AO21" s="301"/>
      <c r="AP21" s="301"/>
      <c r="AQ21" s="301"/>
      <c r="AR21" s="301"/>
      <c r="AS21" s="301"/>
      <c r="AT21" s="301"/>
      <c r="AU21" s="301"/>
      <c r="AV21" s="301"/>
      <c r="AW21" s="301"/>
      <c r="AX21" s="301"/>
      <c r="AY21" s="301"/>
      <c r="AZ21" s="301">
        <v>1500</v>
      </c>
      <c r="BA21" s="301"/>
      <c r="BB21" s="301"/>
      <c r="BC21" s="301"/>
      <c r="BD21" s="301"/>
      <c r="BE21" s="301"/>
      <c r="BF21" s="302"/>
      <c r="BG21" s="303"/>
      <c r="BH21" s="304"/>
      <c r="BI21" s="304"/>
      <c r="BJ21" s="304"/>
      <c r="BK21" s="304"/>
      <c r="BL21" s="304"/>
      <c r="BM21" s="304"/>
      <c r="BN21" s="304"/>
      <c r="BO21" s="304"/>
      <c r="BP21" s="304"/>
      <c r="BQ21" s="304"/>
      <c r="BR21" s="304"/>
      <c r="BS21" s="304">
        <v>10</v>
      </c>
      <c r="BT21" s="304"/>
      <c r="BU21" s="304"/>
      <c r="BV21" s="304"/>
      <c r="BW21" s="304"/>
      <c r="BX21" s="304"/>
      <c r="BY21" s="305"/>
      <c r="BZ21" s="306"/>
      <c r="CA21" s="307"/>
      <c r="CB21" s="307"/>
      <c r="CC21" s="307"/>
      <c r="CD21" s="307"/>
      <c r="CE21" s="307"/>
      <c r="CF21" s="307"/>
      <c r="CG21" s="332"/>
      <c r="CH21" s="328"/>
      <c r="CI21" s="328"/>
      <c r="CJ21" s="328">
        <v>2</v>
      </c>
      <c r="CK21" s="328"/>
      <c r="CL21" s="328"/>
      <c r="CM21" s="328"/>
      <c r="CN21" s="370"/>
      <c r="CO21" s="367"/>
      <c r="CP21" s="367"/>
      <c r="CQ21" s="367">
        <v>10</v>
      </c>
      <c r="CR21" s="367"/>
      <c r="CS21" s="387"/>
      <c r="CT21" s="398"/>
      <c r="CU21" s="399"/>
      <c r="CV21" s="399"/>
      <c r="CW21" s="399"/>
      <c r="CX21" s="399">
        <v>1</v>
      </c>
      <c r="CY21" s="399"/>
      <c r="CZ21" s="399"/>
      <c r="DA21" s="400"/>
      <c r="DB21" s="522">
        <v>1</v>
      </c>
    </row>
    <row r="22" spans="1:106" x14ac:dyDescent="0.25">
      <c r="A22" s="468" t="s">
        <v>100</v>
      </c>
      <c r="B22" s="468">
        <v>806</v>
      </c>
      <c r="C22" s="468" t="s">
        <v>3695</v>
      </c>
      <c r="D22" s="468">
        <v>2557</v>
      </c>
      <c r="E22" s="468" t="s">
        <v>522</v>
      </c>
      <c r="F22" s="468" t="s">
        <v>523</v>
      </c>
      <c r="G22" s="468" t="s">
        <v>524</v>
      </c>
      <c r="H22" s="468" t="s">
        <v>104</v>
      </c>
      <c r="I22" s="468" t="s">
        <v>105</v>
      </c>
      <c r="J22" s="468" t="s">
        <v>3154</v>
      </c>
      <c r="K22" s="468" t="s">
        <v>525</v>
      </c>
      <c r="L22" s="468" t="s">
        <v>3737</v>
      </c>
      <c r="M22" s="468" t="s">
        <v>3739</v>
      </c>
      <c r="N22" s="461"/>
      <c r="O22" s="294"/>
      <c r="P22" s="294"/>
      <c r="Q22" s="294"/>
      <c r="R22" s="294">
        <v>1</v>
      </c>
      <c r="S22" s="295"/>
      <c r="T22" s="296"/>
      <c r="U22" s="297"/>
      <c r="V22" s="297"/>
      <c r="W22" s="297"/>
      <c r="X22" s="297"/>
      <c r="Y22" s="297"/>
      <c r="Z22" s="297"/>
      <c r="AA22" s="297"/>
      <c r="AB22" s="293"/>
      <c r="AC22" s="294"/>
      <c r="AD22" s="295"/>
      <c r="AE22" s="298"/>
      <c r="AF22" s="296"/>
      <c r="AG22" s="297"/>
      <c r="AH22" s="297"/>
      <c r="AI22" s="297"/>
      <c r="AJ22" s="297"/>
      <c r="AK22" s="297"/>
      <c r="AL22" s="297"/>
      <c r="AM22" s="297"/>
      <c r="AN22" s="300"/>
      <c r="AO22" s="301"/>
      <c r="AP22" s="301"/>
      <c r="AQ22" s="301"/>
      <c r="AR22" s="301"/>
      <c r="AS22" s="301"/>
      <c r="AT22" s="301"/>
      <c r="AU22" s="301"/>
      <c r="AV22" s="301"/>
      <c r="AW22" s="301"/>
      <c r="AX22" s="301"/>
      <c r="AY22" s="301"/>
      <c r="AZ22" s="301">
        <v>1500</v>
      </c>
      <c r="BA22" s="301"/>
      <c r="BB22" s="301"/>
      <c r="BC22" s="301"/>
      <c r="BD22" s="301"/>
      <c r="BE22" s="301"/>
      <c r="BF22" s="302"/>
      <c r="BG22" s="303"/>
      <c r="BH22" s="304"/>
      <c r="BI22" s="304"/>
      <c r="BJ22" s="304"/>
      <c r="BK22" s="304"/>
      <c r="BL22" s="304"/>
      <c r="BM22" s="304"/>
      <c r="BN22" s="304"/>
      <c r="BO22" s="304"/>
      <c r="BP22" s="304"/>
      <c r="BQ22" s="304"/>
      <c r="BR22" s="304"/>
      <c r="BS22" s="304">
        <v>10</v>
      </c>
      <c r="BT22" s="304"/>
      <c r="BU22" s="304"/>
      <c r="BV22" s="304"/>
      <c r="BW22" s="304"/>
      <c r="BX22" s="304"/>
      <c r="BY22" s="305"/>
      <c r="BZ22" s="306"/>
      <c r="CA22" s="307"/>
      <c r="CB22" s="307"/>
      <c r="CC22" s="307"/>
      <c r="CD22" s="307"/>
      <c r="CE22" s="307"/>
      <c r="CF22" s="307"/>
      <c r="CG22" s="332"/>
      <c r="CH22" s="328"/>
      <c r="CI22" s="328"/>
      <c r="CJ22" s="328">
        <v>2</v>
      </c>
      <c r="CK22" s="328"/>
      <c r="CL22" s="328"/>
      <c r="CM22" s="328"/>
      <c r="CN22" s="370"/>
      <c r="CO22" s="367"/>
      <c r="CP22" s="367"/>
      <c r="CQ22" s="367">
        <v>10</v>
      </c>
      <c r="CR22" s="367"/>
      <c r="CS22" s="387"/>
      <c r="CT22" s="398"/>
      <c r="CU22" s="399"/>
      <c r="CV22" s="399"/>
      <c r="CW22" s="399"/>
      <c r="CX22" s="399">
        <v>1</v>
      </c>
      <c r="CY22" s="399"/>
      <c r="CZ22" s="399"/>
      <c r="DA22" s="400"/>
      <c r="DB22" s="522">
        <v>1</v>
      </c>
    </row>
    <row r="23" spans="1:106" x14ac:dyDescent="0.25">
      <c r="A23" s="468" t="s">
        <v>222</v>
      </c>
      <c r="B23" s="468">
        <v>830</v>
      </c>
      <c r="C23" s="468" t="s">
        <v>3335</v>
      </c>
      <c r="D23" s="468">
        <v>1016</v>
      </c>
      <c r="E23" s="468" t="s">
        <v>626</v>
      </c>
      <c r="F23" s="468" t="s">
        <v>607</v>
      </c>
      <c r="G23" s="468" t="s">
        <v>627</v>
      </c>
      <c r="H23" s="468" t="s">
        <v>225</v>
      </c>
      <c r="I23" s="468" t="s">
        <v>220</v>
      </c>
      <c r="J23" s="468" t="s">
        <v>3321</v>
      </c>
      <c r="K23" s="468" t="s">
        <v>628</v>
      </c>
      <c r="L23" s="468" t="s">
        <v>3737</v>
      </c>
      <c r="M23" s="468" t="s">
        <v>3739</v>
      </c>
      <c r="N23" s="461"/>
      <c r="O23" s="294"/>
      <c r="P23" s="294"/>
      <c r="Q23" s="294"/>
      <c r="R23" s="294"/>
      <c r="S23" s="295"/>
      <c r="T23" s="299"/>
      <c r="U23" s="297"/>
      <c r="V23" s="297"/>
      <c r="W23" s="297">
        <v>2</v>
      </c>
      <c r="X23" s="297"/>
      <c r="Y23" s="297"/>
      <c r="Z23" s="297"/>
      <c r="AA23" s="297"/>
      <c r="AB23" s="293"/>
      <c r="AC23" s="294"/>
      <c r="AD23" s="295"/>
      <c r="AE23" s="298"/>
      <c r="AF23" s="296"/>
      <c r="AG23" s="297"/>
      <c r="AH23" s="297"/>
      <c r="AI23" s="297"/>
      <c r="AJ23" s="297"/>
      <c r="AK23" s="297"/>
      <c r="AL23" s="297"/>
      <c r="AM23" s="297"/>
      <c r="AN23" s="300"/>
      <c r="AO23" s="301"/>
      <c r="AP23" s="301"/>
      <c r="AQ23" s="301"/>
      <c r="AR23" s="301"/>
      <c r="AS23" s="301"/>
      <c r="AT23" s="301"/>
      <c r="AU23" s="301"/>
      <c r="AV23" s="301"/>
      <c r="AW23" s="301"/>
      <c r="AX23" s="301"/>
      <c r="AY23" s="301"/>
      <c r="AZ23" s="301">
        <v>1500</v>
      </c>
      <c r="BA23" s="301"/>
      <c r="BB23" s="301"/>
      <c r="BC23" s="301"/>
      <c r="BD23" s="301"/>
      <c r="BE23" s="301"/>
      <c r="BF23" s="302"/>
      <c r="BG23" s="303"/>
      <c r="BH23" s="304"/>
      <c r="BI23" s="304"/>
      <c r="BJ23" s="304"/>
      <c r="BK23" s="304"/>
      <c r="BL23" s="304"/>
      <c r="BM23" s="304"/>
      <c r="BN23" s="304"/>
      <c r="BO23" s="304"/>
      <c r="BP23" s="304"/>
      <c r="BQ23" s="304"/>
      <c r="BR23" s="304"/>
      <c r="BS23" s="304">
        <v>10</v>
      </c>
      <c r="BT23" s="304"/>
      <c r="BU23" s="304"/>
      <c r="BV23" s="304"/>
      <c r="BW23" s="304"/>
      <c r="BX23" s="304"/>
      <c r="BY23" s="305"/>
      <c r="BZ23" s="306"/>
      <c r="CA23" s="307"/>
      <c r="CB23" s="307"/>
      <c r="CC23" s="307"/>
      <c r="CD23" s="307"/>
      <c r="CE23" s="307"/>
      <c r="CF23" s="307"/>
      <c r="CG23" s="332"/>
      <c r="CH23" s="328"/>
      <c r="CI23" s="328"/>
      <c r="CJ23" s="328">
        <v>2</v>
      </c>
      <c r="CK23" s="328"/>
      <c r="CL23" s="328"/>
      <c r="CM23" s="328"/>
      <c r="CN23" s="370"/>
      <c r="CO23" s="367"/>
      <c r="CP23" s="367"/>
      <c r="CQ23" s="367">
        <v>10</v>
      </c>
      <c r="CR23" s="367"/>
      <c r="CS23" s="387"/>
      <c r="CT23" s="398"/>
      <c r="CU23" s="399"/>
      <c r="CV23" s="399"/>
      <c r="CW23" s="399"/>
      <c r="CX23" s="399">
        <v>1</v>
      </c>
      <c r="CY23" s="399"/>
      <c r="CZ23" s="399"/>
      <c r="DA23" s="400"/>
      <c r="DB23" s="522">
        <v>1</v>
      </c>
    </row>
    <row r="24" spans="1:106" x14ac:dyDescent="0.25">
      <c r="A24" s="468" t="s">
        <v>222</v>
      </c>
      <c r="B24" s="468">
        <v>830</v>
      </c>
      <c r="C24" s="468" t="s">
        <v>3344</v>
      </c>
      <c r="D24" s="468">
        <v>1034</v>
      </c>
      <c r="E24" s="468" t="s">
        <v>629</v>
      </c>
      <c r="F24" s="468" t="s">
        <v>630</v>
      </c>
      <c r="G24" s="468" t="s">
        <v>631</v>
      </c>
      <c r="H24" s="468" t="s">
        <v>632</v>
      </c>
      <c r="I24" s="468" t="s">
        <v>220</v>
      </c>
      <c r="J24" s="468" t="s">
        <v>3345</v>
      </c>
      <c r="K24" s="468" t="s">
        <v>633</v>
      </c>
      <c r="L24" s="468" t="s">
        <v>3737</v>
      </c>
      <c r="M24" s="468" t="s">
        <v>3739</v>
      </c>
      <c r="N24" s="461"/>
      <c r="O24" s="294"/>
      <c r="P24" s="294"/>
      <c r="Q24" s="294"/>
      <c r="R24" s="294">
        <v>2</v>
      </c>
      <c r="S24" s="295"/>
      <c r="T24" s="299"/>
      <c r="U24" s="297"/>
      <c r="V24" s="297"/>
      <c r="W24" s="297"/>
      <c r="X24" s="297"/>
      <c r="Y24" s="297"/>
      <c r="Z24" s="297"/>
      <c r="AA24" s="297"/>
      <c r="AB24" s="293"/>
      <c r="AC24" s="294"/>
      <c r="AD24" s="295"/>
      <c r="AE24" s="298"/>
      <c r="AF24" s="296"/>
      <c r="AG24" s="297"/>
      <c r="AH24" s="297"/>
      <c r="AI24" s="297"/>
      <c r="AJ24" s="297"/>
      <c r="AK24" s="297"/>
      <c r="AL24" s="297"/>
      <c r="AM24" s="297"/>
      <c r="AN24" s="300"/>
      <c r="AO24" s="301"/>
      <c r="AP24" s="301"/>
      <c r="AQ24" s="301"/>
      <c r="AR24" s="301"/>
      <c r="AS24" s="301"/>
      <c r="AT24" s="301"/>
      <c r="AU24" s="301"/>
      <c r="AV24" s="301"/>
      <c r="AW24" s="301"/>
      <c r="AX24" s="301"/>
      <c r="AY24" s="301"/>
      <c r="AZ24" s="301">
        <v>1500</v>
      </c>
      <c r="BA24" s="301"/>
      <c r="BB24" s="301"/>
      <c r="BC24" s="301"/>
      <c r="BD24" s="301"/>
      <c r="BE24" s="301"/>
      <c r="BF24" s="302"/>
      <c r="BG24" s="303"/>
      <c r="BH24" s="304"/>
      <c r="BI24" s="304"/>
      <c r="BJ24" s="304"/>
      <c r="BK24" s="304"/>
      <c r="BL24" s="304"/>
      <c r="BM24" s="304"/>
      <c r="BN24" s="304"/>
      <c r="BO24" s="304"/>
      <c r="BP24" s="304"/>
      <c r="BQ24" s="304"/>
      <c r="BR24" s="304"/>
      <c r="BS24" s="304">
        <v>10</v>
      </c>
      <c r="BT24" s="304"/>
      <c r="BU24" s="304"/>
      <c r="BV24" s="304"/>
      <c r="BW24" s="304"/>
      <c r="BX24" s="304"/>
      <c r="BY24" s="305"/>
      <c r="BZ24" s="306"/>
      <c r="CA24" s="307"/>
      <c r="CB24" s="307"/>
      <c r="CC24" s="307"/>
      <c r="CD24" s="307"/>
      <c r="CE24" s="307"/>
      <c r="CF24" s="307"/>
      <c r="CG24" s="332"/>
      <c r="CH24" s="328"/>
      <c r="CI24" s="328"/>
      <c r="CJ24" s="328">
        <v>2</v>
      </c>
      <c r="CK24" s="328"/>
      <c r="CL24" s="328"/>
      <c r="CM24" s="328"/>
      <c r="CN24" s="370"/>
      <c r="CO24" s="367"/>
      <c r="CP24" s="367"/>
      <c r="CQ24" s="367">
        <v>10</v>
      </c>
      <c r="CR24" s="367"/>
      <c r="CS24" s="387"/>
      <c r="CT24" s="398"/>
      <c r="CU24" s="399"/>
      <c r="CV24" s="399"/>
      <c r="CW24" s="399"/>
      <c r="CX24" s="399">
        <v>1</v>
      </c>
      <c r="CY24" s="399"/>
      <c r="CZ24" s="399"/>
      <c r="DA24" s="400"/>
      <c r="DB24" s="522">
        <v>1</v>
      </c>
    </row>
    <row r="25" spans="1:106" x14ac:dyDescent="0.25">
      <c r="A25" s="468" t="s">
        <v>222</v>
      </c>
      <c r="B25" s="468">
        <v>830</v>
      </c>
      <c r="C25" s="468" t="s">
        <v>3346</v>
      </c>
      <c r="D25" s="468">
        <v>1035</v>
      </c>
      <c r="E25" s="468" t="s">
        <v>634</v>
      </c>
      <c r="F25" s="468" t="s">
        <v>635</v>
      </c>
      <c r="G25" s="468" t="s">
        <v>636</v>
      </c>
      <c r="H25" s="468" t="s">
        <v>225</v>
      </c>
      <c r="I25" s="468" t="s">
        <v>220</v>
      </c>
      <c r="J25" s="468" t="s">
        <v>3347</v>
      </c>
      <c r="K25" s="468" t="s">
        <v>637</v>
      </c>
      <c r="L25" s="468" t="s">
        <v>3737</v>
      </c>
      <c r="M25" s="468" t="s">
        <v>3739</v>
      </c>
      <c r="N25" s="461"/>
      <c r="O25" s="294"/>
      <c r="P25" s="294"/>
      <c r="Q25" s="294"/>
      <c r="R25" s="294">
        <v>1</v>
      </c>
      <c r="S25" s="295"/>
      <c r="T25" s="299"/>
      <c r="U25" s="297"/>
      <c r="V25" s="297"/>
      <c r="W25" s="297"/>
      <c r="X25" s="297"/>
      <c r="Y25" s="297"/>
      <c r="Z25" s="297"/>
      <c r="AA25" s="297"/>
      <c r="AB25" s="293"/>
      <c r="AC25" s="294"/>
      <c r="AD25" s="295"/>
      <c r="AE25" s="298"/>
      <c r="AF25" s="296"/>
      <c r="AG25" s="297"/>
      <c r="AH25" s="297"/>
      <c r="AI25" s="297"/>
      <c r="AJ25" s="297"/>
      <c r="AK25" s="297"/>
      <c r="AL25" s="297"/>
      <c r="AM25" s="297"/>
      <c r="AN25" s="300"/>
      <c r="AO25" s="301"/>
      <c r="AP25" s="301"/>
      <c r="AQ25" s="301"/>
      <c r="AR25" s="301"/>
      <c r="AS25" s="301"/>
      <c r="AT25" s="301"/>
      <c r="AU25" s="301"/>
      <c r="AV25" s="301"/>
      <c r="AW25" s="301"/>
      <c r="AX25" s="301"/>
      <c r="AY25" s="301"/>
      <c r="AZ25" s="301">
        <v>1500</v>
      </c>
      <c r="BA25" s="301"/>
      <c r="BB25" s="301"/>
      <c r="BC25" s="301"/>
      <c r="BD25" s="301"/>
      <c r="BE25" s="301"/>
      <c r="BF25" s="302"/>
      <c r="BG25" s="303"/>
      <c r="BH25" s="304"/>
      <c r="BI25" s="304"/>
      <c r="BJ25" s="304"/>
      <c r="BK25" s="304"/>
      <c r="BL25" s="304"/>
      <c r="BM25" s="304"/>
      <c r="BN25" s="304"/>
      <c r="BO25" s="304"/>
      <c r="BP25" s="304"/>
      <c r="BQ25" s="304"/>
      <c r="BR25" s="304"/>
      <c r="BS25" s="304">
        <v>10</v>
      </c>
      <c r="BT25" s="304"/>
      <c r="BU25" s="304"/>
      <c r="BV25" s="304"/>
      <c r="BW25" s="304"/>
      <c r="BX25" s="304"/>
      <c r="BY25" s="305"/>
      <c r="BZ25" s="306"/>
      <c r="CA25" s="307"/>
      <c r="CB25" s="307"/>
      <c r="CC25" s="307"/>
      <c r="CD25" s="307"/>
      <c r="CE25" s="307"/>
      <c r="CF25" s="307"/>
      <c r="CG25" s="332"/>
      <c r="CH25" s="328"/>
      <c r="CI25" s="328"/>
      <c r="CJ25" s="328">
        <v>2</v>
      </c>
      <c r="CK25" s="328"/>
      <c r="CL25" s="328"/>
      <c r="CM25" s="328"/>
      <c r="CN25" s="370"/>
      <c r="CO25" s="367"/>
      <c r="CP25" s="367"/>
      <c r="CQ25" s="367">
        <v>10</v>
      </c>
      <c r="CR25" s="367"/>
      <c r="CS25" s="387"/>
      <c r="CT25" s="398"/>
      <c r="CU25" s="399"/>
      <c r="CV25" s="399"/>
      <c r="CW25" s="399"/>
      <c r="CX25" s="399">
        <v>1</v>
      </c>
      <c r="CY25" s="399"/>
      <c r="CZ25" s="399"/>
      <c r="DA25" s="400"/>
      <c r="DB25" s="522">
        <v>1</v>
      </c>
    </row>
    <row r="26" spans="1:106" x14ac:dyDescent="0.25">
      <c r="A26" s="468" t="s">
        <v>222</v>
      </c>
      <c r="B26" s="468">
        <v>830</v>
      </c>
      <c r="C26" s="468" t="s">
        <v>3350</v>
      </c>
      <c r="D26" s="468">
        <v>1038</v>
      </c>
      <c r="E26" s="468" t="s">
        <v>638</v>
      </c>
      <c r="F26" s="468" t="s">
        <v>639</v>
      </c>
      <c r="G26" s="468" t="s">
        <v>640</v>
      </c>
      <c r="H26" s="468" t="s">
        <v>225</v>
      </c>
      <c r="I26" s="468" t="s">
        <v>220</v>
      </c>
      <c r="J26" s="468" t="s">
        <v>3351</v>
      </c>
      <c r="K26" s="468" t="s">
        <v>641</v>
      </c>
      <c r="L26" s="468" t="s">
        <v>3737</v>
      </c>
      <c r="M26" s="468" t="s">
        <v>3739</v>
      </c>
      <c r="N26" s="461"/>
      <c r="O26" s="294"/>
      <c r="P26" s="294"/>
      <c r="Q26" s="294"/>
      <c r="R26" s="294">
        <v>2</v>
      </c>
      <c r="S26" s="295"/>
      <c r="T26" s="299"/>
      <c r="U26" s="297"/>
      <c r="V26" s="297"/>
      <c r="W26" s="297"/>
      <c r="X26" s="297"/>
      <c r="Y26" s="297"/>
      <c r="Z26" s="297"/>
      <c r="AA26" s="297"/>
      <c r="AB26" s="293"/>
      <c r="AC26" s="294"/>
      <c r="AD26" s="295"/>
      <c r="AE26" s="298"/>
      <c r="AF26" s="296"/>
      <c r="AG26" s="297"/>
      <c r="AH26" s="297"/>
      <c r="AI26" s="297"/>
      <c r="AJ26" s="297"/>
      <c r="AK26" s="297"/>
      <c r="AL26" s="297"/>
      <c r="AM26" s="297"/>
      <c r="AN26" s="300"/>
      <c r="AO26" s="301"/>
      <c r="AP26" s="301"/>
      <c r="AQ26" s="301"/>
      <c r="AR26" s="301"/>
      <c r="AS26" s="301"/>
      <c r="AT26" s="301"/>
      <c r="AU26" s="301"/>
      <c r="AV26" s="301"/>
      <c r="AW26" s="301"/>
      <c r="AX26" s="301"/>
      <c r="AY26" s="301"/>
      <c r="AZ26" s="301">
        <v>1500</v>
      </c>
      <c r="BA26" s="301"/>
      <c r="BB26" s="301"/>
      <c r="BC26" s="301"/>
      <c r="BD26" s="301"/>
      <c r="BE26" s="301"/>
      <c r="BF26" s="302"/>
      <c r="BG26" s="303"/>
      <c r="BH26" s="304"/>
      <c r="BI26" s="304"/>
      <c r="BJ26" s="304"/>
      <c r="BK26" s="304"/>
      <c r="BL26" s="304"/>
      <c r="BM26" s="304"/>
      <c r="BN26" s="304"/>
      <c r="BO26" s="304"/>
      <c r="BP26" s="304"/>
      <c r="BQ26" s="304"/>
      <c r="BR26" s="304"/>
      <c r="BS26" s="304">
        <v>10</v>
      </c>
      <c r="BT26" s="304"/>
      <c r="BU26" s="304"/>
      <c r="BV26" s="304"/>
      <c r="BW26" s="304"/>
      <c r="BX26" s="304"/>
      <c r="BY26" s="305"/>
      <c r="BZ26" s="306"/>
      <c r="CA26" s="307"/>
      <c r="CB26" s="307"/>
      <c r="CC26" s="307"/>
      <c r="CD26" s="307"/>
      <c r="CE26" s="307"/>
      <c r="CF26" s="307"/>
      <c r="CG26" s="332"/>
      <c r="CH26" s="328"/>
      <c r="CI26" s="328"/>
      <c r="CJ26" s="328">
        <v>2</v>
      </c>
      <c r="CK26" s="328"/>
      <c r="CL26" s="328"/>
      <c r="CM26" s="328"/>
      <c r="CN26" s="370"/>
      <c r="CO26" s="367"/>
      <c r="CP26" s="367"/>
      <c r="CQ26" s="367">
        <v>10</v>
      </c>
      <c r="CR26" s="367"/>
      <c r="CS26" s="387"/>
      <c r="CT26" s="398"/>
      <c r="CU26" s="399"/>
      <c r="CV26" s="399"/>
      <c r="CW26" s="399"/>
      <c r="CX26" s="399">
        <v>1</v>
      </c>
      <c r="CY26" s="399"/>
      <c r="CZ26" s="399"/>
      <c r="DA26" s="400"/>
      <c r="DB26" s="522">
        <v>1</v>
      </c>
    </row>
    <row r="27" spans="1:106" x14ac:dyDescent="0.25">
      <c r="A27" s="468" t="s">
        <v>222</v>
      </c>
      <c r="B27" s="468">
        <v>830</v>
      </c>
      <c r="C27" s="468" t="s">
        <v>3366</v>
      </c>
      <c r="D27" s="468">
        <v>1058</v>
      </c>
      <c r="E27" s="468" t="s">
        <v>656</v>
      </c>
      <c r="F27" s="468" t="s">
        <v>3014</v>
      </c>
      <c r="G27" s="468" t="s">
        <v>658</v>
      </c>
      <c r="H27" s="468" t="s">
        <v>225</v>
      </c>
      <c r="I27" s="468" t="s">
        <v>220</v>
      </c>
      <c r="J27" s="468" t="s">
        <v>3319</v>
      </c>
      <c r="K27" s="468" t="s">
        <v>659</v>
      </c>
      <c r="L27" s="468" t="s">
        <v>3737</v>
      </c>
      <c r="M27" s="468" t="s">
        <v>3739</v>
      </c>
      <c r="N27" s="461"/>
      <c r="O27" s="294"/>
      <c r="P27" s="294"/>
      <c r="Q27" s="294"/>
      <c r="R27" s="294">
        <v>2</v>
      </c>
      <c r="S27" s="295"/>
      <c r="T27" s="299"/>
      <c r="U27" s="297"/>
      <c r="V27" s="297"/>
      <c r="W27" s="297"/>
      <c r="X27" s="297"/>
      <c r="Y27" s="297"/>
      <c r="Z27" s="297"/>
      <c r="AA27" s="297"/>
      <c r="AB27" s="293"/>
      <c r="AC27" s="294"/>
      <c r="AD27" s="295"/>
      <c r="AE27" s="298"/>
      <c r="AF27" s="296"/>
      <c r="AG27" s="297"/>
      <c r="AH27" s="297"/>
      <c r="AI27" s="297"/>
      <c r="AJ27" s="297"/>
      <c r="AK27" s="297"/>
      <c r="AL27" s="297"/>
      <c r="AM27" s="297"/>
      <c r="AN27" s="300"/>
      <c r="AO27" s="301"/>
      <c r="AP27" s="301"/>
      <c r="AQ27" s="301"/>
      <c r="AR27" s="301"/>
      <c r="AS27" s="301"/>
      <c r="AT27" s="301"/>
      <c r="AU27" s="301"/>
      <c r="AV27" s="301"/>
      <c r="AW27" s="301"/>
      <c r="AX27" s="301"/>
      <c r="AY27" s="301"/>
      <c r="AZ27" s="301">
        <v>1500</v>
      </c>
      <c r="BA27" s="301"/>
      <c r="BB27" s="301"/>
      <c r="BC27" s="301"/>
      <c r="BD27" s="301"/>
      <c r="BE27" s="301"/>
      <c r="BF27" s="302"/>
      <c r="BG27" s="303"/>
      <c r="BH27" s="304"/>
      <c r="BI27" s="304"/>
      <c r="BJ27" s="304"/>
      <c r="BK27" s="304"/>
      <c r="BL27" s="304"/>
      <c r="BM27" s="304"/>
      <c r="BN27" s="304"/>
      <c r="BO27" s="304"/>
      <c r="BP27" s="304"/>
      <c r="BQ27" s="304"/>
      <c r="BR27" s="304"/>
      <c r="BS27" s="304">
        <v>10</v>
      </c>
      <c r="BT27" s="304"/>
      <c r="BU27" s="304"/>
      <c r="BV27" s="304"/>
      <c r="BW27" s="304"/>
      <c r="BX27" s="304"/>
      <c r="BY27" s="305"/>
      <c r="BZ27" s="306"/>
      <c r="CA27" s="307"/>
      <c r="CB27" s="307"/>
      <c r="CC27" s="307"/>
      <c r="CD27" s="307"/>
      <c r="CE27" s="307"/>
      <c r="CF27" s="307"/>
      <c r="CG27" s="332"/>
      <c r="CH27" s="328"/>
      <c r="CI27" s="328"/>
      <c r="CJ27" s="328">
        <v>2</v>
      </c>
      <c r="CK27" s="328"/>
      <c r="CL27" s="328"/>
      <c r="CM27" s="328"/>
      <c r="CN27" s="370"/>
      <c r="CO27" s="367"/>
      <c r="CP27" s="367"/>
      <c r="CQ27" s="367">
        <v>10</v>
      </c>
      <c r="CR27" s="367"/>
      <c r="CS27" s="387"/>
      <c r="CT27" s="398"/>
      <c r="CU27" s="399"/>
      <c r="CV27" s="399"/>
      <c r="CW27" s="399"/>
      <c r="CX27" s="399">
        <v>1</v>
      </c>
      <c r="CY27" s="399"/>
      <c r="CZ27" s="399"/>
      <c r="DA27" s="400"/>
      <c r="DB27" s="522">
        <v>1</v>
      </c>
    </row>
    <row r="28" spans="1:106" x14ac:dyDescent="0.25">
      <c r="A28" s="468" t="s">
        <v>227</v>
      </c>
      <c r="B28" s="468">
        <v>830</v>
      </c>
      <c r="C28" s="468" t="s">
        <v>3332</v>
      </c>
      <c r="D28" s="468">
        <v>1013</v>
      </c>
      <c r="E28" s="468" t="s">
        <v>668</v>
      </c>
      <c r="F28" s="468" t="s">
        <v>661</v>
      </c>
      <c r="G28" s="468" t="s">
        <v>669</v>
      </c>
      <c r="H28" s="468" t="s">
        <v>663</v>
      </c>
      <c r="I28" s="468" t="s">
        <v>220</v>
      </c>
      <c r="J28" s="468" t="s">
        <v>3333</v>
      </c>
      <c r="K28" s="468" t="s">
        <v>670</v>
      </c>
      <c r="L28" s="468" t="s">
        <v>3737</v>
      </c>
      <c r="M28" s="468" t="s">
        <v>3739</v>
      </c>
      <c r="N28" s="461"/>
      <c r="O28" s="294"/>
      <c r="P28" s="294"/>
      <c r="Q28" s="294"/>
      <c r="R28" s="294"/>
      <c r="S28" s="295"/>
      <c r="T28" s="299"/>
      <c r="U28" s="297"/>
      <c r="V28" s="297"/>
      <c r="W28" s="297">
        <v>2</v>
      </c>
      <c r="X28" s="297"/>
      <c r="Y28" s="297"/>
      <c r="Z28" s="297"/>
      <c r="AA28" s="297"/>
      <c r="AB28" s="293"/>
      <c r="AC28" s="294"/>
      <c r="AD28" s="295"/>
      <c r="AE28" s="298"/>
      <c r="AF28" s="296"/>
      <c r="AG28" s="297"/>
      <c r="AH28" s="297"/>
      <c r="AI28" s="297"/>
      <c r="AJ28" s="297"/>
      <c r="AK28" s="297"/>
      <c r="AL28" s="297"/>
      <c r="AM28" s="297"/>
      <c r="AN28" s="300"/>
      <c r="AO28" s="301"/>
      <c r="AP28" s="301"/>
      <c r="AQ28" s="301"/>
      <c r="AR28" s="301"/>
      <c r="AS28" s="301"/>
      <c r="AT28" s="301"/>
      <c r="AU28" s="301"/>
      <c r="AV28" s="301"/>
      <c r="AW28" s="301"/>
      <c r="AX28" s="301"/>
      <c r="AY28" s="301"/>
      <c r="AZ28" s="301">
        <v>1500</v>
      </c>
      <c r="BA28" s="301"/>
      <c r="BB28" s="301"/>
      <c r="BC28" s="301"/>
      <c r="BD28" s="301"/>
      <c r="BE28" s="301"/>
      <c r="BF28" s="302"/>
      <c r="BG28" s="303"/>
      <c r="BH28" s="304"/>
      <c r="BI28" s="304"/>
      <c r="BJ28" s="304"/>
      <c r="BK28" s="304"/>
      <c r="BL28" s="304"/>
      <c r="BM28" s="304"/>
      <c r="BN28" s="304"/>
      <c r="BO28" s="304"/>
      <c r="BP28" s="304"/>
      <c r="BQ28" s="304"/>
      <c r="BR28" s="304"/>
      <c r="BS28" s="304">
        <v>10</v>
      </c>
      <c r="BT28" s="304"/>
      <c r="BU28" s="304"/>
      <c r="BV28" s="304"/>
      <c r="BW28" s="304"/>
      <c r="BX28" s="304"/>
      <c r="BY28" s="305"/>
      <c r="BZ28" s="306"/>
      <c r="CA28" s="307"/>
      <c r="CB28" s="307"/>
      <c r="CC28" s="307"/>
      <c r="CD28" s="307"/>
      <c r="CE28" s="307"/>
      <c r="CF28" s="307"/>
      <c r="CG28" s="332"/>
      <c r="CH28" s="328"/>
      <c r="CI28" s="328"/>
      <c r="CJ28" s="328">
        <v>2</v>
      </c>
      <c r="CK28" s="328"/>
      <c r="CL28" s="328"/>
      <c r="CM28" s="328"/>
      <c r="CN28" s="370"/>
      <c r="CO28" s="367"/>
      <c r="CP28" s="367"/>
      <c r="CQ28" s="367">
        <v>10</v>
      </c>
      <c r="CR28" s="367"/>
      <c r="CS28" s="387"/>
      <c r="CT28" s="398"/>
      <c r="CU28" s="399"/>
      <c r="CV28" s="399"/>
      <c r="CW28" s="399"/>
      <c r="CX28" s="399">
        <v>1</v>
      </c>
      <c r="CY28" s="399"/>
      <c r="CZ28" s="399"/>
      <c r="DA28" s="400"/>
      <c r="DB28" s="522">
        <v>1</v>
      </c>
    </row>
    <row r="29" spans="1:106" x14ac:dyDescent="0.25">
      <c r="A29" s="468" t="s">
        <v>227</v>
      </c>
      <c r="B29" s="468">
        <v>830</v>
      </c>
      <c r="C29" s="468" t="s">
        <v>3336</v>
      </c>
      <c r="D29" s="468">
        <v>1018</v>
      </c>
      <c r="E29" s="468" t="s">
        <v>671</v>
      </c>
      <c r="F29" s="468" t="s">
        <v>672</v>
      </c>
      <c r="G29" s="468" t="s">
        <v>673</v>
      </c>
      <c r="H29" s="468" t="s">
        <v>674</v>
      </c>
      <c r="I29" s="468" t="s">
        <v>220</v>
      </c>
      <c r="J29" s="468" t="s">
        <v>3337</v>
      </c>
      <c r="K29" s="468" t="s">
        <v>675</v>
      </c>
      <c r="L29" s="468" t="s">
        <v>3737</v>
      </c>
      <c r="M29" s="468" t="s">
        <v>3739</v>
      </c>
      <c r="N29" s="461"/>
      <c r="O29" s="294"/>
      <c r="P29" s="294"/>
      <c r="Q29" s="294"/>
      <c r="R29" s="294">
        <v>2</v>
      </c>
      <c r="S29" s="295"/>
      <c r="T29" s="299"/>
      <c r="U29" s="297"/>
      <c r="V29" s="297"/>
      <c r="W29" s="297"/>
      <c r="X29" s="297"/>
      <c r="Y29" s="297"/>
      <c r="Z29" s="297"/>
      <c r="AA29" s="297"/>
      <c r="AB29" s="293"/>
      <c r="AC29" s="294"/>
      <c r="AD29" s="295"/>
      <c r="AE29" s="298"/>
      <c r="AF29" s="296"/>
      <c r="AG29" s="297"/>
      <c r="AH29" s="297"/>
      <c r="AI29" s="297"/>
      <c r="AJ29" s="297"/>
      <c r="AK29" s="297"/>
      <c r="AL29" s="297"/>
      <c r="AM29" s="297"/>
      <c r="AN29" s="300"/>
      <c r="AO29" s="301"/>
      <c r="AP29" s="301"/>
      <c r="AQ29" s="301"/>
      <c r="AR29" s="301"/>
      <c r="AS29" s="301"/>
      <c r="AT29" s="301"/>
      <c r="AU29" s="301"/>
      <c r="AV29" s="301"/>
      <c r="AW29" s="301"/>
      <c r="AX29" s="301"/>
      <c r="AY29" s="301"/>
      <c r="AZ29" s="301">
        <v>1500</v>
      </c>
      <c r="BA29" s="301"/>
      <c r="BB29" s="301"/>
      <c r="BC29" s="301"/>
      <c r="BD29" s="301"/>
      <c r="BE29" s="301"/>
      <c r="BF29" s="302"/>
      <c r="BG29" s="303"/>
      <c r="BH29" s="304"/>
      <c r="BI29" s="304"/>
      <c r="BJ29" s="304"/>
      <c r="BK29" s="304"/>
      <c r="BL29" s="304"/>
      <c r="BM29" s="304"/>
      <c r="BN29" s="304"/>
      <c r="BO29" s="304"/>
      <c r="BP29" s="304"/>
      <c r="BQ29" s="304"/>
      <c r="BR29" s="304"/>
      <c r="BS29" s="304">
        <v>10</v>
      </c>
      <c r="BT29" s="304"/>
      <c r="BU29" s="304"/>
      <c r="BV29" s="304"/>
      <c r="BW29" s="304"/>
      <c r="BX29" s="304"/>
      <c r="BY29" s="305"/>
      <c r="BZ29" s="306"/>
      <c r="CA29" s="307"/>
      <c r="CB29" s="307"/>
      <c r="CC29" s="307"/>
      <c r="CD29" s="307"/>
      <c r="CE29" s="307"/>
      <c r="CF29" s="307"/>
      <c r="CG29" s="332"/>
      <c r="CH29" s="328"/>
      <c r="CI29" s="328"/>
      <c r="CJ29" s="328">
        <v>2</v>
      </c>
      <c r="CK29" s="328"/>
      <c r="CL29" s="328"/>
      <c r="CM29" s="328"/>
      <c r="CN29" s="370"/>
      <c r="CO29" s="367"/>
      <c r="CP29" s="367"/>
      <c r="CQ29" s="367">
        <v>10</v>
      </c>
      <c r="CR29" s="367"/>
      <c r="CS29" s="387"/>
      <c r="CT29" s="398"/>
      <c r="CU29" s="399"/>
      <c r="CV29" s="399"/>
      <c r="CW29" s="399"/>
      <c r="CX29" s="399">
        <v>1</v>
      </c>
      <c r="CY29" s="399"/>
      <c r="CZ29" s="399"/>
      <c r="DA29" s="400"/>
      <c r="DB29" s="522">
        <v>1</v>
      </c>
    </row>
    <row r="30" spans="1:106" x14ac:dyDescent="0.25">
      <c r="A30" s="468" t="s">
        <v>227</v>
      </c>
      <c r="B30" s="468">
        <v>830</v>
      </c>
      <c r="C30" s="468" t="s">
        <v>3340</v>
      </c>
      <c r="D30" s="468">
        <v>1027</v>
      </c>
      <c r="E30" s="468" t="s">
        <v>676</v>
      </c>
      <c r="F30" s="468" t="s">
        <v>677</v>
      </c>
      <c r="G30" s="468" t="s">
        <v>678</v>
      </c>
      <c r="H30" s="468" t="s">
        <v>679</v>
      </c>
      <c r="I30" s="468" t="s">
        <v>220</v>
      </c>
      <c r="J30" s="468" t="s">
        <v>3341</v>
      </c>
      <c r="K30" s="468" t="s">
        <v>680</v>
      </c>
      <c r="L30" s="468" t="s">
        <v>3737</v>
      </c>
      <c r="M30" s="468" t="s">
        <v>3739</v>
      </c>
      <c r="N30" s="461"/>
      <c r="O30" s="294"/>
      <c r="P30" s="294"/>
      <c r="Q30" s="294"/>
      <c r="R30" s="294">
        <v>2</v>
      </c>
      <c r="S30" s="295"/>
      <c r="T30" s="299"/>
      <c r="U30" s="297"/>
      <c r="V30" s="297"/>
      <c r="W30" s="297"/>
      <c r="X30" s="297"/>
      <c r="Y30" s="297"/>
      <c r="Z30" s="297"/>
      <c r="AA30" s="297"/>
      <c r="AB30" s="293"/>
      <c r="AC30" s="294"/>
      <c r="AD30" s="295"/>
      <c r="AE30" s="298"/>
      <c r="AF30" s="296"/>
      <c r="AG30" s="297"/>
      <c r="AH30" s="297"/>
      <c r="AI30" s="297"/>
      <c r="AJ30" s="297"/>
      <c r="AK30" s="297"/>
      <c r="AL30" s="297"/>
      <c r="AM30" s="297"/>
      <c r="AN30" s="300"/>
      <c r="AO30" s="301"/>
      <c r="AP30" s="301"/>
      <c r="AQ30" s="301"/>
      <c r="AR30" s="301"/>
      <c r="AS30" s="301"/>
      <c r="AT30" s="301"/>
      <c r="AU30" s="301"/>
      <c r="AV30" s="301"/>
      <c r="AW30" s="301"/>
      <c r="AX30" s="301"/>
      <c r="AY30" s="301"/>
      <c r="AZ30" s="301">
        <v>1500</v>
      </c>
      <c r="BA30" s="301"/>
      <c r="BB30" s="301"/>
      <c r="BC30" s="301"/>
      <c r="BD30" s="301"/>
      <c r="BE30" s="301"/>
      <c r="BF30" s="302"/>
      <c r="BG30" s="303"/>
      <c r="BH30" s="304"/>
      <c r="BI30" s="304"/>
      <c r="BJ30" s="304"/>
      <c r="BK30" s="304"/>
      <c r="BL30" s="304"/>
      <c r="BM30" s="304"/>
      <c r="BN30" s="304"/>
      <c r="BO30" s="304"/>
      <c r="BP30" s="304"/>
      <c r="BQ30" s="304"/>
      <c r="BR30" s="304"/>
      <c r="BS30" s="304">
        <v>10</v>
      </c>
      <c r="BT30" s="304"/>
      <c r="BU30" s="304"/>
      <c r="BV30" s="304"/>
      <c r="BW30" s="304"/>
      <c r="BX30" s="304"/>
      <c r="BY30" s="305"/>
      <c r="BZ30" s="306"/>
      <c r="CA30" s="307"/>
      <c r="CB30" s="307"/>
      <c r="CC30" s="307"/>
      <c r="CD30" s="307"/>
      <c r="CE30" s="307"/>
      <c r="CF30" s="307"/>
      <c r="CG30" s="332"/>
      <c r="CH30" s="328"/>
      <c r="CI30" s="328"/>
      <c r="CJ30" s="328">
        <v>2</v>
      </c>
      <c r="CK30" s="328"/>
      <c r="CL30" s="328"/>
      <c r="CM30" s="328"/>
      <c r="CN30" s="370"/>
      <c r="CO30" s="367"/>
      <c r="CP30" s="367"/>
      <c r="CQ30" s="367">
        <v>10</v>
      </c>
      <c r="CR30" s="367"/>
      <c r="CS30" s="387"/>
      <c r="CT30" s="398"/>
      <c r="CU30" s="399"/>
      <c r="CV30" s="399"/>
      <c r="CW30" s="399"/>
      <c r="CX30" s="399">
        <v>1</v>
      </c>
      <c r="CY30" s="399"/>
      <c r="CZ30" s="399"/>
      <c r="DA30" s="400"/>
      <c r="DB30" s="522">
        <v>1</v>
      </c>
    </row>
    <row r="31" spans="1:106" x14ac:dyDescent="0.25">
      <c r="A31" s="468" t="s">
        <v>227</v>
      </c>
      <c r="B31" s="468">
        <v>830</v>
      </c>
      <c r="C31" s="468" t="s">
        <v>3348</v>
      </c>
      <c r="D31" s="468">
        <v>1037</v>
      </c>
      <c r="E31" s="468" t="s">
        <v>228</v>
      </c>
      <c r="F31" s="468" t="s">
        <v>681</v>
      </c>
      <c r="G31" s="468" t="s">
        <v>229</v>
      </c>
      <c r="H31" s="468" t="s">
        <v>230</v>
      </c>
      <c r="I31" s="468" t="s">
        <v>220</v>
      </c>
      <c r="J31" s="468" t="s">
        <v>3349</v>
      </c>
      <c r="K31" s="468" t="s">
        <v>231</v>
      </c>
      <c r="L31" s="468" t="s">
        <v>3737</v>
      </c>
      <c r="M31" s="468" t="s">
        <v>3739</v>
      </c>
      <c r="N31" s="461"/>
      <c r="O31" s="294"/>
      <c r="P31" s="294"/>
      <c r="Q31" s="294"/>
      <c r="R31" s="294">
        <v>2</v>
      </c>
      <c r="S31" s="295"/>
      <c r="T31" s="299"/>
      <c r="U31" s="297"/>
      <c r="V31" s="297"/>
      <c r="W31" s="297"/>
      <c r="X31" s="297"/>
      <c r="Y31" s="297"/>
      <c r="Z31" s="297"/>
      <c r="AA31" s="297"/>
      <c r="AB31" s="293"/>
      <c r="AC31" s="294"/>
      <c r="AD31" s="295"/>
      <c r="AE31" s="298"/>
      <c r="AF31" s="296"/>
      <c r="AG31" s="297"/>
      <c r="AH31" s="297"/>
      <c r="AI31" s="297"/>
      <c r="AJ31" s="297"/>
      <c r="AK31" s="297"/>
      <c r="AL31" s="297"/>
      <c r="AM31" s="297"/>
      <c r="AN31" s="300"/>
      <c r="AO31" s="301"/>
      <c r="AP31" s="301"/>
      <c r="AQ31" s="301"/>
      <c r="AR31" s="301"/>
      <c r="AS31" s="301"/>
      <c r="AT31" s="301"/>
      <c r="AU31" s="301"/>
      <c r="AV31" s="301"/>
      <c r="AW31" s="301"/>
      <c r="AX31" s="301"/>
      <c r="AY31" s="301"/>
      <c r="AZ31" s="301">
        <v>1500</v>
      </c>
      <c r="BA31" s="301"/>
      <c r="BB31" s="301"/>
      <c r="BC31" s="301"/>
      <c r="BD31" s="301"/>
      <c r="BE31" s="301"/>
      <c r="BF31" s="302"/>
      <c r="BG31" s="303"/>
      <c r="BH31" s="304"/>
      <c r="BI31" s="304"/>
      <c r="BJ31" s="304"/>
      <c r="BK31" s="304"/>
      <c r="BL31" s="304"/>
      <c r="BM31" s="304"/>
      <c r="BN31" s="304"/>
      <c r="BO31" s="304"/>
      <c r="BP31" s="304"/>
      <c r="BQ31" s="304"/>
      <c r="BR31" s="304"/>
      <c r="BS31" s="304">
        <v>10</v>
      </c>
      <c r="BT31" s="304"/>
      <c r="BU31" s="304"/>
      <c r="BV31" s="304"/>
      <c r="BW31" s="304"/>
      <c r="BX31" s="304"/>
      <c r="BY31" s="305"/>
      <c r="BZ31" s="306"/>
      <c r="CA31" s="307"/>
      <c r="CB31" s="307"/>
      <c r="CC31" s="307"/>
      <c r="CD31" s="307"/>
      <c r="CE31" s="307"/>
      <c r="CF31" s="307"/>
      <c r="CG31" s="332"/>
      <c r="CH31" s="328"/>
      <c r="CI31" s="328"/>
      <c r="CJ31" s="328">
        <v>2</v>
      </c>
      <c r="CK31" s="328"/>
      <c r="CL31" s="328"/>
      <c r="CM31" s="328"/>
      <c r="CN31" s="370"/>
      <c r="CO31" s="367"/>
      <c r="CP31" s="367"/>
      <c r="CQ31" s="367">
        <v>10</v>
      </c>
      <c r="CR31" s="367"/>
      <c r="CS31" s="387"/>
      <c r="CT31" s="398"/>
      <c r="CU31" s="399"/>
      <c r="CV31" s="399"/>
      <c r="CW31" s="399"/>
      <c r="CX31" s="399">
        <v>1</v>
      </c>
      <c r="CY31" s="399"/>
      <c r="CZ31" s="399"/>
      <c r="DA31" s="400"/>
      <c r="DB31" s="522">
        <v>1</v>
      </c>
    </row>
    <row r="32" spans="1:106" x14ac:dyDescent="0.25">
      <c r="A32" s="468" t="s">
        <v>215</v>
      </c>
      <c r="B32" s="468">
        <v>831</v>
      </c>
      <c r="C32" s="468" t="s">
        <v>731</v>
      </c>
      <c r="D32" s="468">
        <v>915</v>
      </c>
      <c r="E32" s="468" t="s">
        <v>732</v>
      </c>
      <c r="F32" s="468" t="s">
        <v>733</v>
      </c>
      <c r="G32" s="468" t="s">
        <v>734</v>
      </c>
      <c r="H32" s="468" t="s">
        <v>708</v>
      </c>
      <c r="I32" s="468" t="s">
        <v>220</v>
      </c>
      <c r="J32" s="468" t="s">
        <v>3296</v>
      </c>
      <c r="K32" s="468" t="s">
        <v>735</v>
      </c>
      <c r="L32" s="468" t="s">
        <v>3737</v>
      </c>
      <c r="M32" s="468" t="s">
        <v>3739</v>
      </c>
      <c r="N32" s="461"/>
      <c r="O32" s="294"/>
      <c r="P32" s="294"/>
      <c r="Q32" s="294"/>
      <c r="R32" s="294"/>
      <c r="S32" s="295"/>
      <c r="T32" s="299"/>
      <c r="U32" s="297"/>
      <c r="V32" s="297"/>
      <c r="W32" s="297">
        <v>1</v>
      </c>
      <c r="X32" s="297"/>
      <c r="Y32" s="297"/>
      <c r="Z32" s="297"/>
      <c r="AA32" s="297"/>
      <c r="AB32" s="293"/>
      <c r="AC32" s="294"/>
      <c r="AD32" s="295"/>
      <c r="AE32" s="298"/>
      <c r="AF32" s="296"/>
      <c r="AG32" s="297"/>
      <c r="AH32" s="297"/>
      <c r="AI32" s="297"/>
      <c r="AJ32" s="297"/>
      <c r="AK32" s="297"/>
      <c r="AL32" s="297"/>
      <c r="AM32" s="297"/>
      <c r="AN32" s="300"/>
      <c r="AO32" s="301"/>
      <c r="AP32" s="301"/>
      <c r="AQ32" s="301"/>
      <c r="AR32" s="301"/>
      <c r="AS32" s="301"/>
      <c r="AT32" s="301"/>
      <c r="AU32" s="301"/>
      <c r="AV32" s="301"/>
      <c r="AW32" s="301"/>
      <c r="AX32" s="301"/>
      <c r="AY32" s="301"/>
      <c r="AZ32" s="301">
        <v>1500</v>
      </c>
      <c r="BA32" s="301"/>
      <c r="BB32" s="301"/>
      <c r="BC32" s="301"/>
      <c r="BD32" s="301"/>
      <c r="BE32" s="301"/>
      <c r="BF32" s="302"/>
      <c r="BG32" s="303"/>
      <c r="BH32" s="304"/>
      <c r="BI32" s="304"/>
      <c r="BJ32" s="304"/>
      <c r="BK32" s="304"/>
      <c r="BL32" s="304"/>
      <c r="BM32" s="304"/>
      <c r="BN32" s="304"/>
      <c r="BO32" s="304"/>
      <c r="BP32" s="304"/>
      <c r="BQ32" s="304"/>
      <c r="BR32" s="304"/>
      <c r="BS32" s="304">
        <v>10</v>
      </c>
      <c r="BT32" s="304"/>
      <c r="BU32" s="304"/>
      <c r="BV32" s="304"/>
      <c r="BW32" s="304"/>
      <c r="BX32" s="304"/>
      <c r="BY32" s="305"/>
      <c r="BZ32" s="306"/>
      <c r="CA32" s="307"/>
      <c r="CB32" s="307"/>
      <c r="CC32" s="307"/>
      <c r="CD32" s="307"/>
      <c r="CE32" s="307"/>
      <c r="CF32" s="307"/>
      <c r="CG32" s="332"/>
      <c r="CH32" s="328"/>
      <c r="CI32" s="328"/>
      <c r="CJ32" s="328">
        <v>2</v>
      </c>
      <c r="CK32" s="328"/>
      <c r="CL32" s="328"/>
      <c r="CM32" s="328"/>
      <c r="CN32" s="370"/>
      <c r="CO32" s="367"/>
      <c r="CP32" s="367"/>
      <c r="CQ32" s="367">
        <v>10</v>
      </c>
      <c r="CR32" s="367"/>
      <c r="CS32" s="387"/>
      <c r="CT32" s="398"/>
      <c r="CU32" s="399"/>
      <c r="CV32" s="399"/>
      <c r="CW32" s="399"/>
      <c r="CX32" s="399">
        <v>1</v>
      </c>
      <c r="CY32" s="399"/>
      <c r="CZ32" s="399"/>
      <c r="DA32" s="400"/>
      <c r="DB32" s="522">
        <v>1</v>
      </c>
    </row>
    <row r="33" spans="1:106" x14ac:dyDescent="0.25">
      <c r="A33" s="468" t="s">
        <v>215</v>
      </c>
      <c r="B33" s="468">
        <v>830</v>
      </c>
      <c r="C33" s="468" t="s">
        <v>3371</v>
      </c>
      <c r="D33" s="468">
        <v>1076</v>
      </c>
      <c r="E33" s="468" t="s">
        <v>710</v>
      </c>
      <c r="F33" s="468" t="s">
        <v>711</v>
      </c>
      <c r="G33" s="468" t="s">
        <v>712</v>
      </c>
      <c r="H33" s="468" t="s">
        <v>713</v>
      </c>
      <c r="I33" s="468" t="s">
        <v>220</v>
      </c>
      <c r="J33" s="468" t="s">
        <v>3310</v>
      </c>
      <c r="K33" s="468" t="s">
        <v>714</v>
      </c>
      <c r="L33" s="468" t="s">
        <v>3737</v>
      </c>
      <c r="M33" s="468" t="s">
        <v>3739</v>
      </c>
      <c r="N33" s="461"/>
      <c r="O33" s="294"/>
      <c r="P33" s="294"/>
      <c r="Q33" s="294"/>
      <c r="R33" s="294">
        <v>2</v>
      </c>
      <c r="S33" s="295"/>
      <c r="T33" s="296"/>
      <c r="U33" s="297"/>
      <c r="V33" s="297"/>
      <c r="W33" s="297"/>
      <c r="X33" s="297"/>
      <c r="Y33" s="297"/>
      <c r="Z33" s="297"/>
      <c r="AA33" s="297"/>
      <c r="AB33" s="293"/>
      <c r="AC33" s="294"/>
      <c r="AD33" s="295"/>
      <c r="AE33" s="298"/>
      <c r="AF33" s="296"/>
      <c r="AG33" s="297"/>
      <c r="AH33" s="297"/>
      <c r="AI33" s="297"/>
      <c r="AJ33" s="297"/>
      <c r="AK33" s="297"/>
      <c r="AL33" s="297"/>
      <c r="AM33" s="297"/>
      <c r="AN33" s="300"/>
      <c r="AO33" s="301"/>
      <c r="AP33" s="301"/>
      <c r="AQ33" s="301"/>
      <c r="AR33" s="301"/>
      <c r="AS33" s="301"/>
      <c r="AT33" s="301"/>
      <c r="AU33" s="301"/>
      <c r="AV33" s="301"/>
      <c r="AW33" s="301"/>
      <c r="AX33" s="301"/>
      <c r="AY33" s="301"/>
      <c r="AZ33" s="301">
        <v>1500</v>
      </c>
      <c r="BA33" s="301"/>
      <c r="BB33" s="301"/>
      <c r="BC33" s="301"/>
      <c r="BD33" s="301"/>
      <c r="BE33" s="301"/>
      <c r="BF33" s="302"/>
      <c r="BG33" s="303"/>
      <c r="BH33" s="304"/>
      <c r="BI33" s="304"/>
      <c r="BJ33" s="304"/>
      <c r="BK33" s="304"/>
      <c r="BL33" s="304"/>
      <c r="BM33" s="304"/>
      <c r="BN33" s="304"/>
      <c r="BO33" s="304"/>
      <c r="BP33" s="304"/>
      <c r="BQ33" s="304"/>
      <c r="BR33" s="304"/>
      <c r="BS33" s="304">
        <v>10</v>
      </c>
      <c r="BT33" s="304"/>
      <c r="BU33" s="304"/>
      <c r="BV33" s="304"/>
      <c r="BW33" s="304"/>
      <c r="BX33" s="304"/>
      <c r="BY33" s="305"/>
      <c r="BZ33" s="306"/>
      <c r="CA33" s="307"/>
      <c r="CB33" s="307"/>
      <c r="CC33" s="307"/>
      <c r="CD33" s="307"/>
      <c r="CE33" s="307"/>
      <c r="CF33" s="307"/>
      <c r="CG33" s="332"/>
      <c r="CH33" s="328"/>
      <c r="CI33" s="328"/>
      <c r="CJ33" s="328">
        <v>2</v>
      </c>
      <c r="CK33" s="328"/>
      <c r="CL33" s="328"/>
      <c r="CM33" s="328"/>
      <c r="CN33" s="370"/>
      <c r="CO33" s="367"/>
      <c r="CP33" s="367"/>
      <c r="CQ33" s="367">
        <v>10</v>
      </c>
      <c r="CR33" s="367"/>
      <c r="CS33" s="387"/>
      <c r="CT33" s="398"/>
      <c r="CU33" s="399"/>
      <c r="CV33" s="399"/>
      <c r="CW33" s="399"/>
      <c r="CX33" s="399">
        <v>1</v>
      </c>
      <c r="CY33" s="399"/>
      <c r="CZ33" s="399"/>
      <c r="DA33" s="400"/>
      <c r="DB33" s="522">
        <v>1</v>
      </c>
    </row>
    <row r="34" spans="1:106" x14ac:dyDescent="0.25">
      <c r="A34" s="468" t="s">
        <v>232</v>
      </c>
      <c r="B34" s="468">
        <v>830</v>
      </c>
      <c r="C34" s="468" t="s">
        <v>3352</v>
      </c>
      <c r="D34" s="468">
        <v>1039</v>
      </c>
      <c r="E34" s="468" t="s">
        <v>233</v>
      </c>
      <c r="F34" s="468" t="s">
        <v>829</v>
      </c>
      <c r="G34" s="468" t="s">
        <v>234</v>
      </c>
      <c r="H34" s="468" t="s">
        <v>235</v>
      </c>
      <c r="I34" s="468" t="s">
        <v>220</v>
      </c>
      <c r="J34" s="468" t="s">
        <v>3353</v>
      </c>
      <c r="K34" s="468" t="s">
        <v>236</v>
      </c>
      <c r="L34" s="468" t="s">
        <v>3766</v>
      </c>
      <c r="M34" s="468" t="s">
        <v>4011</v>
      </c>
      <c r="N34" s="460">
        <v>2</v>
      </c>
      <c r="O34" s="294"/>
      <c r="P34" s="294"/>
      <c r="Q34" s="294"/>
      <c r="R34" s="294"/>
      <c r="S34" s="295"/>
      <c r="T34" s="296"/>
      <c r="U34" s="297"/>
      <c r="V34" s="297"/>
      <c r="W34" s="297"/>
      <c r="X34" s="297"/>
      <c r="Y34" s="297"/>
      <c r="Z34" s="297"/>
      <c r="AA34" s="297"/>
      <c r="AB34" s="293"/>
      <c r="AC34" s="294"/>
      <c r="AD34" s="295"/>
      <c r="AE34" s="298"/>
      <c r="AF34" s="296"/>
      <c r="AG34" s="297"/>
      <c r="AH34" s="297"/>
      <c r="AI34" s="297"/>
      <c r="AJ34" s="297"/>
      <c r="AK34" s="297"/>
      <c r="AL34" s="297"/>
      <c r="AM34" s="297"/>
      <c r="AN34" s="300">
        <v>1500</v>
      </c>
      <c r="AO34" s="301"/>
      <c r="AP34" s="301"/>
      <c r="AQ34" s="301"/>
      <c r="AR34" s="301"/>
      <c r="AS34" s="301"/>
      <c r="AT34" s="301"/>
      <c r="AU34" s="301"/>
      <c r="AV34" s="301"/>
      <c r="AW34" s="301"/>
      <c r="AX34" s="301"/>
      <c r="AY34" s="301"/>
      <c r="AZ34" s="301"/>
      <c r="BA34" s="301"/>
      <c r="BB34" s="301"/>
      <c r="BC34" s="301"/>
      <c r="BD34" s="301"/>
      <c r="BE34" s="301"/>
      <c r="BF34" s="302"/>
      <c r="BG34" s="303">
        <v>10</v>
      </c>
      <c r="BH34" s="304"/>
      <c r="BI34" s="304"/>
      <c r="BJ34" s="304"/>
      <c r="BK34" s="304"/>
      <c r="BL34" s="304"/>
      <c r="BM34" s="304"/>
      <c r="BN34" s="304"/>
      <c r="BO34" s="304"/>
      <c r="BP34" s="304"/>
      <c r="BQ34" s="304"/>
      <c r="BR34" s="304"/>
      <c r="BS34" s="304"/>
      <c r="BT34" s="304"/>
      <c r="BU34" s="304"/>
      <c r="BV34" s="304"/>
      <c r="BW34" s="304"/>
      <c r="BX34" s="304"/>
      <c r="BY34" s="305"/>
      <c r="BZ34" s="306"/>
      <c r="CA34" s="307"/>
      <c r="CB34" s="307"/>
      <c r="CC34" s="307"/>
      <c r="CD34" s="307"/>
      <c r="CE34" s="307"/>
      <c r="CF34" s="307"/>
      <c r="CG34" s="332"/>
      <c r="CH34" s="328"/>
      <c r="CI34" s="328"/>
      <c r="CJ34" s="328"/>
      <c r="CK34" s="328"/>
      <c r="CL34" s="328"/>
      <c r="CM34" s="328">
        <v>2</v>
      </c>
      <c r="CN34" s="370"/>
      <c r="CO34" s="367"/>
      <c r="CP34" s="367"/>
      <c r="CQ34" s="367"/>
      <c r="CR34" s="367"/>
      <c r="CS34" s="387">
        <v>10</v>
      </c>
      <c r="CT34" s="398"/>
      <c r="CU34" s="399"/>
      <c r="CV34" s="399"/>
      <c r="CW34" s="399"/>
      <c r="CX34" s="399"/>
      <c r="CY34" s="399"/>
      <c r="CZ34" s="399"/>
      <c r="DA34" s="400">
        <v>1</v>
      </c>
      <c r="DB34" s="522">
        <v>1</v>
      </c>
    </row>
    <row r="35" spans="1:106" x14ac:dyDescent="0.25">
      <c r="A35" s="468" t="s">
        <v>232</v>
      </c>
      <c r="B35" s="468">
        <v>830</v>
      </c>
      <c r="C35" s="468" t="s">
        <v>3369</v>
      </c>
      <c r="D35" s="468">
        <v>1072</v>
      </c>
      <c r="E35" s="468" t="s">
        <v>847</v>
      </c>
      <c r="F35" s="468" t="s">
        <v>848</v>
      </c>
      <c r="G35" s="468" t="s">
        <v>849</v>
      </c>
      <c r="H35" s="468" t="s">
        <v>850</v>
      </c>
      <c r="I35" s="468" t="s">
        <v>220</v>
      </c>
      <c r="J35" s="468" t="s">
        <v>3370</v>
      </c>
      <c r="K35" s="468" t="s">
        <v>851</v>
      </c>
      <c r="L35" s="468" t="s">
        <v>3766</v>
      </c>
      <c r="M35" s="468" t="s">
        <v>4011</v>
      </c>
      <c r="N35" s="460">
        <v>2</v>
      </c>
      <c r="O35" s="294"/>
      <c r="P35" s="294"/>
      <c r="Q35" s="294"/>
      <c r="R35" s="294"/>
      <c r="S35" s="295"/>
      <c r="T35" s="296"/>
      <c r="U35" s="297"/>
      <c r="V35" s="297"/>
      <c r="W35" s="297"/>
      <c r="X35" s="297"/>
      <c r="Y35" s="297"/>
      <c r="Z35" s="297"/>
      <c r="AA35" s="297"/>
      <c r="AB35" s="293"/>
      <c r="AC35" s="294"/>
      <c r="AD35" s="295"/>
      <c r="AE35" s="298"/>
      <c r="AF35" s="296"/>
      <c r="AG35" s="297"/>
      <c r="AH35" s="297"/>
      <c r="AI35" s="297"/>
      <c r="AJ35" s="297"/>
      <c r="AK35" s="297"/>
      <c r="AL35" s="297"/>
      <c r="AM35" s="297"/>
      <c r="AN35" s="300">
        <v>1500</v>
      </c>
      <c r="AO35" s="301"/>
      <c r="AP35" s="301"/>
      <c r="AQ35" s="301"/>
      <c r="AR35" s="301"/>
      <c r="AS35" s="301"/>
      <c r="AT35" s="301"/>
      <c r="AU35" s="301"/>
      <c r="AV35" s="301"/>
      <c r="AW35" s="301"/>
      <c r="AX35" s="301"/>
      <c r="AY35" s="301"/>
      <c r="AZ35" s="301"/>
      <c r="BA35" s="301"/>
      <c r="BB35" s="301"/>
      <c r="BC35" s="301"/>
      <c r="BD35" s="301"/>
      <c r="BE35" s="301"/>
      <c r="BF35" s="302"/>
      <c r="BG35" s="303">
        <v>10</v>
      </c>
      <c r="BH35" s="304"/>
      <c r="BI35" s="304"/>
      <c r="BJ35" s="304"/>
      <c r="BK35" s="304"/>
      <c r="BL35" s="304"/>
      <c r="BM35" s="304"/>
      <c r="BN35" s="304"/>
      <c r="BO35" s="304"/>
      <c r="BP35" s="304"/>
      <c r="BQ35" s="304"/>
      <c r="BR35" s="304"/>
      <c r="BS35" s="304"/>
      <c r="BT35" s="304"/>
      <c r="BU35" s="304"/>
      <c r="BV35" s="304"/>
      <c r="BW35" s="304"/>
      <c r="BX35" s="304"/>
      <c r="BY35" s="305"/>
      <c r="BZ35" s="306"/>
      <c r="CA35" s="307"/>
      <c r="CB35" s="307"/>
      <c r="CC35" s="307"/>
      <c r="CD35" s="307"/>
      <c r="CE35" s="307"/>
      <c r="CF35" s="307"/>
      <c r="CG35" s="332"/>
      <c r="CH35" s="328"/>
      <c r="CI35" s="328"/>
      <c r="CJ35" s="328"/>
      <c r="CK35" s="328"/>
      <c r="CL35" s="328"/>
      <c r="CM35" s="328">
        <v>2</v>
      </c>
      <c r="CN35" s="370"/>
      <c r="CO35" s="367"/>
      <c r="CP35" s="367"/>
      <c r="CQ35" s="367"/>
      <c r="CR35" s="367"/>
      <c r="CS35" s="387">
        <v>10</v>
      </c>
      <c r="CT35" s="398"/>
      <c r="CU35" s="399"/>
      <c r="CV35" s="399"/>
      <c r="CW35" s="399"/>
      <c r="CX35" s="399"/>
      <c r="CY35" s="399"/>
      <c r="CZ35" s="399"/>
      <c r="DA35" s="400">
        <v>1</v>
      </c>
      <c r="DB35" s="522">
        <v>1</v>
      </c>
    </row>
    <row r="36" spans="1:106" x14ac:dyDescent="0.25">
      <c r="A36" s="468" t="s">
        <v>269</v>
      </c>
      <c r="B36" s="468">
        <v>830</v>
      </c>
      <c r="C36" s="468" t="s">
        <v>3338</v>
      </c>
      <c r="D36" s="468">
        <v>1019</v>
      </c>
      <c r="E36" s="468" t="s">
        <v>852</v>
      </c>
      <c r="F36" s="468" t="s">
        <v>853</v>
      </c>
      <c r="G36" s="468" t="s">
        <v>854</v>
      </c>
      <c r="H36" s="468" t="s">
        <v>855</v>
      </c>
      <c r="I36" s="468" t="s">
        <v>220</v>
      </c>
      <c r="J36" s="468" t="s">
        <v>3339</v>
      </c>
      <c r="K36" s="468" t="s">
        <v>856</v>
      </c>
      <c r="L36" s="468" t="s">
        <v>3737</v>
      </c>
      <c r="M36" s="468" t="s">
        <v>3739</v>
      </c>
      <c r="N36" s="461"/>
      <c r="O36" s="294"/>
      <c r="P36" s="294"/>
      <c r="Q36" s="294"/>
      <c r="R36" s="294">
        <v>1</v>
      </c>
      <c r="S36" s="295"/>
      <c r="T36" s="296"/>
      <c r="U36" s="297"/>
      <c r="V36" s="297"/>
      <c r="W36" s="297"/>
      <c r="X36" s="297"/>
      <c r="Y36" s="297"/>
      <c r="Z36" s="297"/>
      <c r="AA36" s="297"/>
      <c r="AB36" s="293"/>
      <c r="AC36" s="294"/>
      <c r="AD36" s="295"/>
      <c r="AE36" s="298"/>
      <c r="AF36" s="296"/>
      <c r="AG36" s="297"/>
      <c r="AH36" s="297"/>
      <c r="AI36" s="297"/>
      <c r="AJ36" s="297"/>
      <c r="AK36" s="297"/>
      <c r="AL36" s="297"/>
      <c r="AM36" s="297"/>
      <c r="AN36" s="300"/>
      <c r="AO36" s="301"/>
      <c r="AP36" s="301"/>
      <c r="AQ36" s="301"/>
      <c r="AR36" s="301"/>
      <c r="AS36" s="301"/>
      <c r="AT36" s="301"/>
      <c r="AU36" s="301"/>
      <c r="AV36" s="301"/>
      <c r="AW36" s="301"/>
      <c r="AX36" s="301"/>
      <c r="AY36" s="301"/>
      <c r="AZ36" s="301">
        <v>1500</v>
      </c>
      <c r="BA36" s="301"/>
      <c r="BB36" s="301"/>
      <c r="BC36" s="301"/>
      <c r="BD36" s="301"/>
      <c r="BE36" s="301"/>
      <c r="BF36" s="302"/>
      <c r="BG36" s="303"/>
      <c r="BH36" s="304"/>
      <c r="BI36" s="304"/>
      <c r="BJ36" s="304"/>
      <c r="BK36" s="304"/>
      <c r="BL36" s="304"/>
      <c r="BM36" s="304"/>
      <c r="BN36" s="304"/>
      <c r="BO36" s="304"/>
      <c r="BP36" s="304"/>
      <c r="BQ36" s="304"/>
      <c r="BR36" s="304"/>
      <c r="BS36" s="304">
        <v>10</v>
      </c>
      <c r="BT36" s="304"/>
      <c r="BU36" s="304"/>
      <c r="BV36" s="304"/>
      <c r="BW36" s="304"/>
      <c r="BX36" s="304"/>
      <c r="BY36" s="305"/>
      <c r="BZ36" s="306"/>
      <c r="CA36" s="307"/>
      <c r="CB36" s="307"/>
      <c r="CC36" s="307"/>
      <c r="CD36" s="307"/>
      <c r="CE36" s="307"/>
      <c r="CF36" s="307"/>
      <c r="CG36" s="332"/>
      <c r="CH36" s="328"/>
      <c r="CI36" s="328"/>
      <c r="CJ36" s="328">
        <v>2</v>
      </c>
      <c r="CK36" s="328"/>
      <c r="CL36" s="328"/>
      <c r="CM36" s="328"/>
      <c r="CN36" s="370"/>
      <c r="CO36" s="367"/>
      <c r="CP36" s="367"/>
      <c r="CQ36" s="367">
        <v>10</v>
      </c>
      <c r="CR36" s="367"/>
      <c r="CS36" s="387"/>
      <c r="CT36" s="398"/>
      <c r="CU36" s="399"/>
      <c r="CV36" s="399"/>
      <c r="CW36" s="399"/>
      <c r="CX36" s="399">
        <v>1</v>
      </c>
      <c r="CY36" s="399"/>
      <c r="CZ36" s="399"/>
      <c r="DA36" s="400"/>
      <c r="DB36" s="522">
        <v>1</v>
      </c>
    </row>
    <row r="37" spans="1:106" x14ac:dyDescent="0.25">
      <c r="A37" s="468" t="s">
        <v>269</v>
      </c>
      <c r="B37" s="468">
        <v>830</v>
      </c>
      <c r="C37" s="468" t="s">
        <v>3342</v>
      </c>
      <c r="D37" s="468">
        <v>1031</v>
      </c>
      <c r="E37" s="468" t="s">
        <v>857</v>
      </c>
      <c r="F37" s="468" t="s">
        <v>868</v>
      </c>
      <c r="G37" s="468" t="s">
        <v>858</v>
      </c>
      <c r="H37" s="468" t="s">
        <v>859</v>
      </c>
      <c r="I37" s="468" t="s">
        <v>220</v>
      </c>
      <c r="J37" s="468" t="s">
        <v>3343</v>
      </c>
      <c r="K37" s="468" t="s">
        <v>860</v>
      </c>
      <c r="L37" s="468" t="s">
        <v>3737</v>
      </c>
      <c r="M37" s="468" t="s">
        <v>3739</v>
      </c>
      <c r="N37" s="461"/>
      <c r="O37" s="294"/>
      <c r="P37" s="294"/>
      <c r="Q37" s="294"/>
      <c r="R37" s="294">
        <v>2</v>
      </c>
      <c r="S37" s="295"/>
      <c r="T37" s="296"/>
      <c r="U37" s="297"/>
      <c r="V37" s="297"/>
      <c r="W37" s="297"/>
      <c r="X37" s="297"/>
      <c r="Y37" s="297"/>
      <c r="Z37" s="297"/>
      <c r="AA37" s="297"/>
      <c r="AB37" s="293"/>
      <c r="AC37" s="294"/>
      <c r="AD37" s="295"/>
      <c r="AE37" s="298"/>
      <c r="AF37" s="296"/>
      <c r="AG37" s="297"/>
      <c r="AH37" s="297"/>
      <c r="AI37" s="297"/>
      <c r="AJ37" s="297"/>
      <c r="AK37" s="297"/>
      <c r="AL37" s="297"/>
      <c r="AM37" s="297"/>
      <c r="AN37" s="300"/>
      <c r="AO37" s="301"/>
      <c r="AP37" s="301"/>
      <c r="AQ37" s="301"/>
      <c r="AR37" s="301"/>
      <c r="AS37" s="301"/>
      <c r="AT37" s="301"/>
      <c r="AU37" s="301"/>
      <c r="AV37" s="301"/>
      <c r="AW37" s="301"/>
      <c r="AX37" s="301"/>
      <c r="AY37" s="301"/>
      <c r="AZ37" s="301">
        <v>1500</v>
      </c>
      <c r="BA37" s="301"/>
      <c r="BB37" s="301"/>
      <c r="BC37" s="301"/>
      <c r="BD37" s="301"/>
      <c r="BE37" s="301"/>
      <c r="BF37" s="302"/>
      <c r="BG37" s="303"/>
      <c r="BH37" s="304"/>
      <c r="BI37" s="304"/>
      <c r="BJ37" s="304"/>
      <c r="BK37" s="304"/>
      <c r="BL37" s="304"/>
      <c r="BM37" s="304"/>
      <c r="BN37" s="304"/>
      <c r="BO37" s="304"/>
      <c r="BP37" s="304"/>
      <c r="BQ37" s="304"/>
      <c r="BR37" s="304"/>
      <c r="BS37" s="304">
        <v>10</v>
      </c>
      <c r="BT37" s="304"/>
      <c r="BU37" s="304"/>
      <c r="BV37" s="304"/>
      <c r="BW37" s="304"/>
      <c r="BX37" s="304"/>
      <c r="BY37" s="305"/>
      <c r="BZ37" s="306"/>
      <c r="CA37" s="307"/>
      <c r="CB37" s="307"/>
      <c r="CC37" s="307"/>
      <c r="CD37" s="307"/>
      <c r="CE37" s="307"/>
      <c r="CF37" s="307"/>
      <c r="CG37" s="332"/>
      <c r="CH37" s="328"/>
      <c r="CI37" s="328"/>
      <c r="CJ37" s="328">
        <v>2</v>
      </c>
      <c r="CK37" s="328"/>
      <c r="CL37" s="328"/>
      <c r="CM37" s="328"/>
      <c r="CN37" s="370"/>
      <c r="CO37" s="367"/>
      <c r="CP37" s="367"/>
      <c r="CQ37" s="367">
        <v>10</v>
      </c>
      <c r="CR37" s="367"/>
      <c r="CS37" s="387"/>
      <c r="CT37" s="398"/>
      <c r="CU37" s="399"/>
      <c r="CV37" s="399"/>
      <c r="CW37" s="399"/>
      <c r="CX37" s="399">
        <v>1</v>
      </c>
      <c r="CY37" s="399"/>
      <c r="CZ37" s="399"/>
      <c r="DA37" s="400"/>
      <c r="DB37" s="522">
        <v>1</v>
      </c>
    </row>
    <row r="38" spans="1:106" x14ac:dyDescent="0.25">
      <c r="A38" s="468" t="s">
        <v>269</v>
      </c>
      <c r="B38" s="468">
        <v>830</v>
      </c>
      <c r="C38" s="468" t="s">
        <v>3367</v>
      </c>
      <c r="D38" s="468">
        <v>1064</v>
      </c>
      <c r="E38" s="468" t="s">
        <v>861</v>
      </c>
      <c r="F38" s="468" t="s">
        <v>2957</v>
      </c>
      <c r="G38" s="468" t="s">
        <v>862</v>
      </c>
      <c r="H38" s="468" t="s">
        <v>855</v>
      </c>
      <c r="I38" s="468" t="s">
        <v>220</v>
      </c>
      <c r="J38" s="468" t="s">
        <v>3368</v>
      </c>
      <c r="K38" s="468" t="s">
        <v>863</v>
      </c>
      <c r="L38" s="468" t="s">
        <v>3737</v>
      </c>
      <c r="M38" s="468" t="s">
        <v>3739</v>
      </c>
      <c r="N38" s="461"/>
      <c r="O38" s="294"/>
      <c r="P38" s="294"/>
      <c r="Q38" s="294"/>
      <c r="R38" s="294">
        <v>1</v>
      </c>
      <c r="S38" s="295"/>
      <c r="T38" s="296"/>
      <c r="U38" s="297"/>
      <c r="V38" s="297"/>
      <c r="W38" s="297"/>
      <c r="X38" s="297"/>
      <c r="Y38" s="297"/>
      <c r="Z38" s="297"/>
      <c r="AA38" s="297"/>
      <c r="AB38" s="293"/>
      <c r="AC38" s="294"/>
      <c r="AD38" s="295"/>
      <c r="AE38" s="298"/>
      <c r="AF38" s="296"/>
      <c r="AG38" s="297"/>
      <c r="AH38" s="297"/>
      <c r="AI38" s="297"/>
      <c r="AJ38" s="297"/>
      <c r="AK38" s="297"/>
      <c r="AL38" s="297"/>
      <c r="AM38" s="297"/>
      <c r="AN38" s="300"/>
      <c r="AO38" s="301"/>
      <c r="AP38" s="301"/>
      <c r="AQ38" s="301"/>
      <c r="AR38" s="301"/>
      <c r="AS38" s="301"/>
      <c r="AT38" s="301"/>
      <c r="AU38" s="301"/>
      <c r="AV38" s="301"/>
      <c r="AW38" s="301"/>
      <c r="AX38" s="301"/>
      <c r="AY38" s="301"/>
      <c r="AZ38" s="301">
        <v>1500</v>
      </c>
      <c r="BA38" s="301"/>
      <c r="BB38" s="301"/>
      <c r="BC38" s="301"/>
      <c r="BD38" s="301"/>
      <c r="BE38" s="301"/>
      <c r="BF38" s="302"/>
      <c r="BG38" s="303"/>
      <c r="BH38" s="304"/>
      <c r="BI38" s="304"/>
      <c r="BJ38" s="304"/>
      <c r="BK38" s="304"/>
      <c r="BL38" s="304"/>
      <c r="BM38" s="304"/>
      <c r="BN38" s="304"/>
      <c r="BO38" s="304"/>
      <c r="BP38" s="304"/>
      <c r="BQ38" s="304"/>
      <c r="BR38" s="304"/>
      <c r="BS38" s="304">
        <v>10</v>
      </c>
      <c r="BT38" s="304"/>
      <c r="BU38" s="304"/>
      <c r="BV38" s="304"/>
      <c r="BW38" s="304"/>
      <c r="BX38" s="304"/>
      <c r="BY38" s="305"/>
      <c r="BZ38" s="306"/>
      <c r="CA38" s="307"/>
      <c r="CB38" s="307"/>
      <c r="CC38" s="307"/>
      <c r="CD38" s="307"/>
      <c r="CE38" s="307"/>
      <c r="CF38" s="307"/>
      <c r="CG38" s="332"/>
      <c r="CH38" s="328"/>
      <c r="CI38" s="328"/>
      <c r="CJ38" s="328">
        <v>2</v>
      </c>
      <c r="CK38" s="328"/>
      <c r="CL38" s="328"/>
      <c r="CM38" s="328"/>
      <c r="CN38" s="370"/>
      <c r="CO38" s="367"/>
      <c r="CP38" s="367"/>
      <c r="CQ38" s="367">
        <v>10</v>
      </c>
      <c r="CR38" s="367"/>
      <c r="CS38" s="387"/>
      <c r="CT38" s="398"/>
      <c r="CU38" s="399"/>
      <c r="CV38" s="399"/>
      <c r="CW38" s="399"/>
      <c r="CX38" s="399">
        <v>1</v>
      </c>
      <c r="CY38" s="399"/>
      <c r="CZ38" s="399"/>
      <c r="DA38" s="400"/>
      <c r="DB38" s="522">
        <v>1</v>
      </c>
    </row>
    <row r="39" spans="1:106" x14ac:dyDescent="0.25">
      <c r="A39" s="468" t="s">
        <v>107</v>
      </c>
      <c r="B39" s="468">
        <v>810</v>
      </c>
      <c r="C39" s="468" t="s">
        <v>898</v>
      </c>
      <c r="D39" s="468">
        <v>341</v>
      </c>
      <c r="E39" s="468" t="s">
        <v>899</v>
      </c>
      <c r="F39" s="468" t="s">
        <v>900</v>
      </c>
      <c r="G39" s="468" t="s">
        <v>901</v>
      </c>
      <c r="H39" s="468" t="s">
        <v>902</v>
      </c>
      <c r="I39" s="468" t="s">
        <v>112</v>
      </c>
      <c r="J39" s="468" t="s">
        <v>3157</v>
      </c>
      <c r="K39" s="468" t="s">
        <v>903</v>
      </c>
      <c r="L39" s="468" t="s">
        <v>3928</v>
      </c>
      <c r="M39" s="468" t="s">
        <v>3955</v>
      </c>
      <c r="N39" s="460"/>
      <c r="O39" s="294"/>
      <c r="P39" s="294"/>
      <c r="Q39" s="294"/>
      <c r="R39" s="294"/>
      <c r="S39" s="295"/>
      <c r="T39" s="296"/>
      <c r="U39" s="297"/>
      <c r="V39" s="297"/>
      <c r="W39" s="297"/>
      <c r="X39" s="297"/>
      <c r="Y39" s="297"/>
      <c r="Z39" s="297"/>
      <c r="AA39" s="297"/>
      <c r="AB39" s="293"/>
      <c r="AC39" s="294"/>
      <c r="AD39" s="295"/>
      <c r="AE39" s="298"/>
      <c r="AF39" s="296"/>
      <c r="AG39" s="297"/>
      <c r="AH39" s="297"/>
      <c r="AI39" s="297"/>
      <c r="AJ39" s="297"/>
      <c r="AK39" s="297"/>
      <c r="AL39" s="297"/>
      <c r="AM39" s="297"/>
      <c r="AN39" s="300"/>
      <c r="AO39" s="301"/>
      <c r="AP39" s="301"/>
      <c r="AQ39" s="301"/>
      <c r="AR39" s="301"/>
      <c r="AS39" s="301"/>
      <c r="AT39" s="301"/>
      <c r="AU39" s="301"/>
      <c r="AV39" s="301"/>
      <c r="AW39" s="301">
        <v>1500</v>
      </c>
      <c r="AX39" s="301"/>
      <c r="AY39" s="301"/>
      <c r="AZ39" s="301"/>
      <c r="BA39" s="301"/>
      <c r="BB39" s="301"/>
      <c r="BC39" s="301"/>
      <c r="BD39" s="301"/>
      <c r="BE39" s="301"/>
      <c r="BF39" s="302"/>
      <c r="BG39" s="303"/>
      <c r="BH39" s="304"/>
      <c r="BI39" s="304"/>
      <c r="BJ39" s="304"/>
      <c r="BK39" s="304"/>
      <c r="BL39" s="304"/>
      <c r="BM39" s="304"/>
      <c r="BN39" s="304"/>
      <c r="BO39" s="304"/>
      <c r="BP39" s="304">
        <v>10</v>
      </c>
      <c r="BQ39" s="304"/>
      <c r="BR39" s="304"/>
      <c r="BS39" s="304"/>
      <c r="BT39" s="304"/>
      <c r="BU39" s="304"/>
      <c r="BV39" s="304"/>
      <c r="BW39" s="304"/>
      <c r="BX39" s="304"/>
      <c r="BY39" s="305"/>
      <c r="BZ39" s="308"/>
      <c r="CA39" s="309">
        <v>1</v>
      </c>
      <c r="CB39" s="307"/>
      <c r="CC39" s="307"/>
      <c r="CD39" s="307"/>
      <c r="CE39" s="307"/>
      <c r="CF39" s="307"/>
      <c r="CG39" s="332"/>
      <c r="CH39" s="328">
        <v>2</v>
      </c>
      <c r="CI39" s="328"/>
      <c r="CJ39" s="328"/>
      <c r="CK39" s="328"/>
      <c r="CL39" s="328"/>
      <c r="CM39" s="328"/>
      <c r="CN39" s="370"/>
      <c r="CO39" s="367">
        <v>10</v>
      </c>
      <c r="CP39" s="367"/>
      <c r="CQ39" s="367"/>
      <c r="CR39" s="367"/>
      <c r="CS39" s="387"/>
      <c r="CT39" s="398"/>
      <c r="CU39" s="399">
        <v>1</v>
      </c>
      <c r="CV39" s="399"/>
      <c r="CW39" s="399"/>
      <c r="CX39" s="399"/>
      <c r="CY39" s="399"/>
      <c r="CZ39" s="399"/>
      <c r="DA39" s="400"/>
      <c r="DB39" s="522">
        <v>1</v>
      </c>
    </row>
    <row r="40" spans="1:106" x14ac:dyDescent="0.25">
      <c r="A40" s="468" t="s">
        <v>107</v>
      </c>
      <c r="B40" s="468">
        <v>810</v>
      </c>
      <c r="C40" s="468" t="s">
        <v>904</v>
      </c>
      <c r="D40" s="468">
        <v>343</v>
      </c>
      <c r="E40" s="468" t="s">
        <v>905</v>
      </c>
      <c r="F40" s="468" t="s">
        <v>906</v>
      </c>
      <c r="G40" s="468" t="s">
        <v>907</v>
      </c>
      <c r="H40" s="468" t="s">
        <v>877</v>
      </c>
      <c r="I40" s="468" t="s">
        <v>112</v>
      </c>
      <c r="J40" s="468" t="s">
        <v>908</v>
      </c>
      <c r="K40" s="468" t="s">
        <v>909</v>
      </c>
      <c r="L40" s="468" t="s">
        <v>3928</v>
      </c>
      <c r="M40" s="468" t="s">
        <v>3951</v>
      </c>
      <c r="N40" s="461"/>
      <c r="O40" s="294"/>
      <c r="P40" s="294"/>
      <c r="Q40" s="294">
        <v>2</v>
      </c>
      <c r="R40" s="294"/>
      <c r="S40" s="295"/>
      <c r="T40" s="296"/>
      <c r="U40" s="297"/>
      <c r="V40" s="297"/>
      <c r="W40" s="297"/>
      <c r="X40" s="297"/>
      <c r="Y40" s="297"/>
      <c r="Z40" s="297"/>
      <c r="AA40" s="297"/>
      <c r="AB40" s="293"/>
      <c r="AC40" s="294"/>
      <c r="AD40" s="295"/>
      <c r="AE40" s="298"/>
      <c r="AF40" s="296"/>
      <c r="AG40" s="297"/>
      <c r="AH40" s="297"/>
      <c r="AI40" s="297"/>
      <c r="AJ40" s="297"/>
      <c r="AK40" s="297"/>
      <c r="AL40" s="297"/>
      <c r="AM40" s="297"/>
      <c r="AN40" s="300"/>
      <c r="AO40" s="301"/>
      <c r="AP40" s="301"/>
      <c r="AQ40" s="301"/>
      <c r="AR40" s="301"/>
      <c r="AS40" s="301"/>
      <c r="AT40" s="301"/>
      <c r="AU40" s="301"/>
      <c r="AV40" s="301">
        <v>1500</v>
      </c>
      <c r="AW40" s="301"/>
      <c r="AX40" s="301"/>
      <c r="AY40" s="301"/>
      <c r="AZ40" s="301"/>
      <c r="BA40" s="301"/>
      <c r="BB40" s="301"/>
      <c r="BC40" s="301"/>
      <c r="BD40" s="301"/>
      <c r="BE40" s="301"/>
      <c r="BF40" s="302"/>
      <c r="BG40" s="303"/>
      <c r="BH40" s="304"/>
      <c r="BI40" s="304"/>
      <c r="BJ40" s="304"/>
      <c r="BK40" s="304"/>
      <c r="BL40" s="304"/>
      <c r="BM40" s="304"/>
      <c r="BN40" s="304"/>
      <c r="BO40" s="304">
        <v>10</v>
      </c>
      <c r="BP40" s="304"/>
      <c r="BQ40" s="304"/>
      <c r="BR40" s="304"/>
      <c r="BS40" s="304"/>
      <c r="BT40" s="304"/>
      <c r="BU40" s="304"/>
      <c r="BV40" s="304"/>
      <c r="BW40" s="304"/>
      <c r="BX40" s="304"/>
      <c r="BY40" s="305"/>
      <c r="BZ40" s="306"/>
      <c r="CA40" s="307"/>
      <c r="CB40" s="307"/>
      <c r="CC40" s="307"/>
      <c r="CD40" s="307"/>
      <c r="CE40" s="307"/>
      <c r="CF40" s="307"/>
      <c r="CG40" s="332"/>
      <c r="CH40" s="328">
        <v>2</v>
      </c>
      <c r="CI40" s="328"/>
      <c r="CJ40" s="328"/>
      <c r="CK40" s="328"/>
      <c r="CL40" s="328"/>
      <c r="CM40" s="328"/>
      <c r="CN40" s="370"/>
      <c r="CO40" s="367">
        <v>10</v>
      </c>
      <c r="CP40" s="367"/>
      <c r="CQ40" s="367"/>
      <c r="CR40" s="367"/>
      <c r="CS40" s="387"/>
      <c r="CT40" s="398"/>
      <c r="CU40" s="399">
        <v>1</v>
      </c>
      <c r="CV40" s="399"/>
      <c r="CW40" s="399"/>
      <c r="CX40" s="399"/>
      <c r="CY40" s="399"/>
      <c r="CZ40" s="399"/>
      <c r="DA40" s="400"/>
      <c r="DB40" s="522">
        <v>1</v>
      </c>
    </row>
    <row r="41" spans="1:106" x14ac:dyDescent="0.25">
      <c r="A41" s="468" t="s">
        <v>107</v>
      </c>
      <c r="B41" s="468">
        <v>810</v>
      </c>
      <c r="C41" s="468" t="s">
        <v>910</v>
      </c>
      <c r="D41" s="468">
        <v>344</v>
      </c>
      <c r="E41" s="468" t="s">
        <v>911</v>
      </c>
      <c r="F41" s="468" t="s">
        <v>912</v>
      </c>
      <c r="G41" s="468" t="s">
        <v>913</v>
      </c>
      <c r="H41" s="468" t="s">
        <v>877</v>
      </c>
      <c r="I41" s="468" t="s">
        <v>112</v>
      </c>
      <c r="J41" s="468" t="s">
        <v>914</v>
      </c>
      <c r="K41" s="468" t="s">
        <v>915</v>
      </c>
      <c r="L41" s="468" t="s">
        <v>3928</v>
      </c>
      <c r="M41" s="468" t="s">
        <v>3951</v>
      </c>
      <c r="N41" s="461"/>
      <c r="O41" s="294"/>
      <c r="P41" s="294"/>
      <c r="Q41" s="294">
        <v>1</v>
      </c>
      <c r="R41" s="294"/>
      <c r="S41" s="295"/>
      <c r="T41" s="296"/>
      <c r="U41" s="297"/>
      <c r="V41" s="297"/>
      <c r="W41" s="297"/>
      <c r="X41" s="297"/>
      <c r="Y41" s="297"/>
      <c r="Z41" s="297"/>
      <c r="AA41" s="297"/>
      <c r="AB41" s="293"/>
      <c r="AC41" s="294"/>
      <c r="AD41" s="295"/>
      <c r="AE41" s="298"/>
      <c r="AF41" s="296"/>
      <c r="AG41" s="297"/>
      <c r="AH41" s="297"/>
      <c r="AI41" s="297"/>
      <c r="AJ41" s="297"/>
      <c r="AK41" s="297"/>
      <c r="AL41" s="297"/>
      <c r="AM41" s="297"/>
      <c r="AN41" s="300"/>
      <c r="AO41" s="301"/>
      <c r="AP41" s="301"/>
      <c r="AQ41" s="301"/>
      <c r="AR41" s="301"/>
      <c r="AS41" s="301"/>
      <c r="AT41" s="301"/>
      <c r="AU41" s="301"/>
      <c r="AV41" s="301">
        <v>1500</v>
      </c>
      <c r="AW41" s="301"/>
      <c r="AX41" s="301"/>
      <c r="AY41" s="301"/>
      <c r="AZ41" s="301"/>
      <c r="BA41" s="301"/>
      <c r="BB41" s="301"/>
      <c r="BC41" s="301"/>
      <c r="BD41" s="301"/>
      <c r="BE41" s="301"/>
      <c r="BF41" s="302"/>
      <c r="BG41" s="303"/>
      <c r="BH41" s="304"/>
      <c r="BI41" s="304"/>
      <c r="BJ41" s="304"/>
      <c r="BK41" s="304"/>
      <c r="BL41" s="304"/>
      <c r="BM41" s="304"/>
      <c r="BN41" s="304"/>
      <c r="BO41" s="304">
        <v>10</v>
      </c>
      <c r="BP41" s="304"/>
      <c r="BQ41" s="304"/>
      <c r="BR41" s="304"/>
      <c r="BS41" s="304"/>
      <c r="BT41" s="304"/>
      <c r="BU41" s="304"/>
      <c r="BV41" s="304"/>
      <c r="BW41" s="304"/>
      <c r="BX41" s="304"/>
      <c r="BY41" s="305"/>
      <c r="BZ41" s="306"/>
      <c r="CA41" s="307"/>
      <c r="CB41" s="307"/>
      <c r="CC41" s="307"/>
      <c r="CD41" s="307"/>
      <c r="CE41" s="307"/>
      <c r="CF41" s="307"/>
      <c r="CG41" s="332"/>
      <c r="CH41" s="328">
        <v>2</v>
      </c>
      <c r="CI41" s="328"/>
      <c r="CJ41" s="328"/>
      <c r="CK41" s="328"/>
      <c r="CL41" s="328"/>
      <c r="CM41" s="328"/>
      <c r="CN41" s="370"/>
      <c r="CO41" s="367">
        <v>10</v>
      </c>
      <c r="CP41" s="367"/>
      <c r="CQ41" s="367"/>
      <c r="CR41" s="367"/>
      <c r="CS41" s="387"/>
      <c r="CT41" s="398"/>
      <c r="CU41" s="399">
        <v>1</v>
      </c>
      <c r="CV41" s="399"/>
      <c r="CW41" s="399"/>
      <c r="CX41" s="399"/>
      <c r="CY41" s="399"/>
      <c r="CZ41" s="399"/>
      <c r="DA41" s="400"/>
      <c r="DB41" s="522">
        <v>1</v>
      </c>
    </row>
    <row r="42" spans="1:106" x14ac:dyDescent="0.25">
      <c r="A42" s="468" t="s">
        <v>107</v>
      </c>
      <c r="B42" s="468">
        <v>810</v>
      </c>
      <c r="C42" s="468" t="s">
        <v>917</v>
      </c>
      <c r="D42" s="468">
        <v>347</v>
      </c>
      <c r="E42" s="468" t="s">
        <v>918</v>
      </c>
      <c r="F42" s="468" t="s">
        <v>919</v>
      </c>
      <c r="G42" s="468" t="s">
        <v>920</v>
      </c>
      <c r="H42" s="468" t="s">
        <v>921</v>
      </c>
      <c r="I42" s="468" t="s">
        <v>112</v>
      </c>
      <c r="J42" s="468" t="s">
        <v>3159</v>
      </c>
      <c r="K42" s="468" t="s">
        <v>922</v>
      </c>
      <c r="L42" s="468" t="s">
        <v>3928</v>
      </c>
      <c r="M42" s="468" t="s">
        <v>3951</v>
      </c>
      <c r="N42" s="461"/>
      <c r="O42" s="294"/>
      <c r="P42" s="294"/>
      <c r="Q42" s="294"/>
      <c r="R42" s="294"/>
      <c r="S42" s="295"/>
      <c r="T42" s="299"/>
      <c r="U42" s="297">
        <v>2</v>
      </c>
      <c r="V42" s="297"/>
      <c r="W42" s="297"/>
      <c r="X42" s="297"/>
      <c r="Y42" s="297"/>
      <c r="Z42" s="297"/>
      <c r="AA42" s="297"/>
      <c r="AB42" s="293"/>
      <c r="AC42" s="294"/>
      <c r="AD42" s="295"/>
      <c r="AE42" s="298"/>
      <c r="AF42" s="296"/>
      <c r="AG42" s="297"/>
      <c r="AH42" s="297"/>
      <c r="AI42" s="297"/>
      <c r="AJ42" s="297"/>
      <c r="AK42" s="297"/>
      <c r="AL42" s="297"/>
      <c r="AM42" s="297"/>
      <c r="AN42" s="300"/>
      <c r="AO42" s="301"/>
      <c r="AP42" s="301"/>
      <c r="AQ42" s="301"/>
      <c r="AR42" s="301"/>
      <c r="AS42" s="301"/>
      <c r="AT42" s="301"/>
      <c r="AU42" s="301"/>
      <c r="AV42" s="301">
        <v>1500</v>
      </c>
      <c r="AW42" s="301"/>
      <c r="AX42" s="301"/>
      <c r="AY42" s="301"/>
      <c r="AZ42" s="301"/>
      <c r="BA42" s="301"/>
      <c r="BB42" s="301"/>
      <c r="BC42" s="301"/>
      <c r="BD42" s="301"/>
      <c r="BE42" s="301"/>
      <c r="BF42" s="302"/>
      <c r="BG42" s="303"/>
      <c r="BH42" s="304"/>
      <c r="BI42" s="304"/>
      <c r="BJ42" s="304"/>
      <c r="BK42" s="304"/>
      <c r="BL42" s="304"/>
      <c r="BM42" s="304"/>
      <c r="BN42" s="304"/>
      <c r="BO42" s="304">
        <v>10</v>
      </c>
      <c r="BP42" s="304"/>
      <c r="BQ42" s="304"/>
      <c r="BR42" s="304"/>
      <c r="BS42" s="304"/>
      <c r="BT42" s="304"/>
      <c r="BU42" s="304"/>
      <c r="BV42" s="304"/>
      <c r="BW42" s="304"/>
      <c r="BX42" s="304"/>
      <c r="BY42" s="305"/>
      <c r="BZ42" s="306"/>
      <c r="CA42" s="307"/>
      <c r="CB42" s="307"/>
      <c r="CC42" s="307"/>
      <c r="CD42" s="307"/>
      <c r="CE42" s="307"/>
      <c r="CF42" s="307"/>
      <c r="CG42" s="332"/>
      <c r="CH42" s="328">
        <v>2</v>
      </c>
      <c r="CI42" s="328"/>
      <c r="CJ42" s="328"/>
      <c r="CK42" s="328"/>
      <c r="CL42" s="328"/>
      <c r="CM42" s="328"/>
      <c r="CN42" s="370"/>
      <c r="CO42" s="367">
        <v>10</v>
      </c>
      <c r="CP42" s="367"/>
      <c r="CQ42" s="367"/>
      <c r="CR42" s="367"/>
      <c r="CS42" s="387"/>
      <c r="CT42" s="398"/>
      <c r="CU42" s="399">
        <v>1</v>
      </c>
      <c r="CV42" s="399"/>
      <c r="CW42" s="399"/>
      <c r="CX42" s="399"/>
      <c r="CY42" s="399"/>
      <c r="CZ42" s="399"/>
      <c r="DA42" s="400"/>
      <c r="DB42" s="522">
        <v>1</v>
      </c>
    </row>
    <row r="43" spans="1:106" x14ac:dyDescent="0.25">
      <c r="A43" s="468" t="s">
        <v>107</v>
      </c>
      <c r="B43" s="468">
        <v>810</v>
      </c>
      <c r="C43" s="468" t="s">
        <v>923</v>
      </c>
      <c r="D43" s="468">
        <v>348</v>
      </c>
      <c r="E43" s="468" t="s">
        <v>924</v>
      </c>
      <c r="F43" s="468" t="s">
        <v>925</v>
      </c>
      <c r="G43" s="468" t="s">
        <v>926</v>
      </c>
      <c r="H43" s="468" t="s">
        <v>877</v>
      </c>
      <c r="I43" s="468" t="s">
        <v>112</v>
      </c>
      <c r="J43" s="468" t="s">
        <v>3160</v>
      </c>
      <c r="K43" s="468" t="s">
        <v>927</v>
      </c>
      <c r="L43" s="468" t="s">
        <v>3928</v>
      </c>
      <c r="M43" s="468" t="s">
        <v>3951</v>
      </c>
      <c r="N43" s="461"/>
      <c r="O43" s="294"/>
      <c r="P43" s="294"/>
      <c r="Q43" s="294"/>
      <c r="R43" s="294"/>
      <c r="S43" s="295"/>
      <c r="T43" s="299"/>
      <c r="U43" s="297">
        <v>1</v>
      </c>
      <c r="V43" s="297"/>
      <c r="W43" s="297"/>
      <c r="X43" s="297"/>
      <c r="Y43" s="297"/>
      <c r="Z43" s="297"/>
      <c r="AA43" s="297"/>
      <c r="AB43" s="293"/>
      <c r="AC43" s="294"/>
      <c r="AD43" s="295"/>
      <c r="AE43" s="298"/>
      <c r="AF43" s="296"/>
      <c r="AG43" s="297"/>
      <c r="AH43" s="297"/>
      <c r="AI43" s="297"/>
      <c r="AJ43" s="297"/>
      <c r="AK43" s="297"/>
      <c r="AL43" s="297"/>
      <c r="AM43" s="297"/>
      <c r="AN43" s="300"/>
      <c r="AO43" s="301"/>
      <c r="AP43" s="301"/>
      <c r="AQ43" s="301"/>
      <c r="AR43" s="301"/>
      <c r="AS43" s="301"/>
      <c r="AT43" s="301"/>
      <c r="AU43" s="301"/>
      <c r="AV43" s="301">
        <v>1500</v>
      </c>
      <c r="AW43" s="301"/>
      <c r="AX43" s="301"/>
      <c r="AY43" s="301"/>
      <c r="AZ43" s="301"/>
      <c r="BA43" s="301"/>
      <c r="BB43" s="301"/>
      <c r="BC43" s="301"/>
      <c r="BD43" s="301"/>
      <c r="BE43" s="301"/>
      <c r="BF43" s="302"/>
      <c r="BG43" s="303"/>
      <c r="BH43" s="304"/>
      <c r="BI43" s="304"/>
      <c r="BJ43" s="304"/>
      <c r="BK43" s="304"/>
      <c r="BL43" s="304"/>
      <c r="BM43" s="304"/>
      <c r="BN43" s="304"/>
      <c r="BO43" s="304">
        <v>10</v>
      </c>
      <c r="BP43" s="304"/>
      <c r="BQ43" s="304"/>
      <c r="BR43" s="304"/>
      <c r="BS43" s="304"/>
      <c r="BT43" s="304"/>
      <c r="BU43" s="304"/>
      <c r="BV43" s="304"/>
      <c r="BW43" s="304"/>
      <c r="BX43" s="304"/>
      <c r="BY43" s="305"/>
      <c r="BZ43" s="306"/>
      <c r="CA43" s="307"/>
      <c r="CB43" s="307"/>
      <c r="CC43" s="307"/>
      <c r="CD43" s="307"/>
      <c r="CE43" s="307"/>
      <c r="CF43" s="307"/>
      <c r="CG43" s="332"/>
      <c r="CH43" s="328">
        <v>2</v>
      </c>
      <c r="CI43" s="328"/>
      <c r="CJ43" s="328"/>
      <c r="CK43" s="328"/>
      <c r="CL43" s="328"/>
      <c r="CM43" s="328"/>
      <c r="CN43" s="370"/>
      <c r="CO43" s="367">
        <v>10</v>
      </c>
      <c r="CP43" s="367"/>
      <c r="CQ43" s="367"/>
      <c r="CR43" s="367"/>
      <c r="CS43" s="387"/>
      <c r="CT43" s="398"/>
      <c r="CU43" s="399">
        <v>1</v>
      </c>
      <c r="CV43" s="399"/>
      <c r="CW43" s="399"/>
      <c r="CX43" s="399"/>
      <c r="CY43" s="399"/>
      <c r="CZ43" s="399"/>
      <c r="DA43" s="400"/>
      <c r="DB43" s="522">
        <v>1</v>
      </c>
    </row>
    <row r="44" spans="1:106" x14ac:dyDescent="0.25">
      <c r="A44" s="468" t="s">
        <v>107</v>
      </c>
      <c r="B44" s="468">
        <v>810</v>
      </c>
      <c r="C44" s="468" t="s">
        <v>3469</v>
      </c>
      <c r="D44" s="468">
        <v>1341</v>
      </c>
      <c r="E44" s="468" t="s">
        <v>874</v>
      </c>
      <c r="F44" s="468" t="s">
        <v>875</v>
      </c>
      <c r="G44" s="468" t="s">
        <v>876</v>
      </c>
      <c r="H44" s="468" t="s">
        <v>877</v>
      </c>
      <c r="I44" s="468" t="s">
        <v>112</v>
      </c>
      <c r="J44" s="468" t="s">
        <v>3470</v>
      </c>
      <c r="K44" s="468" t="s">
        <v>878</v>
      </c>
      <c r="L44" s="468" t="s">
        <v>3928</v>
      </c>
      <c r="M44" s="468" t="s">
        <v>3951</v>
      </c>
      <c r="N44" s="461"/>
      <c r="O44" s="294"/>
      <c r="P44" s="294"/>
      <c r="Q44" s="294">
        <v>2</v>
      </c>
      <c r="R44" s="294"/>
      <c r="S44" s="295"/>
      <c r="T44" s="299"/>
      <c r="U44" s="297"/>
      <c r="V44" s="297"/>
      <c r="W44" s="297"/>
      <c r="X44" s="297"/>
      <c r="Y44" s="297"/>
      <c r="Z44" s="297"/>
      <c r="AA44" s="297"/>
      <c r="AB44" s="293"/>
      <c r="AC44" s="294"/>
      <c r="AD44" s="295"/>
      <c r="AE44" s="298"/>
      <c r="AF44" s="296"/>
      <c r="AG44" s="297"/>
      <c r="AH44" s="297"/>
      <c r="AI44" s="297"/>
      <c r="AJ44" s="297"/>
      <c r="AK44" s="297"/>
      <c r="AL44" s="297"/>
      <c r="AM44" s="297"/>
      <c r="AN44" s="300"/>
      <c r="AO44" s="301"/>
      <c r="AP44" s="301"/>
      <c r="AQ44" s="301"/>
      <c r="AR44" s="301"/>
      <c r="AS44" s="301"/>
      <c r="AT44" s="301"/>
      <c r="AU44" s="301"/>
      <c r="AV44" s="301">
        <v>1500</v>
      </c>
      <c r="AW44" s="301"/>
      <c r="AX44" s="301"/>
      <c r="AY44" s="301"/>
      <c r="AZ44" s="301"/>
      <c r="BA44" s="301"/>
      <c r="BB44" s="301"/>
      <c r="BC44" s="301"/>
      <c r="BD44" s="301"/>
      <c r="BE44" s="301"/>
      <c r="BF44" s="302"/>
      <c r="BG44" s="303"/>
      <c r="BH44" s="304"/>
      <c r="BI44" s="304"/>
      <c r="BJ44" s="304"/>
      <c r="BK44" s="304"/>
      <c r="BL44" s="304"/>
      <c r="BM44" s="304"/>
      <c r="BN44" s="304"/>
      <c r="BO44" s="304">
        <v>10</v>
      </c>
      <c r="BP44" s="304"/>
      <c r="BQ44" s="304"/>
      <c r="BR44" s="304"/>
      <c r="BS44" s="304"/>
      <c r="BT44" s="304"/>
      <c r="BU44" s="304"/>
      <c r="BV44" s="304"/>
      <c r="BW44" s="304"/>
      <c r="BX44" s="304"/>
      <c r="BY44" s="305"/>
      <c r="BZ44" s="306"/>
      <c r="CA44" s="307"/>
      <c r="CB44" s="307"/>
      <c r="CC44" s="307"/>
      <c r="CD44" s="307"/>
      <c r="CE44" s="307"/>
      <c r="CF44" s="307"/>
      <c r="CG44" s="332"/>
      <c r="CH44" s="328">
        <v>2</v>
      </c>
      <c r="CI44" s="328"/>
      <c r="CJ44" s="328"/>
      <c r="CK44" s="328"/>
      <c r="CL44" s="328"/>
      <c r="CM44" s="328"/>
      <c r="CN44" s="370"/>
      <c r="CO44" s="367">
        <v>10</v>
      </c>
      <c r="CP44" s="367"/>
      <c r="CQ44" s="367"/>
      <c r="CR44" s="367"/>
      <c r="CS44" s="387"/>
      <c r="CT44" s="398"/>
      <c r="CU44" s="399">
        <v>1</v>
      </c>
      <c r="CV44" s="399"/>
      <c r="CW44" s="399"/>
      <c r="CX44" s="399"/>
      <c r="CY44" s="399"/>
      <c r="CZ44" s="399"/>
      <c r="DA44" s="400"/>
      <c r="DB44" s="522">
        <v>1</v>
      </c>
    </row>
    <row r="45" spans="1:106" x14ac:dyDescent="0.25">
      <c r="A45" s="468" t="s">
        <v>107</v>
      </c>
      <c r="B45" s="468">
        <v>810</v>
      </c>
      <c r="C45" s="468" t="s">
        <v>3471</v>
      </c>
      <c r="D45" s="468">
        <v>1343</v>
      </c>
      <c r="E45" s="468" t="s">
        <v>879</v>
      </c>
      <c r="F45" s="468" t="s">
        <v>880</v>
      </c>
      <c r="G45" s="468" t="s">
        <v>881</v>
      </c>
      <c r="H45" s="468" t="s">
        <v>882</v>
      </c>
      <c r="I45" s="468" t="s">
        <v>112</v>
      </c>
      <c r="J45" s="468" t="s">
        <v>3472</v>
      </c>
      <c r="K45" s="468" t="s">
        <v>883</v>
      </c>
      <c r="L45" s="468" t="s">
        <v>3928</v>
      </c>
      <c r="M45" s="468" t="s">
        <v>3951</v>
      </c>
      <c r="N45" s="461"/>
      <c r="O45" s="294"/>
      <c r="P45" s="294"/>
      <c r="Q45" s="294">
        <v>2</v>
      </c>
      <c r="R45" s="294"/>
      <c r="S45" s="295"/>
      <c r="T45" s="299"/>
      <c r="U45" s="297"/>
      <c r="V45" s="297"/>
      <c r="W45" s="297"/>
      <c r="X45" s="297"/>
      <c r="Y45" s="297"/>
      <c r="Z45" s="297"/>
      <c r="AA45" s="297"/>
      <c r="AB45" s="293"/>
      <c r="AC45" s="294"/>
      <c r="AD45" s="295"/>
      <c r="AE45" s="298"/>
      <c r="AF45" s="296"/>
      <c r="AG45" s="297"/>
      <c r="AH45" s="297"/>
      <c r="AI45" s="297"/>
      <c r="AJ45" s="297"/>
      <c r="AK45" s="297"/>
      <c r="AL45" s="297"/>
      <c r="AM45" s="297"/>
      <c r="AN45" s="300"/>
      <c r="AO45" s="301"/>
      <c r="AP45" s="301"/>
      <c r="AQ45" s="301"/>
      <c r="AR45" s="301"/>
      <c r="AS45" s="301"/>
      <c r="AT45" s="301"/>
      <c r="AU45" s="301"/>
      <c r="AV45" s="301">
        <v>1500</v>
      </c>
      <c r="AW45" s="301"/>
      <c r="AX45" s="301"/>
      <c r="AY45" s="301"/>
      <c r="AZ45" s="301"/>
      <c r="BA45" s="301"/>
      <c r="BB45" s="301"/>
      <c r="BC45" s="301"/>
      <c r="BD45" s="301"/>
      <c r="BE45" s="301"/>
      <c r="BF45" s="302"/>
      <c r="BG45" s="303"/>
      <c r="BH45" s="304"/>
      <c r="BI45" s="304"/>
      <c r="BJ45" s="304"/>
      <c r="BK45" s="304"/>
      <c r="BL45" s="304"/>
      <c r="BM45" s="304"/>
      <c r="BN45" s="304"/>
      <c r="BO45" s="304">
        <v>10</v>
      </c>
      <c r="BP45" s="304"/>
      <c r="BQ45" s="304"/>
      <c r="BR45" s="304"/>
      <c r="BS45" s="304"/>
      <c r="BT45" s="304"/>
      <c r="BU45" s="304"/>
      <c r="BV45" s="304"/>
      <c r="BW45" s="304"/>
      <c r="BX45" s="304"/>
      <c r="BY45" s="305"/>
      <c r="BZ45" s="306"/>
      <c r="CA45" s="307"/>
      <c r="CB45" s="307"/>
      <c r="CC45" s="307"/>
      <c r="CD45" s="307"/>
      <c r="CE45" s="307"/>
      <c r="CF45" s="307"/>
      <c r="CG45" s="332"/>
      <c r="CH45" s="328">
        <v>2</v>
      </c>
      <c r="CI45" s="328"/>
      <c r="CJ45" s="328"/>
      <c r="CK45" s="328"/>
      <c r="CL45" s="328"/>
      <c r="CM45" s="328"/>
      <c r="CN45" s="370"/>
      <c r="CO45" s="367">
        <v>10</v>
      </c>
      <c r="CP45" s="367"/>
      <c r="CQ45" s="367"/>
      <c r="CR45" s="367"/>
      <c r="CS45" s="387"/>
      <c r="CT45" s="398"/>
      <c r="CU45" s="399">
        <v>1</v>
      </c>
      <c r="CV45" s="399"/>
      <c r="CW45" s="399"/>
      <c r="CX45" s="399"/>
      <c r="CY45" s="399"/>
      <c r="CZ45" s="399"/>
      <c r="DA45" s="400"/>
      <c r="DB45" s="522">
        <v>1</v>
      </c>
    </row>
    <row r="46" spans="1:106" x14ac:dyDescent="0.25">
      <c r="A46" s="468" t="s">
        <v>107</v>
      </c>
      <c r="B46" s="468">
        <v>810</v>
      </c>
      <c r="C46" s="468" t="s">
        <v>3473</v>
      </c>
      <c r="D46" s="468">
        <v>1344</v>
      </c>
      <c r="E46" s="468" t="s">
        <v>884</v>
      </c>
      <c r="F46" s="468" t="s">
        <v>885</v>
      </c>
      <c r="G46" s="468" t="s">
        <v>886</v>
      </c>
      <c r="H46" s="468" t="s">
        <v>887</v>
      </c>
      <c r="I46" s="468" t="s">
        <v>112</v>
      </c>
      <c r="J46" s="468" t="s">
        <v>3474</v>
      </c>
      <c r="K46" s="468" t="s">
        <v>888</v>
      </c>
      <c r="L46" s="468" t="s">
        <v>3928</v>
      </c>
      <c r="M46" s="468" t="s">
        <v>3955</v>
      </c>
      <c r="N46" s="460"/>
      <c r="O46" s="294"/>
      <c r="P46" s="294"/>
      <c r="Q46" s="294"/>
      <c r="R46" s="294"/>
      <c r="S46" s="295"/>
      <c r="T46" s="299"/>
      <c r="U46" s="297">
        <v>2</v>
      </c>
      <c r="V46" s="297"/>
      <c r="W46" s="297"/>
      <c r="X46" s="297"/>
      <c r="Y46" s="297"/>
      <c r="Z46" s="297"/>
      <c r="AA46" s="297"/>
      <c r="AB46" s="293"/>
      <c r="AC46" s="294"/>
      <c r="AD46" s="295"/>
      <c r="AE46" s="298"/>
      <c r="AF46" s="296"/>
      <c r="AG46" s="297"/>
      <c r="AH46" s="297"/>
      <c r="AI46" s="297"/>
      <c r="AJ46" s="297"/>
      <c r="AK46" s="297"/>
      <c r="AL46" s="297"/>
      <c r="AM46" s="297"/>
      <c r="AN46" s="300"/>
      <c r="AO46" s="301"/>
      <c r="AP46" s="301"/>
      <c r="AQ46" s="301"/>
      <c r="AR46" s="301"/>
      <c r="AS46" s="301"/>
      <c r="AT46" s="301"/>
      <c r="AU46" s="301"/>
      <c r="AV46" s="301"/>
      <c r="AW46" s="301">
        <v>1500</v>
      </c>
      <c r="AX46" s="301"/>
      <c r="AY46" s="301"/>
      <c r="AZ46" s="301"/>
      <c r="BA46" s="301"/>
      <c r="BB46" s="301"/>
      <c r="BC46" s="301"/>
      <c r="BD46" s="301"/>
      <c r="BE46" s="301"/>
      <c r="BF46" s="302"/>
      <c r="BG46" s="303"/>
      <c r="BH46" s="304"/>
      <c r="BI46" s="304"/>
      <c r="BJ46" s="304"/>
      <c r="BK46" s="304"/>
      <c r="BL46" s="304"/>
      <c r="BM46" s="304"/>
      <c r="BN46" s="304"/>
      <c r="BO46" s="304"/>
      <c r="BP46" s="304">
        <v>10</v>
      </c>
      <c r="BQ46" s="304"/>
      <c r="BR46" s="304"/>
      <c r="BS46" s="304"/>
      <c r="BT46" s="304"/>
      <c r="BU46" s="304"/>
      <c r="BV46" s="304"/>
      <c r="BW46" s="304"/>
      <c r="BX46" s="304"/>
      <c r="BY46" s="305"/>
      <c r="BZ46" s="306"/>
      <c r="CA46" s="307"/>
      <c r="CB46" s="307"/>
      <c r="CC46" s="307"/>
      <c r="CD46" s="307"/>
      <c r="CE46" s="307"/>
      <c r="CF46" s="307"/>
      <c r="CG46" s="332"/>
      <c r="CH46" s="328">
        <v>2</v>
      </c>
      <c r="CI46" s="328"/>
      <c r="CJ46" s="328"/>
      <c r="CK46" s="328"/>
      <c r="CL46" s="328"/>
      <c r="CM46" s="328"/>
      <c r="CN46" s="370"/>
      <c r="CO46" s="367">
        <v>10</v>
      </c>
      <c r="CP46" s="367"/>
      <c r="CQ46" s="367"/>
      <c r="CR46" s="367"/>
      <c r="CS46" s="387"/>
      <c r="CT46" s="398"/>
      <c r="CU46" s="399">
        <v>1</v>
      </c>
      <c r="CV46" s="399"/>
      <c r="CW46" s="399"/>
      <c r="CX46" s="399"/>
      <c r="CY46" s="399"/>
      <c r="CZ46" s="399"/>
      <c r="DA46" s="400"/>
      <c r="DB46" s="522">
        <v>1</v>
      </c>
    </row>
    <row r="47" spans="1:106" x14ac:dyDescent="0.25">
      <c r="A47" s="468" t="s">
        <v>107</v>
      </c>
      <c r="B47" s="468">
        <v>810</v>
      </c>
      <c r="C47" s="468" t="s">
        <v>3475</v>
      </c>
      <c r="D47" s="468">
        <v>1349</v>
      </c>
      <c r="E47" s="468" t="s">
        <v>889</v>
      </c>
      <c r="F47" s="468" t="s">
        <v>890</v>
      </c>
      <c r="G47" s="468" t="s">
        <v>891</v>
      </c>
      <c r="H47" s="468" t="s">
        <v>877</v>
      </c>
      <c r="I47" s="468" t="s">
        <v>112</v>
      </c>
      <c r="J47" s="468" t="s">
        <v>3476</v>
      </c>
      <c r="K47" s="468" t="s">
        <v>892</v>
      </c>
      <c r="L47" s="468" t="s">
        <v>3928</v>
      </c>
      <c r="M47" s="468" t="s">
        <v>3951</v>
      </c>
      <c r="N47" s="460"/>
      <c r="O47" s="294"/>
      <c r="P47" s="294"/>
      <c r="Q47" s="294"/>
      <c r="R47" s="294"/>
      <c r="S47" s="295"/>
      <c r="T47" s="299"/>
      <c r="U47" s="297">
        <v>2</v>
      </c>
      <c r="V47" s="297"/>
      <c r="W47" s="297"/>
      <c r="X47" s="297"/>
      <c r="Y47" s="297"/>
      <c r="Z47" s="297"/>
      <c r="AA47" s="297"/>
      <c r="AB47" s="293"/>
      <c r="AC47" s="294"/>
      <c r="AD47" s="295"/>
      <c r="AE47" s="298"/>
      <c r="AF47" s="296"/>
      <c r="AG47" s="297"/>
      <c r="AH47" s="297"/>
      <c r="AI47" s="297"/>
      <c r="AJ47" s="297"/>
      <c r="AK47" s="297"/>
      <c r="AL47" s="297"/>
      <c r="AM47" s="297"/>
      <c r="AN47" s="300"/>
      <c r="AO47" s="301"/>
      <c r="AP47" s="301"/>
      <c r="AQ47" s="301"/>
      <c r="AR47" s="301"/>
      <c r="AS47" s="301"/>
      <c r="AT47" s="301"/>
      <c r="AU47" s="301"/>
      <c r="AV47" s="301">
        <v>1500</v>
      </c>
      <c r="AW47" s="301"/>
      <c r="AX47" s="301"/>
      <c r="AY47" s="301"/>
      <c r="AZ47" s="301"/>
      <c r="BA47" s="301"/>
      <c r="BB47" s="301"/>
      <c r="BC47" s="301"/>
      <c r="BD47" s="301"/>
      <c r="BE47" s="301"/>
      <c r="BF47" s="302"/>
      <c r="BG47" s="303"/>
      <c r="BH47" s="304"/>
      <c r="BI47" s="304"/>
      <c r="BJ47" s="304"/>
      <c r="BK47" s="304"/>
      <c r="BL47" s="304"/>
      <c r="BM47" s="304"/>
      <c r="BN47" s="304"/>
      <c r="BO47" s="304">
        <v>10</v>
      </c>
      <c r="BP47" s="304"/>
      <c r="BQ47" s="304"/>
      <c r="BR47" s="304"/>
      <c r="BS47" s="304"/>
      <c r="BT47" s="304"/>
      <c r="BU47" s="304"/>
      <c r="BV47" s="304"/>
      <c r="BW47" s="304"/>
      <c r="BX47" s="304"/>
      <c r="BY47" s="305"/>
      <c r="BZ47" s="306"/>
      <c r="CA47" s="307"/>
      <c r="CB47" s="307"/>
      <c r="CC47" s="307"/>
      <c r="CD47" s="307"/>
      <c r="CE47" s="307"/>
      <c r="CF47" s="307"/>
      <c r="CG47" s="332"/>
      <c r="CH47" s="328">
        <v>2</v>
      </c>
      <c r="CI47" s="328"/>
      <c r="CJ47" s="328"/>
      <c r="CK47" s="328"/>
      <c r="CL47" s="328"/>
      <c r="CM47" s="328"/>
      <c r="CN47" s="370"/>
      <c r="CO47" s="367">
        <v>10</v>
      </c>
      <c r="CP47" s="367"/>
      <c r="CQ47" s="367"/>
      <c r="CR47" s="367"/>
      <c r="CS47" s="387"/>
      <c r="CT47" s="398"/>
      <c r="CU47" s="399">
        <v>1</v>
      </c>
      <c r="CV47" s="399"/>
      <c r="CW47" s="399"/>
      <c r="CX47" s="399"/>
      <c r="CY47" s="399"/>
      <c r="CZ47" s="399"/>
      <c r="DA47" s="400"/>
      <c r="DB47" s="522">
        <v>1</v>
      </c>
    </row>
    <row r="48" spans="1:106" x14ac:dyDescent="0.25">
      <c r="A48" s="468" t="s">
        <v>259</v>
      </c>
      <c r="B48" s="468">
        <v>812</v>
      </c>
      <c r="C48" s="468" t="s">
        <v>3608</v>
      </c>
      <c r="D48" s="468">
        <v>1801</v>
      </c>
      <c r="E48" s="468" t="s">
        <v>928</v>
      </c>
      <c r="F48" s="468" t="s">
        <v>2959</v>
      </c>
      <c r="G48" s="468" t="s">
        <v>930</v>
      </c>
      <c r="H48" s="468" t="s">
        <v>931</v>
      </c>
      <c r="I48" s="468" t="s">
        <v>54</v>
      </c>
      <c r="J48" s="468" t="s">
        <v>3609</v>
      </c>
      <c r="K48" s="468" t="s">
        <v>932</v>
      </c>
      <c r="L48" s="468" t="s">
        <v>3766</v>
      </c>
      <c r="M48" s="468" t="s">
        <v>4020</v>
      </c>
      <c r="N48" s="460"/>
      <c r="O48" s="294"/>
      <c r="P48" s="294"/>
      <c r="Q48" s="294"/>
      <c r="R48" s="294"/>
      <c r="S48" s="295"/>
      <c r="T48" s="299"/>
      <c r="U48" s="297"/>
      <c r="V48" s="297"/>
      <c r="W48" s="297"/>
      <c r="X48" s="297"/>
      <c r="Y48" s="297"/>
      <c r="Z48" s="297"/>
      <c r="AA48" s="297">
        <v>2</v>
      </c>
      <c r="AB48" s="293"/>
      <c r="AC48" s="294"/>
      <c r="AD48" s="295"/>
      <c r="AE48" s="298"/>
      <c r="AF48" s="296"/>
      <c r="AG48" s="297"/>
      <c r="AH48" s="297"/>
      <c r="AI48" s="297"/>
      <c r="AJ48" s="297"/>
      <c r="AK48" s="297"/>
      <c r="AL48" s="297"/>
      <c r="AM48" s="297"/>
      <c r="AN48" s="300"/>
      <c r="AO48" s="301"/>
      <c r="AP48" s="301">
        <v>1500</v>
      </c>
      <c r="AQ48" s="301"/>
      <c r="AR48" s="301"/>
      <c r="AS48" s="301"/>
      <c r="AT48" s="301"/>
      <c r="AU48" s="301"/>
      <c r="AV48" s="301"/>
      <c r="AW48" s="301"/>
      <c r="AX48" s="301"/>
      <c r="AY48" s="301"/>
      <c r="AZ48" s="301"/>
      <c r="BA48" s="301"/>
      <c r="BB48" s="301"/>
      <c r="BC48" s="301"/>
      <c r="BD48" s="301"/>
      <c r="BE48" s="301"/>
      <c r="BF48" s="302"/>
      <c r="BG48" s="303"/>
      <c r="BH48" s="304"/>
      <c r="BI48" s="304">
        <v>10</v>
      </c>
      <c r="BJ48" s="304"/>
      <c r="BK48" s="304"/>
      <c r="BL48" s="304"/>
      <c r="BM48" s="304"/>
      <c r="BN48" s="304"/>
      <c r="BO48" s="304"/>
      <c r="BP48" s="304"/>
      <c r="BQ48" s="304"/>
      <c r="BR48" s="304"/>
      <c r="BS48" s="304"/>
      <c r="BT48" s="304"/>
      <c r="BU48" s="304"/>
      <c r="BV48" s="304"/>
      <c r="BW48" s="304"/>
      <c r="BX48" s="304"/>
      <c r="BY48" s="305"/>
      <c r="BZ48" s="306"/>
      <c r="CA48" s="307"/>
      <c r="CB48" s="307"/>
      <c r="CC48" s="307"/>
      <c r="CD48" s="307"/>
      <c r="CE48" s="307"/>
      <c r="CF48" s="307"/>
      <c r="CG48" s="332"/>
      <c r="CH48" s="328"/>
      <c r="CI48" s="328"/>
      <c r="CJ48" s="328"/>
      <c r="CK48" s="328"/>
      <c r="CL48" s="328"/>
      <c r="CM48" s="328">
        <v>2</v>
      </c>
      <c r="CN48" s="370"/>
      <c r="CO48" s="367"/>
      <c r="CP48" s="367"/>
      <c r="CQ48" s="367"/>
      <c r="CR48" s="367"/>
      <c r="CS48" s="387">
        <v>10</v>
      </c>
      <c r="CT48" s="398"/>
      <c r="CU48" s="399"/>
      <c r="CV48" s="399"/>
      <c r="CW48" s="399"/>
      <c r="CX48" s="399"/>
      <c r="CY48" s="399"/>
      <c r="CZ48" s="399"/>
      <c r="DA48" s="400">
        <v>1</v>
      </c>
      <c r="DB48" s="522">
        <v>1</v>
      </c>
    </row>
    <row r="49" spans="1:106" x14ac:dyDescent="0.25">
      <c r="A49" s="468" t="s">
        <v>259</v>
      </c>
      <c r="B49" s="468">
        <v>812</v>
      </c>
      <c r="C49" s="468" t="s">
        <v>3616</v>
      </c>
      <c r="D49" s="468">
        <v>1805</v>
      </c>
      <c r="E49" s="468" t="s">
        <v>944</v>
      </c>
      <c r="F49" s="468" t="s">
        <v>945</v>
      </c>
      <c r="G49" s="468" t="s">
        <v>946</v>
      </c>
      <c r="H49" s="468" t="s">
        <v>931</v>
      </c>
      <c r="I49" s="468" t="s">
        <v>54</v>
      </c>
      <c r="J49" s="468" t="s">
        <v>3611</v>
      </c>
      <c r="K49" s="468" t="s">
        <v>947</v>
      </c>
      <c r="L49" s="468" t="s">
        <v>3766</v>
      </c>
      <c r="M49" s="468" t="s">
        <v>4020</v>
      </c>
      <c r="N49" s="460"/>
      <c r="O49" s="294"/>
      <c r="P49" s="294"/>
      <c r="Q49" s="294"/>
      <c r="R49" s="294"/>
      <c r="S49" s="295"/>
      <c r="T49" s="299"/>
      <c r="U49" s="297"/>
      <c r="V49" s="297"/>
      <c r="W49" s="297"/>
      <c r="X49" s="297"/>
      <c r="Y49" s="297"/>
      <c r="Z49" s="297"/>
      <c r="AA49" s="297">
        <v>2</v>
      </c>
      <c r="AB49" s="293"/>
      <c r="AC49" s="294"/>
      <c r="AD49" s="295"/>
      <c r="AE49" s="298"/>
      <c r="AF49" s="296"/>
      <c r="AG49" s="297"/>
      <c r="AH49" s="297"/>
      <c r="AI49" s="297"/>
      <c r="AJ49" s="297"/>
      <c r="AK49" s="297"/>
      <c r="AL49" s="297"/>
      <c r="AM49" s="297"/>
      <c r="AN49" s="300"/>
      <c r="AO49" s="301"/>
      <c r="AP49" s="301">
        <v>1500</v>
      </c>
      <c r="AQ49" s="301"/>
      <c r="AR49" s="301"/>
      <c r="AS49" s="301"/>
      <c r="AT49" s="301"/>
      <c r="AU49" s="301"/>
      <c r="AV49" s="301"/>
      <c r="AW49" s="301"/>
      <c r="AX49" s="301"/>
      <c r="AY49" s="301"/>
      <c r="AZ49" s="301"/>
      <c r="BA49" s="301"/>
      <c r="BB49" s="301"/>
      <c r="BC49" s="301"/>
      <c r="BD49" s="301"/>
      <c r="BE49" s="301"/>
      <c r="BF49" s="302"/>
      <c r="BG49" s="303"/>
      <c r="BH49" s="304"/>
      <c r="BI49" s="304">
        <v>10</v>
      </c>
      <c r="BJ49" s="304"/>
      <c r="BK49" s="304"/>
      <c r="BL49" s="304"/>
      <c r="BM49" s="304"/>
      <c r="BN49" s="304"/>
      <c r="BO49" s="304"/>
      <c r="BP49" s="304"/>
      <c r="BQ49" s="304"/>
      <c r="BR49" s="304"/>
      <c r="BS49" s="304"/>
      <c r="BT49" s="304"/>
      <c r="BU49" s="304"/>
      <c r="BV49" s="304"/>
      <c r="BW49" s="304"/>
      <c r="BX49" s="304"/>
      <c r="BY49" s="305"/>
      <c r="BZ49" s="306"/>
      <c r="CA49" s="307"/>
      <c r="CB49" s="307"/>
      <c r="CC49" s="307"/>
      <c r="CD49" s="307"/>
      <c r="CE49" s="307"/>
      <c r="CF49" s="307"/>
      <c r="CG49" s="332"/>
      <c r="CH49" s="328"/>
      <c r="CI49" s="328"/>
      <c r="CJ49" s="328"/>
      <c r="CK49" s="328"/>
      <c r="CL49" s="328"/>
      <c r="CM49" s="328">
        <v>2</v>
      </c>
      <c r="CN49" s="370"/>
      <c r="CO49" s="367"/>
      <c r="CP49" s="367"/>
      <c r="CQ49" s="367"/>
      <c r="CR49" s="367"/>
      <c r="CS49" s="387">
        <v>10</v>
      </c>
      <c r="CT49" s="398"/>
      <c r="CU49" s="399"/>
      <c r="CV49" s="399"/>
      <c r="CW49" s="399"/>
      <c r="CX49" s="399"/>
      <c r="CY49" s="399"/>
      <c r="CZ49" s="399"/>
      <c r="DA49" s="400">
        <v>1</v>
      </c>
      <c r="DB49" s="522">
        <v>1</v>
      </c>
    </row>
    <row r="50" spans="1:106" x14ac:dyDescent="0.25">
      <c r="A50" s="468" t="s">
        <v>259</v>
      </c>
      <c r="B50" s="468">
        <v>812</v>
      </c>
      <c r="C50" s="468" t="s">
        <v>3619</v>
      </c>
      <c r="D50" s="468">
        <v>1807</v>
      </c>
      <c r="E50" s="468" t="s">
        <v>951</v>
      </c>
      <c r="F50" s="468" t="s">
        <v>973</v>
      </c>
      <c r="G50" s="468" t="s">
        <v>952</v>
      </c>
      <c r="H50" s="468" t="s">
        <v>931</v>
      </c>
      <c r="I50" s="468" t="s">
        <v>54</v>
      </c>
      <c r="J50" s="468" t="s">
        <v>3618</v>
      </c>
      <c r="K50" s="468" t="s">
        <v>953</v>
      </c>
      <c r="L50" s="468" t="s">
        <v>3766</v>
      </c>
      <c r="M50" s="468" t="s">
        <v>4020</v>
      </c>
      <c r="N50" s="460"/>
      <c r="O50" s="294"/>
      <c r="P50" s="294"/>
      <c r="Q50" s="294"/>
      <c r="R50" s="294"/>
      <c r="S50" s="295"/>
      <c r="T50" s="299"/>
      <c r="U50" s="297"/>
      <c r="V50" s="297"/>
      <c r="W50" s="297"/>
      <c r="X50" s="297"/>
      <c r="Y50" s="297"/>
      <c r="Z50" s="297"/>
      <c r="AA50" s="297">
        <v>2</v>
      </c>
      <c r="AB50" s="293"/>
      <c r="AC50" s="294"/>
      <c r="AD50" s="295"/>
      <c r="AE50" s="298"/>
      <c r="AF50" s="296"/>
      <c r="AG50" s="297"/>
      <c r="AH50" s="297"/>
      <c r="AI50" s="297"/>
      <c r="AJ50" s="297"/>
      <c r="AK50" s="297"/>
      <c r="AL50" s="297"/>
      <c r="AM50" s="297"/>
      <c r="AN50" s="300"/>
      <c r="AO50" s="301"/>
      <c r="AP50" s="301">
        <v>1500</v>
      </c>
      <c r="AQ50" s="301"/>
      <c r="AR50" s="301"/>
      <c r="AS50" s="301"/>
      <c r="AT50" s="301"/>
      <c r="AU50" s="301"/>
      <c r="AV50" s="301"/>
      <c r="AW50" s="301"/>
      <c r="AX50" s="301"/>
      <c r="AY50" s="301"/>
      <c r="AZ50" s="301"/>
      <c r="BA50" s="301"/>
      <c r="BB50" s="301"/>
      <c r="BC50" s="301"/>
      <c r="BD50" s="301"/>
      <c r="BE50" s="301"/>
      <c r="BF50" s="302"/>
      <c r="BG50" s="303"/>
      <c r="BH50" s="304"/>
      <c r="BI50" s="304">
        <v>10</v>
      </c>
      <c r="BJ50" s="304"/>
      <c r="BK50" s="304"/>
      <c r="BL50" s="304"/>
      <c r="BM50" s="304"/>
      <c r="BN50" s="304"/>
      <c r="BO50" s="304"/>
      <c r="BP50" s="304"/>
      <c r="BQ50" s="304"/>
      <c r="BR50" s="304"/>
      <c r="BS50" s="304"/>
      <c r="BT50" s="304"/>
      <c r="BU50" s="304"/>
      <c r="BV50" s="304"/>
      <c r="BW50" s="304"/>
      <c r="BX50" s="304"/>
      <c r="BY50" s="305"/>
      <c r="BZ50" s="306"/>
      <c r="CA50" s="307"/>
      <c r="CB50" s="307"/>
      <c r="CC50" s="307"/>
      <c r="CD50" s="307"/>
      <c r="CE50" s="307"/>
      <c r="CF50" s="307"/>
      <c r="CG50" s="332"/>
      <c r="CH50" s="328"/>
      <c r="CI50" s="328"/>
      <c r="CJ50" s="328"/>
      <c r="CK50" s="328"/>
      <c r="CL50" s="328"/>
      <c r="CM50" s="328">
        <v>2</v>
      </c>
      <c r="CN50" s="370"/>
      <c r="CO50" s="367"/>
      <c r="CP50" s="367"/>
      <c r="CQ50" s="367"/>
      <c r="CR50" s="367"/>
      <c r="CS50" s="387">
        <v>10</v>
      </c>
      <c r="CT50" s="398"/>
      <c r="CU50" s="399"/>
      <c r="CV50" s="399"/>
      <c r="CW50" s="399"/>
      <c r="CX50" s="399"/>
      <c r="CY50" s="399"/>
      <c r="CZ50" s="399"/>
      <c r="DA50" s="400">
        <v>1</v>
      </c>
      <c r="DB50" s="522">
        <v>1</v>
      </c>
    </row>
    <row r="51" spans="1:106" x14ac:dyDescent="0.25">
      <c r="A51" s="468" t="s">
        <v>259</v>
      </c>
      <c r="B51" s="468">
        <v>832</v>
      </c>
      <c r="C51" s="468" t="s">
        <v>3624</v>
      </c>
      <c r="D51" s="468">
        <v>1811</v>
      </c>
      <c r="E51" s="468" t="s">
        <v>964</v>
      </c>
      <c r="F51" s="468" t="s">
        <v>3625</v>
      </c>
      <c r="G51" s="468" t="s">
        <v>966</v>
      </c>
      <c r="H51" s="468" t="s">
        <v>262</v>
      </c>
      <c r="I51" s="468" t="s">
        <v>54</v>
      </c>
      <c r="J51" s="468" t="s">
        <v>3626</v>
      </c>
      <c r="K51" s="468" t="s">
        <v>967</v>
      </c>
      <c r="L51" s="468" t="s">
        <v>3766</v>
      </c>
      <c r="M51" s="468" t="s">
        <v>4020</v>
      </c>
      <c r="N51" s="460"/>
      <c r="O51" s="294"/>
      <c r="P51" s="294"/>
      <c r="Q51" s="294"/>
      <c r="R51" s="294"/>
      <c r="S51" s="295"/>
      <c r="T51" s="299"/>
      <c r="U51" s="297"/>
      <c r="V51" s="297"/>
      <c r="W51" s="297"/>
      <c r="X51" s="297"/>
      <c r="Y51" s="297"/>
      <c r="Z51" s="297"/>
      <c r="AA51" s="297"/>
      <c r="AB51" s="293">
        <v>2</v>
      </c>
      <c r="AC51" s="294"/>
      <c r="AD51" s="295"/>
      <c r="AE51" s="298"/>
      <c r="AF51" s="296"/>
      <c r="AG51" s="297"/>
      <c r="AH51" s="297"/>
      <c r="AI51" s="297"/>
      <c r="AJ51" s="297"/>
      <c r="AK51" s="297"/>
      <c r="AL51" s="297"/>
      <c r="AM51" s="297"/>
      <c r="AN51" s="300"/>
      <c r="AO51" s="301"/>
      <c r="AP51" s="301">
        <v>1500</v>
      </c>
      <c r="AQ51" s="301"/>
      <c r="AR51" s="301"/>
      <c r="AS51" s="301"/>
      <c r="AT51" s="301"/>
      <c r="AU51" s="301"/>
      <c r="AV51" s="301"/>
      <c r="AW51" s="301"/>
      <c r="AX51" s="301"/>
      <c r="AY51" s="301"/>
      <c r="AZ51" s="301"/>
      <c r="BA51" s="301"/>
      <c r="BB51" s="301"/>
      <c r="BC51" s="301"/>
      <c r="BD51" s="301"/>
      <c r="BE51" s="301"/>
      <c r="BF51" s="302"/>
      <c r="BG51" s="303"/>
      <c r="BH51" s="304"/>
      <c r="BI51" s="304">
        <v>10</v>
      </c>
      <c r="BJ51" s="304"/>
      <c r="BK51" s="304"/>
      <c r="BL51" s="304"/>
      <c r="BM51" s="304"/>
      <c r="BN51" s="304"/>
      <c r="BO51" s="304"/>
      <c r="BP51" s="304"/>
      <c r="BQ51" s="304"/>
      <c r="BR51" s="304"/>
      <c r="BS51" s="304"/>
      <c r="BT51" s="304"/>
      <c r="BU51" s="304"/>
      <c r="BV51" s="304"/>
      <c r="BW51" s="304"/>
      <c r="BX51" s="304"/>
      <c r="BY51" s="305"/>
      <c r="BZ51" s="306"/>
      <c r="CA51" s="307"/>
      <c r="CB51" s="307"/>
      <c r="CC51" s="307"/>
      <c r="CD51" s="307"/>
      <c r="CE51" s="307"/>
      <c r="CF51" s="307"/>
      <c r="CG51" s="332"/>
      <c r="CH51" s="328"/>
      <c r="CI51" s="328"/>
      <c r="CJ51" s="328"/>
      <c r="CK51" s="328"/>
      <c r="CL51" s="328"/>
      <c r="CM51" s="328">
        <v>2</v>
      </c>
      <c r="CN51" s="370"/>
      <c r="CO51" s="367"/>
      <c r="CP51" s="367"/>
      <c r="CQ51" s="367"/>
      <c r="CR51" s="367"/>
      <c r="CS51" s="387">
        <v>10</v>
      </c>
      <c r="CT51" s="398"/>
      <c r="CU51" s="399"/>
      <c r="CV51" s="399"/>
      <c r="CW51" s="399"/>
      <c r="CX51" s="399"/>
      <c r="CY51" s="399"/>
      <c r="CZ51" s="399"/>
      <c r="DA51" s="400">
        <v>1</v>
      </c>
      <c r="DB51" s="522">
        <v>1</v>
      </c>
    </row>
    <row r="52" spans="1:106" x14ac:dyDescent="0.25">
      <c r="A52" s="468" t="s">
        <v>259</v>
      </c>
      <c r="B52" s="468">
        <v>832</v>
      </c>
      <c r="C52" s="468" t="s">
        <v>3629</v>
      </c>
      <c r="D52" s="468">
        <v>1813</v>
      </c>
      <c r="E52" s="468" t="s">
        <v>260</v>
      </c>
      <c r="F52" s="468" t="s">
        <v>1103</v>
      </c>
      <c r="G52" s="468" t="s">
        <v>261</v>
      </c>
      <c r="H52" s="468" t="s">
        <v>262</v>
      </c>
      <c r="I52" s="468" t="s">
        <v>54</v>
      </c>
      <c r="J52" s="468" t="s">
        <v>3630</v>
      </c>
      <c r="K52" s="468" t="s">
        <v>263</v>
      </c>
      <c r="L52" s="468" t="s">
        <v>3766</v>
      </c>
      <c r="M52" s="468" t="s">
        <v>4020</v>
      </c>
      <c r="N52" s="460"/>
      <c r="O52" s="294"/>
      <c r="P52" s="294"/>
      <c r="Q52" s="294"/>
      <c r="R52" s="294"/>
      <c r="S52" s="295"/>
      <c r="T52" s="299"/>
      <c r="U52" s="297"/>
      <c r="V52" s="297"/>
      <c r="W52" s="297"/>
      <c r="X52" s="297"/>
      <c r="Y52" s="297"/>
      <c r="Z52" s="297"/>
      <c r="AA52" s="297">
        <v>2</v>
      </c>
      <c r="AB52" s="293"/>
      <c r="AC52" s="294"/>
      <c r="AD52" s="295"/>
      <c r="AE52" s="298"/>
      <c r="AF52" s="296"/>
      <c r="AG52" s="297"/>
      <c r="AH52" s="297"/>
      <c r="AI52" s="297"/>
      <c r="AJ52" s="297"/>
      <c r="AK52" s="297"/>
      <c r="AL52" s="297"/>
      <c r="AM52" s="297"/>
      <c r="AN52" s="300"/>
      <c r="AO52" s="301"/>
      <c r="AP52" s="301">
        <v>1500</v>
      </c>
      <c r="AQ52" s="301"/>
      <c r="AR52" s="301"/>
      <c r="AS52" s="301"/>
      <c r="AT52" s="301"/>
      <c r="AU52" s="301"/>
      <c r="AV52" s="301"/>
      <c r="AW52" s="301"/>
      <c r="AX52" s="301"/>
      <c r="AY52" s="301"/>
      <c r="AZ52" s="301"/>
      <c r="BA52" s="301"/>
      <c r="BB52" s="301"/>
      <c r="BC52" s="301"/>
      <c r="BD52" s="301"/>
      <c r="BE52" s="301"/>
      <c r="BF52" s="302"/>
      <c r="BG52" s="303"/>
      <c r="BH52" s="304"/>
      <c r="BI52" s="304">
        <v>10</v>
      </c>
      <c r="BJ52" s="304"/>
      <c r="BK52" s="304"/>
      <c r="BL52" s="304"/>
      <c r="BM52" s="304"/>
      <c r="BN52" s="304"/>
      <c r="BO52" s="304"/>
      <c r="BP52" s="304"/>
      <c r="BQ52" s="304"/>
      <c r="BR52" s="304"/>
      <c r="BS52" s="304"/>
      <c r="BT52" s="304"/>
      <c r="BU52" s="304"/>
      <c r="BV52" s="304"/>
      <c r="BW52" s="304"/>
      <c r="BX52" s="304"/>
      <c r="BY52" s="305"/>
      <c r="BZ52" s="306"/>
      <c r="CA52" s="307"/>
      <c r="CB52" s="307"/>
      <c r="CC52" s="307"/>
      <c r="CD52" s="307"/>
      <c r="CE52" s="307"/>
      <c r="CF52" s="307"/>
      <c r="CG52" s="332"/>
      <c r="CH52" s="328"/>
      <c r="CI52" s="328"/>
      <c r="CJ52" s="328"/>
      <c r="CK52" s="328"/>
      <c r="CL52" s="328"/>
      <c r="CM52" s="328">
        <v>2</v>
      </c>
      <c r="CN52" s="370"/>
      <c r="CO52" s="367"/>
      <c r="CP52" s="367"/>
      <c r="CQ52" s="367"/>
      <c r="CR52" s="367"/>
      <c r="CS52" s="387">
        <v>10</v>
      </c>
      <c r="CT52" s="398"/>
      <c r="CU52" s="399"/>
      <c r="CV52" s="399"/>
      <c r="CW52" s="399"/>
      <c r="CX52" s="399"/>
      <c r="CY52" s="399"/>
      <c r="CZ52" s="399"/>
      <c r="DA52" s="400">
        <v>1</v>
      </c>
      <c r="DB52" s="522">
        <v>1</v>
      </c>
    </row>
    <row r="53" spans="1:106" x14ac:dyDescent="0.25">
      <c r="A53" s="468" t="s">
        <v>259</v>
      </c>
      <c r="B53" s="468">
        <v>832</v>
      </c>
      <c r="C53" s="468" t="s">
        <v>3631</v>
      </c>
      <c r="D53" s="468">
        <v>1814</v>
      </c>
      <c r="E53" s="468" t="s">
        <v>972</v>
      </c>
      <c r="F53" s="468" t="s">
        <v>3047</v>
      </c>
      <c r="G53" s="468" t="s">
        <v>974</v>
      </c>
      <c r="H53" s="468" t="s">
        <v>262</v>
      </c>
      <c r="I53" s="468" t="s">
        <v>54</v>
      </c>
      <c r="J53" s="468" t="s">
        <v>3632</v>
      </c>
      <c r="K53" s="468" t="s">
        <v>975</v>
      </c>
      <c r="L53" s="468" t="s">
        <v>3766</v>
      </c>
      <c r="M53" s="468" t="s">
        <v>4020</v>
      </c>
      <c r="N53" s="460"/>
      <c r="O53" s="294"/>
      <c r="P53" s="294"/>
      <c r="Q53" s="294"/>
      <c r="R53" s="294"/>
      <c r="S53" s="295"/>
      <c r="T53" s="299"/>
      <c r="U53" s="297"/>
      <c r="V53" s="297"/>
      <c r="W53" s="297"/>
      <c r="X53" s="297"/>
      <c r="Y53" s="297"/>
      <c r="Z53" s="297"/>
      <c r="AA53" s="297">
        <v>2</v>
      </c>
      <c r="AB53" s="293"/>
      <c r="AC53" s="294"/>
      <c r="AD53" s="295"/>
      <c r="AE53" s="298"/>
      <c r="AF53" s="296"/>
      <c r="AG53" s="297"/>
      <c r="AH53" s="297"/>
      <c r="AI53" s="297"/>
      <c r="AJ53" s="297"/>
      <c r="AK53" s="297"/>
      <c r="AL53" s="297"/>
      <c r="AM53" s="297"/>
      <c r="AN53" s="300"/>
      <c r="AO53" s="301"/>
      <c r="AP53" s="301">
        <v>1500</v>
      </c>
      <c r="AQ53" s="301"/>
      <c r="AR53" s="301"/>
      <c r="AS53" s="301"/>
      <c r="AT53" s="301"/>
      <c r="AU53" s="301"/>
      <c r="AV53" s="301"/>
      <c r="AW53" s="301"/>
      <c r="AX53" s="301"/>
      <c r="AY53" s="301"/>
      <c r="AZ53" s="301"/>
      <c r="BA53" s="301"/>
      <c r="BB53" s="301"/>
      <c r="BC53" s="301"/>
      <c r="BD53" s="301"/>
      <c r="BE53" s="301"/>
      <c r="BF53" s="302"/>
      <c r="BG53" s="303"/>
      <c r="BH53" s="304"/>
      <c r="BI53" s="304">
        <v>10</v>
      </c>
      <c r="BJ53" s="304"/>
      <c r="BK53" s="304"/>
      <c r="BL53" s="304"/>
      <c r="BM53" s="304"/>
      <c r="BN53" s="304"/>
      <c r="BO53" s="304"/>
      <c r="BP53" s="304"/>
      <c r="BQ53" s="304"/>
      <c r="BR53" s="304"/>
      <c r="BS53" s="304"/>
      <c r="BT53" s="304"/>
      <c r="BU53" s="304"/>
      <c r="BV53" s="304"/>
      <c r="BW53" s="304"/>
      <c r="BX53" s="304"/>
      <c r="BY53" s="305"/>
      <c r="BZ53" s="306"/>
      <c r="CA53" s="307"/>
      <c r="CB53" s="307"/>
      <c r="CC53" s="307"/>
      <c r="CD53" s="307"/>
      <c r="CE53" s="307"/>
      <c r="CF53" s="307"/>
      <c r="CG53" s="332"/>
      <c r="CH53" s="328"/>
      <c r="CI53" s="328"/>
      <c r="CJ53" s="328"/>
      <c r="CK53" s="328"/>
      <c r="CL53" s="328"/>
      <c r="CM53" s="328">
        <v>2</v>
      </c>
      <c r="CN53" s="370"/>
      <c r="CO53" s="367"/>
      <c r="CP53" s="367"/>
      <c r="CQ53" s="367"/>
      <c r="CR53" s="367"/>
      <c r="CS53" s="387">
        <v>10</v>
      </c>
      <c r="CT53" s="398"/>
      <c r="CU53" s="399"/>
      <c r="CV53" s="399"/>
      <c r="CW53" s="399"/>
      <c r="CX53" s="399"/>
      <c r="CY53" s="399"/>
      <c r="CZ53" s="399"/>
      <c r="DA53" s="400">
        <v>1</v>
      </c>
      <c r="DB53" s="522">
        <v>1</v>
      </c>
    </row>
    <row r="54" spans="1:106" x14ac:dyDescent="0.25">
      <c r="A54" s="468" t="s">
        <v>259</v>
      </c>
      <c r="B54" s="468">
        <v>832</v>
      </c>
      <c r="C54" s="468" t="s">
        <v>3635</v>
      </c>
      <c r="D54" s="468">
        <v>1816</v>
      </c>
      <c r="E54" s="468" t="s">
        <v>981</v>
      </c>
      <c r="F54" s="468" t="s">
        <v>982</v>
      </c>
      <c r="G54" s="468" t="s">
        <v>983</v>
      </c>
      <c r="H54" s="468" t="s">
        <v>984</v>
      </c>
      <c r="I54" s="468" t="s">
        <v>54</v>
      </c>
      <c r="J54" s="468" t="s">
        <v>3636</v>
      </c>
      <c r="K54" s="468" t="s">
        <v>985</v>
      </c>
      <c r="L54" s="468" t="s">
        <v>3766</v>
      </c>
      <c r="M54" s="468" t="s">
        <v>4020</v>
      </c>
      <c r="N54" s="460"/>
      <c r="O54" s="294"/>
      <c r="P54" s="294"/>
      <c r="Q54" s="294"/>
      <c r="R54" s="294"/>
      <c r="S54" s="295"/>
      <c r="T54" s="299"/>
      <c r="U54" s="297"/>
      <c r="V54" s="297"/>
      <c r="W54" s="297"/>
      <c r="X54" s="297"/>
      <c r="Y54" s="297"/>
      <c r="Z54" s="297"/>
      <c r="AA54" s="297">
        <v>2</v>
      </c>
      <c r="AB54" s="293"/>
      <c r="AC54" s="294"/>
      <c r="AD54" s="295"/>
      <c r="AE54" s="298"/>
      <c r="AF54" s="296"/>
      <c r="AG54" s="297"/>
      <c r="AH54" s="297"/>
      <c r="AI54" s="297"/>
      <c r="AJ54" s="297"/>
      <c r="AK54" s="297"/>
      <c r="AL54" s="297"/>
      <c r="AM54" s="297"/>
      <c r="AN54" s="300"/>
      <c r="AO54" s="301"/>
      <c r="AP54" s="301">
        <v>1500</v>
      </c>
      <c r="AQ54" s="301"/>
      <c r="AR54" s="301"/>
      <c r="AS54" s="301"/>
      <c r="AT54" s="301"/>
      <c r="AU54" s="301"/>
      <c r="AV54" s="301"/>
      <c r="AW54" s="301"/>
      <c r="AX54" s="301"/>
      <c r="AY54" s="301"/>
      <c r="AZ54" s="301"/>
      <c r="BA54" s="301"/>
      <c r="BB54" s="301"/>
      <c r="BC54" s="301"/>
      <c r="BD54" s="301"/>
      <c r="BE54" s="301"/>
      <c r="BF54" s="302"/>
      <c r="BG54" s="303"/>
      <c r="BH54" s="304"/>
      <c r="BI54" s="304">
        <v>10</v>
      </c>
      <c r="BJ54" s="304"/>
      <c r="BK54" s="304"/>
      <c r="BL54" s="304"/>
      <c r="BM54" s="304"/>
      <c r="BN54" s="304"/>
      <c r="BO54" s="304"/>
      <c r="BP54" s="304"/>
      <c r="BQ54" s="304"/>
      <c r="BR54" s="304"/>
      <c r="BS54" s="304"/>
      <c r="BT54" s="304"/>
      <c r="BU54" s="304"/>
      <c r="BV54" s="304"/>
      <c r="BW54" s="304"/>
      <c r="BX54" s="304"/>
      <c r="BY54" s="305"/>
      <c r="BZ54" s="306"/>
      <c r="CA54" s="307"/>
      <c r="CB54" s="307"/>
      <c r="CC54" s="307"/>
      <c r="CD54" s="307"/>
      <c r="CE54" s="307"/>
      <c r="CF54" s="307"/>
      <c r="CG54" s="332"/>
      <c r="CH54" s="328"/>
      <c r="CI54" s="328"/>
      <c r="CJ54" s="328"/>
      <c r="CK54" s="328"/>
      <c r="CL54" s="328"/>
      <c r="CM54" s="328">
        <v>2</v>
      </c>
      <c r="CN54" s="370"/>
      <c r="CO54" s="367"/>
      <c r="CP54" s="367"/>
      <c r="CQ54" s="367"/>
      <c r="CR54" s="367"/>
      <c r="CS54" s="387">
        <v>10</v>
      </c>
      <c r="CT54" s="398"/>
      <c r="CU54" s="399"/>
      <c r="CV54" s="399"/>
      <c r="CW54" s="399"/>
      <c r="CX54" s="399"/>
      <c r="CY54" s="399"/>
      <c r="CZ54" s="399"/>
      <c r="DA54" s="400">
        <v>1</v>
      </c>
      <c r="DB54" s="522">
        <v>1</v>
      </c>
    </row>
    <row r="55" spans="1:106" x14ac:dyDescent="0.25">
      <c r="A55" s="468" t="s">
        <v>68</v>
      </c>
      <c r="B55" s="468">
        <v>832</v>
      </c>
      <c r="C55" s="468" t="s">
        <v>3655</v>
      </c>
      <c r="D55" s="468">
        <v>1906</v>
      </c>
      <c r="E55" s="468" t="s">
        <v>999</v>
      </c>
      <c r="F55" s="468" t="s">
        <v>995</v>
      </c>
      <c r="G55" s="468" t="s">
        <v>1001</v>
      </c>
      <c r="H55" s="468" t="s">
        <v>72</v>
      </c>
      <c r="I55" s="468" t="s">
        <v>54</v>
      </c>
      <c r="J55" s="468" t="s">
        <v>3656</v>
      </c>
      <c r="K55" s="468" t="s">
        <v>1002</v>
      </c>
      <c r="L55" s="468" t="s">
        <v>3766</v>
      </c>
      <c r="M55" s="468" t="s">
        <v>4020</v>
      </c>
      <c r="N55" s="460"/>
      <c r="O55" s="294"/>
      <c r="P55" s="294"/>
      <c r="Q55" s="294"/>
      <c r="R55" s="294"/>
      <c r="S55" s="295"/>
      <c r="T55" s="299"/>
      <c r="U55" s="297"/>
      <c r="V55" s="297"/>
      <c r="W55" s="297"/>
      <c r="X55" s="297"/>
      <c r="Y55" s="297"/>
      <c r="Z55" s="297"/>
      <c r="AA55" s="297"/>
      <c r="AB55" s="293">
        <v>2</v>
      </c>
      <c r="AC55" s="294"/>
      <c r="AD55" s="295"/>
      <c r="AE55" s="298"/>
      <c r="AF55" s="296"/>
      <c r="AG55" s="297"/>
      <c r="AH55" s="297"/>
      <c r="AI55" s="297"/>
      <c r="AJ55" s="297"/>
      <c r="AK55" s="297"/>
      <c r="AL55" s="297"/>
      <c r="AM55" s="297"/>
      <c r="AN55" s="300"/>
      <c r="AO55" s="301"/>
      <c r="AP55" s="301">
        <v>1500</v>
      </c>
      <c r="AQ55" s="301"/>
      <c r="AR55" s="301"/>
      <c r="AS55" s="301"/>
      <c r="AT55" s="301"/>
      <c r="AU55" s="301"/>
      <c r="AV55" s="301"/>
      <c r="AW55" s="301"/>
      <c r="AX55" s="301"/>
      <c r="AY55" s="301"/>
      <c r="AZ55" s="301"/>
      <c r="BA55" s="301"/>
      <c r="BB55" s="301"/>
      <c r="BC55" s="301"/>
      <c r="BD55" s="301"/>
      <c r="BE55" s="301"/>
      <c r="BF55" s="302"/>
      <c r="BG55" s="303"/>
      <c r="BH55" s="304"/>
      <c r="BI55" s="304">
        <v>10</v>
      </c>
      <c r="BJ55" s="304"/>
      <c r="BK55" s="304"/>
      <c r="BL55" s="304"/>
      <c r="BM55" s="304"/>
      <c r="BN55" s="304"/>
      <c r="BO55" s="304"/>
      <c r="BP55" s="304"/>
      <c r="BQ55" s="304"/>
      <c r="BR55" s="304"/>
      <c r="BS55" s="304"/>
      <c r="BT55" s="304"/>
      <c r="BU55" s="304"/>
      <c r="BV55" s="304"/>
      <c r="BW55" s="304"/>
      <c r="BX55" s="304"/>
      <c r="BY55" s="305"/>
      <c r="BZ55" s="306"/>
      <c r="CA55" s="307"/>
      <c r="CB55" s="307"/>
      <c r="CC55" s="307"/>
      <c r="CD55" s="307"/>
      <c r="CE55" s="307"/>
      <c r="CF55" s="307"/>
      <c r="CG55" s="332"/>
      <c r="CH55" s="328"/>
      <c r="CI55" s="328"/>
      <c r="CJ55" s="328"/>
      <c r="CK55" s="328"/>
      <c r="CL55" s="328"/>
      <c r="CM55" s="328">
        <v>2</v>
      </c>
      <c r="CN55" s="370"/>
      <c r="CO55" s="367"/>
      <c r="CP55" s="367"/>
      <c r="CQ55" s="367"/>
      <c r="CR55" s="367"/>
      <c r="CS55" s="387">
        <v>10</v>
      </c>
      <c r="CT55" s="398"/>
      <c r="CU55" s="399"/>
      <c r="CV55" s="399"/>
      <c r="CW55" s="399"/>
      <c r="CX55" s="399"/>
      <c r="CY55" s="399"/>
      <c r="CZ55" s="399"/>
      <c r="DA55" s="400">
        <v>1</v>
      </c>
      <c r="DB55" s="522">
        <v>1</v>
      </c>
    </row>
    <row r="56" spans="1:106" x14ac:dyDescent="0.25">
      <c r="A56" s="468" t="s">
        <v>49</v>
      </c>
      <c r="B56" s="468">
        <v>812</v>
      </c>
      <c r="C56" s="468" t="s">
        <v>1174</v>
      </c>
      <c r="D56" s="468">
        <v>233</v>
      </c>
      <c r="E56" s="468" t="s">
        <v>1175</v>
      </c>
      <c r="F56" s="468" t="s">
        <v>3026</v>
      </c>
      <c r="G56" s="468" t="s">
        <v>1177</v>
      </c>
      <c r="H56" s="468" t="s">
        <v>1178</v>
      </c>
      <c r="I56" s="468" t="s">
        <v>54</v>
      </c>
      <c r="J56" s="468" t="s">
        <v>3099</v>
      </c>
      <c r="K56" s="468" t="s">
        <v>1179</v>
      </c>
      <c r="L56" s="468" t="s">
        <v>3766</v>
      </c>
      <c r="M56" s="468" t="s">
        <v>4011</v>
      </c>
      <c r="N56" s="460"/>
      <c r="O56" s="294"/>
      <c r="P56" s="294"/>
      <c r="Q56" s="294"/>
      <c r="R56" s="294"/>
      <c r="S56" s="295"/>
      <c r="T56" s="299"/>
      <c r="U56" s="297"/>
      <c r="V56" s="297"/>
      <c r="W56" s="297"/>
      <c r="X56" s="297"/>
      <c r="Y56" s="297"/>
      <c r="Z56" s="297"/>
      <c r="AA56" s="297">
        <v>1</v>
      </c>
      <c r="AB56" s="293">
        <v>0</v>
      </c>
      <c r="AC56" s="294"/>
      <c r="AD56" s="295"/>
      <c r="AE56" s="298"/>
      <c r="AF56" s="296"/>
      <c r="AG56" s="297"/>
      <c r="AH56" s="297"/>
      <c r="AI56" s="297"/>
      <c r="AJ56" s="297"/>
      <c r="AK56" s="297"/>
      <c r="AL56" s="297"/>
      <c r="AM56" s="297"/>
      <c r="AN56" s="300">
        <v>1500</v>
      </c>
      <c r="AO56" s="301"/>
      <c r="AP56" s="301"/>
      <c r="AQ56" s="301"/>
      <c r="AR56" s="301"/>
      <c r="AS56" s="301"/>
      <c r="AT56" s="301"/>
      <c r="AU56" s="301"/>
      <c r="AV56" s="301"/>
      <c r="AW56" s="301"/>
      <c r="AX56" s="301"/>
      <c r="AY56" s="301"/>
      <c r="AZ56" s="301"/>
      <c r="BA56" s="301"/>
      <c r="BB56" s="301"/>
      <c r="BC56" s="301"/>
      <c r="BD56" s="301"/>
      <c r="BE56" s="301"/>
      <c r="BF56" s="302"/>
      <c r="BG56" s="303">
        <v>10</v>
      </c>
      <c r="BH56" s="304"/>
      <c r="BI56" s="304"/>
      <c r="BJ56" s="304"/>
      <c r="BK56" s="304"/>
      <c r="BL56" s="304"/>
      <c r="BM56" s="304"/>
      <c r="BN56" s="304"/>
      <c r="BO56" s="304"/>
      <c r="BP56" s="304"/>
      <c r="BQ56" s="304"/>
      <c r="BR56" s="304"/>
      <c r="BS56" s="304"/>
      <c r="BT56" s="304"/>
      <c r="BU56" s="304"/>
      <c r="BV56" s="304"/>
      <c r="BW56" s="304"/>
      <c r="BX56" s="304"/>
      <c r="BY56" s="305"/>
      <c r="BZ56" s="306"/>
      <c r="CA56" s="307"/>
      <c r="CB56" s="307"/>
      <c r="CC56" s="307"/>
      <c r="CD56" s="307"/>
      <c r="CE56" s="307"/>
      <c r="CF56" s="307"/>
      <c r="CG56" s="332"/>
      <c r="CH56" s="328"/>
      <c r="CI56" s="328"/>
      <c r="CJ56" s="328"/>
      <c r="CK56" s="328"/>
      <c r="CL56" s="328"/>
      <c r="CM56" s="328">
        <v>2</v>
      </c>
      <c r="CN56" s="370"/>
      <c r="CO56" s="367"/>
      <c r="CP56" s="367"/>
      <c r="CQ56" s="367"/>
      <c r="CR56" s="367"/>
      <c r="CS56" s="387">
        <v>10</v>
      </c>
      <c r="CT56" s="398"/>
      <c r="CU56" s="399"/>
      <c r="CV56" s="399"/>
      <c r="CW56" s="399"/>
      <c r="CX56" s="399"/>
      <c r="CY56" s="399"/>
      <c r="CZ56" s="399"/>
      <c r="DA56" s="400">
        <v>1</v>
      </c>
      <c r="DB56" s="522">
        <v>1</v>
      </c>
    </row>
    <row r="57" spans="1:106" x14ac:dyDescent="0.25">
      <c r="A57" s="468" t="s">
        <v>49</v>
      </c>
      <c r="B57" s="468">
        <v>812</v>
      </c>
      <c r="C57" s="468" t="s">
        <v>1185</v>
      </c>
      <c r="D57" s="468">
        <v>235</v>
      </c>
      <c r="E57" s="468" t="s">
        <v>1186</v>
      </c>
      <c r="F57" s="468" t="s">
        <v>3010</v>
      </c>
      <c r="G57" s="468" t="s">
        <v>1188</v>
      </c>
      <c r="H57" s="468" t="s">
        <v>1074</v>
      </c>
      <c r="I57" s="468" t="s">
        <v>54</v>
      </c>
      <c r="J57" s="468" t="s">
        <v>3100</v>
      </c>
      <c r="K57" s="468" t="s">
        <v>1189</v>
      </c>
      <c r="L57" s="468" t="s">
        <v>3766</v>
      </c>
      <c r="M57" s="468" t="s">
        <v>4011</v>
      </c>
      <c r="N57" s="460"/>
      <c r="O57" s="294"/>
      <c r="P57" s="294"/>
      <c r="Q57" s="294"/>
      <c r="R57" s="294"/>
      <c r="S57" s="295"/>
      <c r="T57" s="299"/>
      <c r="U57" s="297"/>
      <c r="V57" s="297"/>
      <c r="W57" s="297"/>
      <c r="X57" s="297"/>
      <c r="Y57" s="297"/>
      <c r="Z57" s="297"/>
      <c r="AA57" s="297"/>
      <c r="AB57" s="293"/>
      <c r="AC57" s="294"/>
      <c r="AD57" s="295"/>
      <c r="AE57" s="298"/>
      <c r="AF57" s="296"/>
      <c r="AG57" s="297"/>
      <c r="AH57" s="297"/>
      <c r="AI57" s="297"/>
      <c r="AJ57" s="297"/>
      <c r="AK57" s="297"/>
      <c r="AL57" s="297"/>
      <c r="AM57" s="297"/>
      <c r="AN57" s="300">
        <v>1500</v>
      </c>
      <c r="AO57" s="301"/>
      <c r="AP57" s="301"/>
      <c r="AQ57" s="301"/>
      <c r="AR57" s="301"/>
      <c r="AS57" s="301"/>
      <c r="AT57" s="301"/>
      <c r="AU57" s="301"/>
      <c r="AV57" s="301"/>
      <c r="AW57" s="301"/>
      <c r="AX57" s="301"/>
      <c r="AY57" s="301"/>
      <c r="AZ57" s="301"/>
      <c r="BA57" s="301"/>
      <c r="BB57" s="301"/>
      <c r="BC57" s="301"/>
      <c r="BD57" s="301"/>
      <c r="BE57" s="301"/>
      <c r="BF57" s="302"/>
      <c r="BG57" s="303">
        <v>10</v>
      </c>
      <c r="BH57" s="304"/>
      <c r="BI57" s="304"/>
      <c r="BJ57" s="304"/>
      <c r="BK57" s="304"/>
      <c r="BL57" s="304"/>
      <c r="BM57" s="304"/>
      <c r="BN57" s="304"/>
      <c r="BO57" s="304"/>
      <c r="BP57" s="304"/>
      <c r="BQ57" s="304"/>
      <c r="BR57" s="304"/>
      <c r="BS57" s="304"/>
      <c r="BT57" s="304"/>
      <c r="BU57" s="304"/>
      <c r="BV57" s="304"/>
      <c r="BW57" s="304"/>
      <c r="BX57" s="304"/>
      <c r="BY57" s="305"/>
      <c r="BZ57" s="308"/>
      <c r="CA57" s="307"/>
      <c r="CB57" s="307"/>
      <c r="CC57" s="307"/>
      <c r="CD57" s="307"/>
      <c r="CE57" s="307"/>
      <c r="CF57" s="309">
        <v>1</v>
      </c>
      <c r="CG57" s="332"/>
      <c r="CH57" s="328"/>
      <c r="CI57" s="328"/>
      <c r="CJ57" s="328"/>
      <c r="CK57" s="328"/>
      <c r="CL57" s="328"/>
      <c r="CM57" s="328">
        <v>2</v>
      </c>
      <c r="CN57" s="370"/>
      <c r="CO57" s="367"/>
      <c r="CP57" s="367"/>
      <c r="CQ57" s="367"/>
      <c r="CR57" s="367"/>
      <c r="CS57" s="387">
        <v>10</v>
      </c>
      <c r="CT57" s="398"/>
      <c r="CU57" s="399"/>
      <c r="CV57" s="399"/>
      <c r="CW57" s="399"/>
      <c r="CX57" s="399"/>
      <c r="CY57" s="399"/>
      <c r="CZ57" s="399"/>
      <c r="DA57" s="400">
        <v>1</v>
      </c>
      <c r="DB57" s="522">
        <v>1</v>
      </c>
    </row>
    <row r="58" spans="1:106" x14ac:dyDescent="0.25">
      <c r="A58" s="468" t="s">
        <v>49</v>
      </c>
      <c r="B58" s="468">
        <v>812</v>
      </c>
      <c r="C58" s="468" t="s">
        <v>1190</v>
      </c>
      <c r="D58" s="468">
        <v>236</v>
      </c>
      <c r="E58" s="468" t="s">
        <v>1191</v>
      </c>
      <c r="F58" s="468" t="s">
        <v>2965</v>
      </c>
      <c r="G58" s="468" t="s">
        <v>1192</v>
      </c>
      <c r="H58" s="468" t="s">
        <v>1074</v>
      </c>
      <c r="I58" s="468" t="s">
        <v>54</v>
      </c>
      <c r="J58" s="468" t="s">
        <v>3101</v>
      </c>
      <c r="K58" s="468" t="s">
        <v>1193</v>
      </c>
      <c r="L58" s="468" t="s">
        <v>3766</v>
      </c>
      <c r="M58" s="468" t="s">
        <v>4011</v>
      </c>
      <c r="N58" s="460"/>
      <c r="O58" s="294"/>
      <c r="P58" s="294"/>
      <c r="Q58" s="294"/>
      <c r="R58" s="294"/>
      <c r="S58" s="295"/>
      <c r="T58" s="299"/>
      <c r="U58" s="297"/>
      <c r="V58" s="297"/>
      <c r="W58" s="297"/>
      <c r="X58" s="297"/>
      <c r="Y58" s="297"/>
      <c r="Z58" s="297"/>
      <c r="AA58" s="297">
        <v>2</v>
      </c>
      <c r="AB58" s="293">
        <v>0</v>
      </c>
      <c r="AC58" s="294"/>
      <c r="AD58" s="295"/>
      <c r="AE58" s="298"/>
      <c r="AF58" s="296"/>
      <c r="AG58" s="297"/>
      <c r="AH58" s="297"/>
      <c r="AI58" s="297"/>
      <c r="AJ58" s="297"/>
      <c r="AK58" s="297"/>
      <c r="AL58" s="297"/>
      <c r="AM58" s="297"/>
      <c r="AN58" s="300">
        <v>1500</v>
      </c>
      <c r="AO58" s="301"/>
      <c r="AP58" s="301"/>
      <c r="AQ58" s="301"/>
      <c r="AR58" s="301"/>
      <c r="AS58" s="301"/>
      <c r="AT58" s="301"/>
      <c r="AU58" s="301"/>
      <c r="AV58" s="301"/>
      <c r="AW58" s="301"/>
      <c r="AX58" s="301"/>
      <c r="AY58" s="301"/>
      <c r="AZ58" s="301"/>
      <c r="BA58" s="301"/>
      <c r="BB58" s="301"/>
      <c r="BC58" s="301"/>
      <c r="BD58" s="301"/>
      <c r="BE58" s="301"/>
      <c r="BF58" s="302"/>
      <c r="BG58" s="303">
        <v>10</v>
      </c>
      <c r="BH58" s="304"/>
      <c r="BI58" s="304"/>
      <c r="BJ58" s="304"/>
      <c r="BK58" s="304"/>
      <c r="BL58" s="304"/>
      <c r="BM58" s="304"/>
      <c r="BN58" s="304"/>
      <c r="BO58" s="304"/>
      <c r="BP58" s="304"/>
      <c r="BQ58" s="304"/>
      <c r="BR58" s="304"/>
      <c r="BS58" s="304"/>
      <c r="BT58" s="304"/>
      <c r="BU58" s="304"/>
      <c r="BV58" s="304"/>
      <c r="BW58" s="304"/>
      <c r="BX58" s="304"/>
      <c r="BY58" s="305"/>
      <c r="BZ58" s="308"/>
      <c r="CA58" s="307"/>
      <c r="CB58" s="307"/>
      <c r="CC58" s="307"/>
      <c r="CD58" s="307"/>
      <c r="CE58" s="307"/>
      <c r="CF58" s="309"/>
      <c r="CG58" s="332"/>
      <c r="CH58" s="328"/>
      <c r="CI58" s="328"/>
      <c r="CJ58" s="328"/>
      <c r="CK58" s="328"/>
      <c r="CL58" s="328"/>
      <c r="CM58" s="328">
        <v>2</v>
      </c>
      <c r="CN58" s="370"/>
      <c r="CO58" s="367"/>
      <c r="CP58" s="367"/>
      <c r="CQ58" s="367"/>
      <c r="CR58" s="367"/>
      <c r="CS58" s="387">
        <v>10</v>
      </c>
      <c r="CT58" s="398"/>
      <c r="CU58" s="399"/>
      <c r="CV58" s="399"/>
      <c r="CW58" s="399"/>
      <c r="CX58" s="399"/>
      <c r="CY58" s="399"/>
      <c r="CZ58" s="399"/>
      <c r="DA58" s="400">
        <v>1</v>
      </c>
      <c r="DB58" s="522">
        <v>1</v>
      </c>
    </row>
    <row r="59" spans="1:106" x14ac:dyDescent="0.25">
      <c r="A59" s="468" t="s">
        <v>49</v>
      </c>
      <c r="B59" s="468">
        <v>812</v>
      </c>
      <c r="C59" s="468" t="s">
        <v>1194</v>
      </c>
      <c r="D59" s="468">
        <v>243</v>
      </c>
      <c r="E59" s="468" t="s">
        <v>1195</v>
      </c>
      <c r="F59" s="468" t="s">
        <v>1196</v>
      </c>
      <c r="G59" s="468" t="s">
        <v>1197</v>
      </c>
      <c r="H59" s="468" t="s">
        <v>1074</v>
      </c>
      <c r="I59" s="468" t="s">
        <v>54</v>
      </c>
      <c r="J59" s="468" t="s">
        <v>3105</v>
      </c>
      <c r="K59" s="468" t="s">
        <v>1198</v>
      </c>
      <c r="L59" s="468" t="s">
        <v>3766</v>
      </c>
      <c r="M59" s="468" t="s">
        <v>4011</v>
      </c>
      <c r="N59" s="460"/>
      <c r="O59" s="294"/>
      <c r="P59" s="294"/>
      <c r="Q59" s="294"/>
      <c r="R59" s="294"/>
      <c r="S59" s="295"/>
      <c r="T59" s="299"/>
      <c r="U59" s="297"/>
      <c r="V59" s="297"/>
      <c r="W59" s="297"/>
      <c r="X59" s="297"/>
      <c r="Y59" s="297"/>
      <c r="Z59" s="297"/>
      <c r="AA59" s="297">
        <v>1</v>
      </c>
      <c r="AB59" s="293">
        <v>0</v>
      </c>
      <c r="AC59" s="294"/>
      <c r="AD59" s="295"/>
      <c r="AE59" s="298"/>
      <c r="AF59" s="296">
        <v>0</v>
      </c>
      <c r="AG59" s="297"/>
      <c r="AH59" s="297"/>
      <c r="AI59" s="297"/>
      <c r="AJ59" s="297"/>
      <c r="AK59" s="297"/>
      <c r="AL59" s="297"/>
      <c r="AM59" s="297"/>
      <c r="AN59" s="300">
        <v>1500</v>
      </c>
      <c r="AO59" s="301"/>
      <c r="AP59" s="301"/>
      <c r="AQ59" s="301"/>
      <c r="AR59" s="301"/>
      <c r="AS59" s="301"/>
      <c r="AT59" s="301"/>
      <c r="AU59" s="301"/>
      <c r="AV59" s="301"/>
      <c r="AW59" s="301"/>
      <c r="AX59" s="301"/>
      <c r="AY59" s="301"/>
      <c r="AZ59" s="301"/>
      <c r="BA59" s="301"/>
      <c r="BB59" s="301"/>
      <c r="BC59" s="301"/>
      <c r="BD59" s="301"/>
      <c r="BE59" s="301"/>
      <c r="BF59" s="302"/>
      <c r="BG59" s="303">
        <v>10</v>
      </c>
      <c r="BH59" s="304"/>
      <c r="BI59" s="304"/>
      <c r="BJ59" s="304"/>
      <c r="BK59" s="304"/>
      <c r="BL59" s="304"/>
      <c r="BM59" s="304"/>
      <c r="BN59" s="304"/>
      <c r="BO59" s="304"/>
      <c r="BP59" s="304"/>
      <c r="BQ59" s="304"/>
      <c r="BR59" s="304"/>
      <c r="BS59" s="304"/>
      <c r="BT59" s="304"/>
      <c r="BU59" s="304"/>
      <c r="BV59" s="304"/>
      <c r="BW59" s="304"/>
      <c r="BX59" s="304"/>
      <c r="BY59" s="305"/>
      <c r="BZ59" s="308"/>
      <c r="CA59" s="307"/>
      <c r="CB59" s="307"/>
      <c r="CC59" s="307"/>
      <c r="CD59" s="307"/>
      <c r="CE59" s="307"/>
      <c r="CF59" s="309"/>
      <c r="CG59" s="332"/>
      <c r="CH59" s="328"/>
      <c r="CI59" s="328"/>
      <c r="CJ59" s="328"/>
      <c r="CK59" s="328"/>
      <c r="CL59" s="328"/>
      <c r="CM59" s="328">
        <v>2</v>
      </c>
      <c r="CN59" s="370"/>
      <c r="CO59" s="367"/>
      <c r="CP59" s="367"/>
      <c r="CQ59" s="367"/>
      <c r="CR59" s="367"/>
      <c r="CS59" s="387">
        <v>10</v>
      </c>
      <c r="CT59" s="398"/>
      <c r="CU59" s="399"/>
      <c r="CV59" s="399"/>
      <c r="CW59" s="399"/>
      <c r="CX59" s="399"/>
      <c r="CY59" s="399"/>
      <c r="CZ59" s="399"/>
      <c r="DA59" s="400">
        <v>1</v>
      </c>
      <c r="DB59" s="522">
        <v>1</v>
      </c>
    </row>
    <row r="60" spans="1:106" x14ac:dyDescent="0.25">
      <c r="A60" s="468" t="s">
        <v>49</v>
      </c>
      <c r="B60" s="468">
        <v>812</v>
      </c>
      <c r="C60" s="468" t="s">
        <v>1214</v>
      </c>
      <c r="D60" s="468">
        <v>279</v>
      </c>
      <c r="E60" s="468" t="s">
        <v>1215</v>
      </c>
      <c r="F60" s="468" t="s">
        <v>1216</v>
      </c>
      <c r="G60" s="468" t="s">
        <v>1217</v>
      </c>
      <c r="H60" s="468" t="s">
        <v>1074</v>
      </c>
      <c r="I60" s="468" t="s">
        <v>54</v>
      </c>
      <c r="J60" s="468" t="s">
        <v>3126</v>
      </c>
      <c r="K60" s="468" t="s">
        <v>1218</v>
      </c>
      <c r="L60" s="468" t="s">
        <v>3766</v>
      </c>
      <c r="M60" s="468" t="s">
        <v>4011</v>
      </c>
      <c r="N60" s="460"/>
      <c r="O60" s="294"/>
      <c r="P60" s="294"/>
      <c r="Q60" s="294"/>
      <c r="R60" s="294"/>
      <c r="S60" s="295"/>
      <c r="T60" s="299"/>
      <c r="U60" s="297"/>
      <c r="V60" s="297"/>
      <c r="W60" s="297"/>
      <c r="X60" s="297"/>
      <c r="Y60" s="297"/>
      <c r="Z60" s="297"/>
      <c r="AA60" s="297">
        <v>1</v>
      </c>
      <c r="AB60" s="293">
        <v>0</v>
      </c>
      <c r="AC60" s="294"/>
      <c r="AD60" s="295"/>
      <c r="AE60" s="298"/>
      <c r="AF60" s="296">
        <v>0</v>
      </c>
      <c r="AG60" s="297"/>
      <c r="AH60" s="297"/>
      <c r="AI60" s="297"/>
      <c r="AJ60" s="297"/>
      <c r="AK60" s="297"/>
      <c r="AL60" s="297"/>
      <c r="AM60" s="297"/>
      <c r="AN60" s="300">
        <v>1500</v>
      </c>
      <c r="AO60" s="301"/>
      <c r="AP60" s="301"/>
      <c r="AQ60" s="301"/>
      <c r="AR60" s="301"/>
      <c r="AS60" s="301"/>
      <c r="AT60" s="301"/>
      <c r="AU60" s="301"/>
      <c r="AV60" s="301"/>
      <c r="AW60" s="301"/>
      <c r="AX60" s="301"/>
      <c r="AY60" s="301"/>
      <c r="AZ60" s="301"/>
      <c r="BA60" s="301"/>
      <c r="BB60" s="301"/>
      <c r="BC60" s="301"/>
      <c r="BD60" s="301"/>
      <c r="BE60" s="301"/>
      <c r="BF60" s="302"/>
      <c r="BG60" s="303">
        <v>10</v>
      </c>
      <c r="BH60" s="304"/>
      <c r="BI60" s="304"/>
      <c r="BJ60" s="304"/>
      <c r="BK60" s="304"/>
      <c r="BL60" s="304"/>
      <c r="BM60" s="304"/>
      <c r="BN60" s="304"/>
      <c r="BO60" s="304"/>
      <c r="BP60" s="304"/>
      <c r="BQ60" s="304"/>
      <c r="BR60" s="304"/>
      <c r="BS60" s="304"/>
      <c r="BT60" s="304"/>
      <c r="BU60" s="304"/>
      <c r="BV60" s="304"/>
      <c r="BW60" s="304"/>
      <c r="BX60" s="304"/>
      <c r="BY60" s="305"/>
      <c r="BZ60" s="308"/>
      <c r="CA60" s="307"/>
      <c r="CB60" s="307"/>
      <c r="CC60" s="307"/>
      <c r="CD60" s="307"/>
      <c r="CE60" s="307"/>
      <c r="CF60" s="309"/>
      <c r="CG60" s="332"/>
      <c r="CH60" s="328"/>
      <c r="CI60" s="328"/>
      <c r="CJ60" s="328"/>
      <c r="CK60" s="328"/>
      <c r="CL60" s="328"/>
      <c r="CM60" s="328">
        <v>2</v>
      </c>
      <c r="CN60" s="370"/>
      <c r="CO60" s="367"/>
      <c r="CP60" s="367"/>
      <c r="CQ60" s="367"/>
      <c r="CR60" s="367"/>
      <c r="CS60" s="387">
        <v>10</v>
      </c>
      <c r="CT60" s="398"/>
      <c r="CU60" s="399"/>
      <c r="CV60" s="399"/>
      <c r="CW60" s="399"/>
      <c r="CX60" s="399"/>
      <c r="CY60" s="399"/>
      <c r="CZ60" s="399"/>
      <c r="DA60" s="400">
        <v>1</v>
      </c>
      <c r="DB60" s="522">
        <v>1</v>
      </c>
    </row>
    <row r="61" spans="1:106" x14ac:dyDescent="0.25">
      <c r="A61" s="468" t="s">
        <v>49</v>
      </c>
      <c r="B61" s="468">
        <v>812</v>
      </c>
      <c r="C61" s="468" t="s">
        <v>3399</v>
      </c>
      <c r="D61" s="468">
        <v>1205</v>
      </c>
      <c r="E61" s="468" t="s">
        <v>1016</v>
      </c>
      <c r="F61" s="468" t="s">
        <v>1017</v>
      </c>
      <c r="G61" s="468" t="s">
        <v>1018</v>
      </c>
      <c r="H61" s="468" t="s">
        <v>1019</v>
      </c>
      <c r="I61" s="468" t="s">
        <v>54</v>
      </c>
      <c r="J61" s="468" t="s">
        <v>3089</v>
      </c>
      <c r="K61" s="468" t="s">
        <v>1020</v>
      </c>
      <c r="L61" s="468" t="s">
        <v>3766</v>
      </c>
      <c r="M61" s="468" t="s">
        <v>4011</v>
      </c>
      <c r="N61" s="460"/>
      <c r="O61" s="294"/>
      <c r="P61" s="294"/>
      <c r="Q61" s="294"/>
      <c r="R61" s="294"/>
      <c r="S61" s="295"/>
      <c r="T61" s="299"/>
      <c r="U61" s="297"/>
      <c r="V61" s="297"/>
      <c r="W61" s="297"/>
      <c r="X61" s="297"/>
      <c r="Y61" s="297"/>
      <c r="Z61" s="297"/>
      <c r="AA61" s="297">
        <v>2</v>
      </c>
      <c r="AB61" s="293">
        <v>0</v>
      </c>
      <c r="AC61" s="294"/>
      <c r="AD61" s="295"/>
      <c r="AE61" s="298"/>
      <c r="AF61" s="296">
        <v>0</v>
      </c>
      <c r="AG61" s="297"/>
      <c r="AH61" s="297"/>
      <c r="AI61" s="297"/>
      <c r="AJ61" s="297"/>
      <c r="AK61" s="297"/>
      <c r="AL61" s="297"/>
      <c r="AM61" s="297"/>
      <c r="AN61" s="300">
        <v>1500</v>
      </c>
      <c r="AO61" s="301"/>
      <c r="AP61" s="301"/>
      <c r="AQ61" s="301"/>
      <c r="AR61" s="301"/>
      <c r="AS61" s="301"/>
      <c r="AT61" s="301"/>
      <c r="AU61" s="301"/>
      <c r="AV61" s="301"/>
      <c r="AW61" s="301"/>
      <c r="AX61" s="301"/>
      <c r="AY61" s="301"/>
      <c r="AZ61" s="301"/>
      <c r="BA61" s="301"/>
      <c r="BB61" s="301"/>
      <c r="BC61" s="301"/>
      <c r="BD61" s="301"/>
      <c r="BE61" s="301"/>
      <c r="BF61" s="302"/>
      <c r="BG61" s="303">
        <v>10</v>
      </c>
      <c r="BH61" s="304"/>
      <c r="BI61" s="304"/>
      <c r="BJ61" s="304"/>
      <c r="BK61" s="304"/>
      <c r="BL61" s="304"/>
      <c r="BM61" s="304"/>
      <c r="BN61" s="304"/>
      <c r="BO61" s="304"/>
      <c r="BP61" s="304"/>
      <c r="BQ61" s="304"/>
      <c r="BR61" s="304"/>
      <c r="BS61" s="304"/>
      <c r="BT61" s="304"/>
      <c r="BU61" s="304"/>
      <c r="BV61" s="304"/>
      <c r="BW61" s="304"/>
      <c r="BX61" s="304"/>
      <c r="BY61" s="305"/>
      <c r="BZ61" s="308"/>
      <c r="CA61" s="307"/>
      <c r="CB61" s="307"/>
      <c r="CC61" s="307"/>
      <c r="CD61" s="307"/>
      <c r="CE61" s="307"/>
      <c r="CF61" s="309"/>
      <c r="CG61" s="332"/>
      <c r="CH61" s="328"/>
      <c r="CI61" s="328"/>
      <c r="CJ61" s="328"/>
      <c r="CK61" s="328"/>
      <c r="CL61" s="328"/>
      <c r="CM61" s="328">
        <v>2</v>
      </c>
      <c r="CN61" s="370"/>
      <c r="CO61" s="367"/>
      <c r="CP61" s="367"/>
      <c r="CQ61" s="367"/>
      <c r="CR61" s="367"/>
      <c r="CS61" s="387">
        <v>10</v>
      </c>
      <c r="CT61" s="398"/>
      <c r="CU61" s="399"/>
      <c r="CV61" s="399"/>
      <c r="CW61" s="399"/>
      <c r="CX61" s="399"/>
      <c r="CY61" s="399"/>
      <c r="CZ61" s="399"/>
      <c r="DA61" s="400">
        <v>1</v>
      </c>
      <c r="DB61" s="522">
        <v>1</v>
      </c>
    </row>
    <row r="62" spans="1:106" x14ac:dyDescent="0.25">
      <c r="A62" s="468" t="s">
        <v>49</v>
      </c>
      <c r="B62" s="468">
        <v>812</v>
      </c>
      <c r="C62" s="468" t="s">
        <v>3400</v>
      </c>
      <c r="D62" s="468">
        <v>1206</v>
      </c>
      <c r="E62" s="468" t="s">
        <v>1021</v>
      </c>
      <c r="F62" s="468" t="s">
        <v>3015</v>
      </c>
      <c r="G62" s="468" t="s">
        <v>1023</v>
      </c>
      <c r="H62" s="468" t="s">
        <v>1024</v>
      </c>
      <c r="I62" s="468" t="s">
        <v>54</v>
      </c>
      <c r="J62" s="468" t="s">
        <v>3401</v>
      </c>
      <c r="K62" s="468" t="s">
        <v>1025</v>
      </c>
      <c r="L62" s="468" t="s">
        <v>3766</v>
      </c>
      <c r="M62" s="468" t="s">
        <v>4011</v>
      </c>
      <c r="N62" s="460"/>
      <c r="O62" s="294"/>
      <c r="P62" s="294"/>
      <c r="Q62" s="294"/>
      <c r="R62" s="294"/>
      <c r="S62" s="295"/>
      <c r="T62" s="299"/>
      <c r="U62" s="297"/>
      <c r="V62" s="297"/>
      <c r="W62" s="297"/>
      <c r="X62" s="297"/>
      <c r="Y62" s="297"/>
      <c r="Z62" s="297"/>
      <c r="AA62" s="297">
        <v>2</v>
      </c>
      <c r="AB62" s="293">
        <v>0</v>
      </c>
      <c r="AC62" s="294"/>
      <c r="AD62" s="295"/>
      <c r="AE62" s="298"/>
      <c r="AF62" s="296">
        <v>0</v>
      </c>
      <c r="AG62" s="297"/>
      <c r="AH62" s="297"/>
      <c r="AI62" s="297"/>
      <c r="AJ62" s="297"/>
      <c r="AK62" s="297"/>
      <c r="AL62" s="297"/>
      <c r="AM62" s="297"/>
      <c r="AN62" s="300">
        <v>1500</v>
      </c>
      <c r="AO62" s="301"/>
      <c r="AP62" s="301"/>
      <c r="AQ62" s="301"/>
      <c r="AR62" s="301"/>
      <c r="AS62" s="301"/>
      <c r="AT62" s="301"/>
      <c r="AU62" s="301"/>
      <c r="AV62" s="301"/>
      <c r="AW62" s="301"/>
      <c r="AX62" s="301"/>
      <c r="AY62" s="301"/>
      <c r="AZ62" s="301"/>
      <c r="BA62" s="301"/>
      <c r="BB62" s="301"/>
      <c r="BC62" s="301"/>
      <c r="BD62" s="301"/>
      <c r="BE62" s="301"/>
      <c r="BF62" s="302"/>
      <c r="BG62" s="303">
        <v>10</v>
      </c>
      <c r="BH62" s="304"/>
      <c r="BI62" s="304"/>
      <c r="BJ62" s="304"/>
      <c r="BK62" s="304"/>
      <c r="BL62" s="304"/>
      <c r="BM62" s="304"/>
      <c r="BN62" s="304"/>
      <c r="BO62" s="304"/>
      <c r="BP62" s="304"/>
      <c r="BQ62" s="304"/>
      <c r="BR62" s="304"/>
      <c r="BS62" s="304"/>
      <c r="BT62" s="304"/>
      <c r="BU62" s="304"/>
      <c r="BV62" s="304"/>
      <c r="BW62" s="304"/>
      <c r="BX62" s="304"/>
      <c r="BY62" s="305"/>
      <c r="BZ62" s="308"/>
      <c r="CA62" s="307"/>
      <c r="CB62" s="307"/>
      <c r="CC62" s="307"/>
      <c r="CD62" s="307"/>
      <c r="CE62" s="307"/>
      <c r="CF62" s="309"/>
      <c r="CG62" s="332"/>
      <c r="CH62" s="328"/>
      <c r="CI62" s="328"/>
      <c r="CJ62" s="328"/>
      <c r="CK62" s="328"/>
      <c r="CL62" s="328"/>
      <c r="CM62" s="328">
        <v>2</v>
      </c>
      <c r="CN62" s="370"/>
      <c r="CO62" s="367"/>
      <c r="CP62" s="367"/>
      <c r="CQ62" s="367"/>
      <c r="CR62" s="367"/>
      <c r="CS62" s="387">
        <v>10</v>
      </c>
      <c r="CT62" s="398"/>
      <c r="CU62" s="399"/>
      <c r="CV62" s="399"/>
      <c r="CW62" s="399"/>
      <c r="CX62" s="399"/>
      <c r="CY62" s="399"/>
      <c r="CZ62" s="399"/>
      <c r="DA62" s="400">
        <v>1</v>
      </c>
      <c r="DB62" s="522">
        <v>1</v>
      </c>
    </row>
    <row r="63" spans="1:106" x14ac:dyDescent="0.25">
      <c r="A63" s="468" t="s">
        <v>49</v>
      </c>
      <c r="B63" s="468">
        <v>812</v>
      </c>
      <c r="C63" s="468" t="s">
        <v>3404</v>
      </c>
      <c r="D63" s="468">
        <v>1208</v>
      </c>
      <c r="E63" s="468" t="s">
        <v>1031</v>
      </c>
      <c r="F63" s="468" t="s">
        <v>1032</v>
      </c>
      <c r="G63" s="468" t="s">
        <v>1033</v>
      </c>
      <c r="H63" s="468" t="s">
        <v>1024</v>
      </c>
      <c r="I63" s="468" t="s">
        <v>54</v>
      </c>
      <c r="J63" s="468" t="s">
        <v>3401</v>
      </c>
      <c r="K63" s="468" t="s">
        <v>1034</v>
      </c>
      <c r="L63" s="468" t="s">
        <v>3766</v>
      </c>
      <c r="M63" s="468" t="s">
        <v>4011</v>
      </c>
      <c r="N63" s="460"/>
      <c r="O63" s="294"/>
      <c r="P63" s="294"/>
      <c r="Q63" s="294"/>
      <c r="R63" s="294"/>
      <c r="S63" s="295"/>
      <c r="T63" s="299"/>
      <c r="U63" s="297"/>
      <c r="V63" s="297"/>
      <c r="W63" s="297"/>
      <c r="X63" s="297"/>
      <c r="Y63" s="297"/>
      <c r="Z63" s="297"/>
      <c r="AA63" s="297">
        <v>2</v>
      </c>
      <c r="AB63" s="293">
        <v>0</v>
      </c>
      <c r="AC63" s="294"/>
      <c r="AD63" s="295"/>
      <c r="AE63" s="298"/>
      <c r="AF63" s="296">
        <v>0</v>
      </c>
      <c r="AG63" s="297"/>
      <c r="AH63" s="297"/>
      <c r="AI63" s="297"/>
      <c r="AJ63" s="297"/>
      <c r="AK63" s="297"/>
      <c r="AL63" s="297"/>
      <c r="AM63" s="297"/>
      <c r="AN63" s="300">
        <v>1500</v>
      </c>
      <c r="AO63" s="301"/>
      <c r="AP63" s="301"/>
      <c r="AQ63" s="301"/>
      <c r="AR63" s="301"/>
      <c r="AS63" s="301"/>
      <c r="AT63" s="301"/>
      <c r="AU63" s="301"/>
      <c r="AV63" s="301"/>
      <c r="AW63" s="301"/>
      <c r="AX63" s="301"/>
      <c r="AY63" s="301"/>
      <c r="AZ63" s="301"/>
      <c r="BA63" s="301"/>
      <c r="BB63" s="301"/>
      <c r="BC63" s="301"/>
      <c r="BD63" s="301"/>
      <c r="BE63" s="301"/>
      <c r="BF63" s="302"/>
      <c r="BG63" s="303">
        <v>10</v>
      </c>
      <c r="BH63" s="304"/>
      <c r="BI63" s="304"/>
      <c r="BJ63" s="304"/>
      <c r="BK63" s="304"/>
      <c r="BL63" s="304"/>
      <c r="BM63" s="304"/>
      <c r="BN63" s="304"/>
      <c r="BO63" s="304"/>
      <c r="BP63" s="304"/>
      <c r="BQ63" s="304"/>
      <c r="BR63" s="304"/>
      <c r="BS63" s="304"/>
      <c r="BT63" s="304"/>
      <c r="BU63" s="304"/>
      <c r="BV63" s="304"/>
      <c r="BW63" s="304"/>
      <c r="BX63" s="304"/>
      <c r="BY63" s="305"/>
      <c r="BZ63" s="308"/>
      <c r="CA63" s="307"/>
      <c r="CB63" s="307"/>
      <c r="CC63" s="307"/>
      <c r="CD63" s="307"/>
      <c r="CE63" s="307"/>
      <c r="CF63" s="309"/>
      <c r="CG63" s="332"/>
      <c r="CH63" s="328"/>
      <c r="CI63" s="328"/>
      <c r="CJ63" s="328"/>
      <c r="CK63" s="328"/>
      <c r="CL63" s="328"/>
      <c r="CM63" s="328">
        <v>2</v>
      </c>
      <c r="CN63" s="370"/>
      <c r="CO63" s="367"/>
      <c r="CP63" s="367"/>
      <c r="CQ63" s="367"/>
      <c r="CR63" s="367"/>
      <c r="CS63" s="387">
        <v>10</v>
      </c>
      <c r="CT63" s="398"/>
      <c r="CU63" s="399"/>
      <c r="CV63" s="399"/>
      <c r="CW63" s="399"/>
      <c r="CX63" s="399"/>
      <c r="CY63" s="399"/>
      <c r="CZ63" s="399"/>
      <c r="DA63" s="400">
        <v>1</v>
      </c>
      <c r="DB63" s="522">
        <v>1</v>
      </c>
    </row>
    <row r="64" spans="1:106" x14ac:dyDescent="0.25">
      <c r="A64" s="468" t="s">
        <v>49</v>
      </c>
      <c r="B64" s="468">
        <v>812</v>
      </c>
      <c r="C64" s="468" t="s">
        <v>3413</v>
      </c>
      <c r="D64" s="468">
        <v>1215</v>
      </c>
      <c r="E64" s="468" t="s">
        <v>1053</v>
      </c>
      <c r="F64" s="468" t="s">
        <v>1182</v>
      </c>
      <c r="G64" s="468" t="s">
        <v>1054</v>
      </c>
      <c r="H64" s="468" t="s">
        <v>1055</v>
      </c>
      <c r="I64" s="468" t="s">
        <v>54</v>
      </c>
      <c r="J64" s="468" t="s">
        <v>3414</v>
      </c>
      <c r="K64" s="468" t="s">
        <v>1056</v>
      </c>
      <c r="L64" s="468" t="s">
        <v>3766</v>
      </c>
      <c r="M64" s="468" t="s">
        <v>4011</v>
      </c>
      <c r="N64" s="460"/>
      <c r="O64" s="294"/>
      <c r="P64" s="294"/>
      <c r="Q64" s="294"/>
      <c r="R64" s="294"/>
      <c r="S64" s="295"/>
      <c r="T64" s="299"/>
      <c r="U64" s="297"/>
      <c r="V64" s="297"/>
      <c r="W64" s="297"/>
      <c r="X64" s="297"/>
      <c r="Y64" s="297"/>
      <c r="Z64" s="297"/>
      <c r="AA64" s="297">
        <v>1</v>
      </c>
      <c r="AB64" s="293">
        <v>0</v>
      </c>
      <c r="AC64" s="294"/>
      <c r="AD64" s="295"/>
      <c r="AE64" s="298"/>
      <c r="AF64" s="296">
        <v>0</v>
      </c>
      <c r="AG64" s="297"/>
      <c r="AH64" s="297"/>
      <c r="AI64" s="297"/>
      <c r="AJ64" s="297"/>
      <c r="AK64" s="297"/>
      <c r="AL64" s="297"/>
      <c r="AM64" s="297"/>
      <c r="AN64" s="300">
        <v>1500</v>
      </c>
      <c r="AO64" s="301"/>
      <c r="AP64" s="301"/>
      <c r="AQ64" s="301"/>
      <c r="AR64" s="301"/>
      <c r="AS64" s="301"/>
      <c r="AT64" s="301"/>
      <c r="AU64" s="301"/>
      <c r="AV64" s="301"/>
      <c r="AW64" s="301"/>
      <c r="AX64" s="301"/>
      <c r="AY64" s="301"/>
      <c r="AZ64" s="301"/>
      <c r="BA64" s="301"/>
      <c r="BB64" s="301"/>
      <c r="BC64" s="301"/>
      <c r="BD64" s="301"/>
      <c r="BE64" s="301"/>
      <c r="BF64" s="302"/>
      <c r="BG64" s="303">
        <v>10</v>
      </c>
      <c r="BH64" s="304"/>
      <c r="BI64" s="304"/>
      <c r="BJ64" s="304"/>
      <c r="BK64" s="304"/>
      <c r="BL64" s="304"/>
      <c r="BM64" s="304"/>
      <c r="BN64" s="304"/>
      <c r="BO64" s="304"/>
      <c r="BP64" s="304"/>
      <c r="BQ64" s="304"/>
      <c r="BR64" s="304"/>
      <c r="BS64" s="304"/>
      <c r="BT64" s="304"/>
      <c r="BU64" s="304"/>
      <c r="BV64" s="304"/>
      <c r="BW64" s="304"/>
      <c r="BX64" s="304"/>
      <c r="BY64" s="305"/>
      <c r="BZ64" s="308"/>
      <c r="CA64" s="307"/>
      <c r="CB64" s="307"/>
      <c r="CC64" s="307"/>
      <c r="CD64" s="307"/>
      <c r="CE64" s="307"/>
      <c r="CF64" s="309"/>
      <c r="CG64" s="332"/>
      <c r="CH64" s="328"/>
      <c r="CI64" s="328"/>
      <c r="CJ64" s="328"/>
      <c r="CK64" s="328"/>
      <c r="CL64" s="328"/>
      <c r="CM64" s="328">
        <v>2</v>
      </c>
      <c r="CN64" s="370"/>
      <c r="CO64" s="367"/>
      <c r="CP64" s="367"/>
      <c r="CQ64" s="367"/>
      <c r="CR64" s="367"/>
      <c r="CS64" s="387">
        <v>10</v>
      </c>
      <c r="CT64" s="398"/>
      <c r="CU64" s="399"/>
      <c r="CV64" s="399"/>
      <c r="CW64" s="399"/>
      <c r="CX64" s="399"/>
      <c r="CY64" s="399"/>
      <c r="CZ64" s="399"/>
      <c r="DA64" s="400">
        <v>1</v>
      </c>
      <c r="DB64" s="522">
        <v>1</v>
      </c>
    </row>
    <row r="65" spans="1:106" x14ac:dyDescent="0.25">
      <c r="A65" s="468" t="s">
        <v>49</v>
      </c>
      <c r="B65" s="468">
        <v>832</v>
      </c>
      <c r="C65" s="468" t="s">
        <v>3429</v>
      </c>
      <c r="D65" s="468">
        <v>1236</v>
      </c>
      <c r="E65" s="468" t="s">
        <v>1076</v>
      </c>
      <c r="F65" s="468" t="s">
        <v>1077</v>
      </c>
      <c r="G65" s="468" t="s">
        <v>1078</v>
      </c>
      <c r="H65" s="468" t="s">
        <v>1079</v>
      </c>
      <c r="I65" s="468" t="s">
        <v>54</v>
      </c>
      <c r="J65" s="468" t="s">
        <v>3430</v>
      </c>
      <c r="K65" s="468" t="s">
        <v>1080</v>
      </c>
      <c r="L65" s="468" t="s">
        <v>3766</v>
      </c>
      <c r="M65" s="468" t="s">
        <v>4011</v>
      </c>
      <c r="N65" s="460"/>
      <c r="O65" s="294"/>
      <c r="P65" s="294"/>
      <c r="Q65" s="294"/>
      <c r="R65" s="294"/>
      <c r="S65" s="295"/>
      <c r="T65" s="299"/>
      <c r="U65" s="297"/>
      <c r="V65" s="297"/>
      <c r="W65" s="297"/>
      <c r="X65" s="297"/>
      <c r="Y65" s="297"/>
      <c r="Z65" s="297"/>
      <c r="AA65" s="297">
        <v>2</v>
      </c>
      <c r="AB65" s="293">
        <v>0</v>
      </c>
      <c r="AC65" s="294"/>
      <c r="AD65" s="295"/>
      <c r="AE65" s="298"/>
      <c r="AF65" s="296">
        <v>0</v>
      </c>
      <c r="AG65" s="297"/>
      <c r="AH65" s="297"/>
      <c r="AI65" s="297"/>
      <c r="AJ65" s="297"/>
      <c r="AK65" s="297"/>
      <c r="AL65" s="297"/>
      <c r="AM65" s="297"/>
      <c r="AN65" s="300">
        <v>1500</v>
      </c>
      <c r="AO65" s="301"/>
      <c r="AP65" s="301"/>
      <c r="AQ65" s="301"/>
      <c r="AR65" s="301"/>
      <c r="AS65" s="301"/>
      <c r="AT65" s="301"/>
      <c r="AU65" s="301"/>
      <c r="AV65" s="301"/>
      <c r="AW65" s="301"/>
      <c r="AX65" s="301"/>
      <c r="AY65" s="301"/>
      <c r="AZ65" s="301"/>
      <c r="BA65" s="301"/>
      <c r="BB65" s="301"/>
      <c r="BC65" s="301"/>
      <c r="BD65" s="301"/>
      <c r="BE65" s="301"/>
      <c r="BF65" s="302"/>
      <c r="BG65" s="303">
        <v>10</v>
      </c>
      <c r="BH65" s="304"/>
      <c r="BI65" s="304"/>
      <c r="BJ65" s="304"/>
      <c r="BK65" s="304"/>
      <c r="BL65" s="304"/>
      <c r="BM65" s="304"/>
      <c r="BN65" s="304"/>
      <c r="BO65" s="304"/>
      <c r="BP65" s="304"/>
      <c r="BQ65" s="304"/>
      <c r="BR65" s="304"/>
      <c r="BS65" s="304"/>
      <c r="BT65" s="304"/>
      <c r="BU65" s="304"/>
      <c r="BV65" s="304"/>
      <c r="BW65" s="304"/>
      <c r="BX65" s="304"/>
      <c r="BY65" s="305"/>
      <c r="BZ65" s="308"/>
      <c r="CA65" s="307"/>
      <c r="CB65" s="307"/>
      <c r="CC65" s="307"/>
      <c r="CD65" s="307"/>
      <c r="CE65" s="307"/>
      <c r="CF65" s="309"/>
      <c r="CG65" s="332"/>
      <c r="CH65" s="328"/>
      <c r="CI65" s="328"/>
      <c r="CJ65" s="328"/>
      <c r="CK65" s="328"/>
      <c r="CL65" s="328"/>
      <c r="CM65" s="328">
        <v>2</v>
      </c>
      <c r="CN65" s="370"/>
      <c r="CO65" s="367"/>
      <c r="CP65" s="367"/>
      <c r="CQ65" s="367"/>
      <c r="CR65" s="367"/>
      <c r="CS65" s="387">
        <v>10</v>
      </c>
      <c r="CT65" s="398"/>
      <c r="CU65" s="399"/>
      <c r="CV65" s="399"/>
      <c r="CW65" s="399"/>
      <c r="CX65" s="399"/>
      <c r="CY65" s="399"/>
      <c r="CZ65" s="399"/>
      <c r="DA65" s="400">
        <v>1</v>
      </c>
      <c r="DB65" s="522">
        <v>1</v>
      </c>
    </row>
    <row r="66" spans="1:106" x14ac:dyDescent="0.25">
      <c r="A66" s="468" t="s">
        <v>49</v>
      </c>
      <c r="B66" s="468">
        <v>832</v>
      </c>
      <c r="C66" s="468" t="s">
        <v>3438</v>
      </c>
      <c r="D66" s="468">
        <v>1242</v>
      </c>
      <c r="E66" s="468" t="s">
        <v>1098</v>
      </c>
      <c r="F66" s="468" t="s">
        <v>1099</v>
      </c>
      <c r="G66" s="468" t="s">
        <v>1100</v>
      </c>
      <c r="H66" s="468" t="s">
        <v>1074</v>
      </c>
      <c r="I66" s="468" t="s">
        <v>54</v>
      </c>
      <c r="J66" s="468" t="s">
        <v>3101</v>
      </c>
      <c r="K66" s="468" t="s">
        <v>1101</v>
      </c>
      <c r="L66" s="468" t="s">
        <v>3766</v>
      </c>
      <c r="M66" s="468" t="s">
        <v>4011</v>
      </c>
      <c r="N66" s="460"/>
      <c r="O66" s="294"/>
      <c r="P66" s="294"/>
      <c r="Q66" s="294"/>
      <c r="R66" s="294"/>
      <c r="S66" s="295"/>
      <c r="T66" s="299"/>
      <c r="U66" s="297"/>
      <c r="V66" s="297"/>
      <c r="W66" s="297"/>
      <c r="X66" s="297"/>
      <c r="Y66" s="297"/>
      <c r="Z66" s="297"/>
      <c r="AA66" s="297">
        <v>2</v>
      </c>
      <c r="AB66" s="293">
        <v>0</v>
      </c>
      <c r="AC66" s="294"/>
      <c r="AD66" s="295"/>
      <c r="AE66" s="298"/>
      <c r="AF66" s="296">
        <v>0</v>
      </c>
      <c r="AG66" s="297"/>
      <c r="AH66" s="297"/>
      <c r="AI66" s="297"/>
      <c r="AJ66" s="297"/>
      <c r="AK66" s="297"/>
      <c r="AL66" s="297"/>
      <c r="AM66" s="297"/>
      <c r="AN66" s="300">
        <v>1500</v>
      </c>
      <c r="AO66" s="301"/>
      <c r="AP66" s="301"/>
      <c r="AQ66" s="301"/>
      <c r="AR66" s="301"/>
      <c r="AS66" s="301"/>
      <c r="AT66" s="301"/>
      <c r="AU66" s="301"/>
      <c r="AV66" s="301"/>
      <c r="AW66" s="301"/>
      <c r="AX66" s="301"/>
      <c r="AY66" s="301"/>
      <c r="AZ66" s="301"/>
      <c r="BA66" s="301"/>
      <c r="BB66" s="301"/>
      <c r="BC66" s="301"/>
      <c r="BD66" s="301"/>
      <c r="BE66" s="301"/>
      <c r="BF66" s="302"/>
      <c r="BG66" s="303">
        <v>10</v>
      </c>
      <c r="BH66" s="304"/>
      <c r="BI66" s="304"/>
      <c r="BJ66" s="304"/>
      <c r="BK66" s="304"/>
      <c r="BL66" s="304"/>
      <c r="BM66" s="304"/>
      <c r="BN66" s="304"/>
      <c r="BO66" s="304"/>
      <c r="BP66" s="304"/>
      <c r="BQ66" s="304"/>
      <c r="BR66" s="304"/>
      <c r="BS66" s="304"/>
      <c r="BT66" s="304"/>
      <c r="BU66" s="304"/>
      <c r="BV66" s="304"/>
      <c r="BW66" s="304"/>
      <c r="BX66" s="304"/>
      <c r="BY66" s="305"/>
      <c r="BZ66" s="308"/>
      <c r="CA66" s="307"/>
      <c r="CB66" s="307"/>
      <c r="CC66" s="307"/>
      <c r="CD66" s="307"/>
      <c r="CE66" s="307"/>
      <c r="CF66" s="309"/>
      <c r="CG66" s="332"/>
      <c r="CH66" s="328"/>
      <c r="CI66" s="328"/>
      <c r="CJ66" s="328"/>
      <c r="CK66" s="328"/>
      <c r="CL66" s="328"/>
      <c r="CM66" s="328">
        <v>2</v>
      </c>
      <c r="CN66" s="370"/>
      <c r="CO66" s="367"/>
      <c r="CP66" s="367"/>
      <c r="CQ66" s="367"/>
      <c r="CR66" s="367"/>
      <c r="CS66" s="387">
        <v>10</v>
      </c>
      <c r="CT66" s="398"/>
      <c r="CU66" s="399"/>
      <c r="CV66" s="399"/>
      <c r="CW66" s="399"/>
      <c r="CX66" s="399"/>
      <c r="CY66" s="399"/>
      <c r="CZ66" s="399"/>
      <c r="DA66" s="400">
        <v>1</v>
      </c>
      <c r="DB66" s="522">
        <v>1</v>
      </c>
    </row>
    <row r="67" spans="1:106" x14ac:dyDescent="0.25">
      <c r="A67" s="468" t="s">
        <v>49</v>
      </c>
      <c r="B67" s="468">
        <v>832</v>
      </c>
      <c r="C67" s="468" t="s">
        <v>3440</v>
      </c>
      <c r="D67" s="468">
        <v>1245</v>
      </c>
      <c r="E67" s="468" t="s">
        <v>1106</v>
      </c>
      <c r="F67" s="468" t="s">
        <v>3016</v>
      </c>
      <c r="G67" s="468" t="s">
        <v>1108</v>
      </c>
      <c r="H67" s="468" t="s">
        <v>1037</v>
      </c>
      <c r="I67" s="468" t="s">
        <v>54</v>
      </c>
      <c r="J67" s="468" t="s">
        <v>3441</v>
      </c>
      <c r="K67" s="468" t="s">
        <v>1109</v>
      </c>
      <c r="L67" s="468" t="s">
        <v>3766</v>
      </c>
      <c r="M67" s="468" t="s">
        <v>4011</v>
      </c>
      <c r="N67" s="460">
        <v>2</v>
      </c>
      <c r="O67" s="294"/>
      <c r="P67" s="294"/>
      <c r="Q67" s="294"/>
      <c r="R67" s="294"/>
      <c r="S67" s="295"/>
      <c r="T67" s="299"/>
      <c r="U67" s="297"/>
      <c r="V67" s="297"/>
      <c r="W67" s="297"/>
      <c r="X67" s="297"/>
      <c r="Y67" s="297"/>
      <c r="Z67" s="297"/>
      <c r="AA67" s="297">
        <v>0</v>
      </c>
      <c r="AB67" s="293">
        <v>0</v>
      </c>
      <c r="AC67" s="294"/>
      <c r="AD67" s="295"/>
      <c r="AE67" s="298"/>
      <c r="AF67" s="296">
        <v>0</v>
      </c>
      <c r="AG67" s="297"/>
      <c r="AH67" s="297"/>
      <c r="AI67" s="297"/>
      <c r="AJ67" s="297"/>
      <c r="AK67" s="297"/>
      <c r="AL67" s="297"/>
      <c r="AM67" s="297"/>
      <c r="AN67" s="300">
        <v>1500</v>
      </c>
      <c r="AO67" s="301"/>
      <c r="AP67" s="301"/>
      <c r="AQ67" s="301"/>
      <c r="AR67" s="301"/>
      <c r="AS67" s="301"/>
      <c r="AT67" s="301"/>
      <c r="AU67" s="301"/>
      <c r="AV67" s="301"/>
      <c r="AW67" s="301"/>
      <c r="AX67" s="301"/>
      <c r="AY67" s="301"/>
      <c r="AZ67" s="301"/>
      <c r="BA67" s="301"/>
      <c r="BB67" s="301"/>
      <c r="BC67" s="301"/>
      <c r="BD67" s="301"/>
      <c r="BE67" s="301"/>
      <c r="BF67" s="302"/>
      <c r="BG67" s="303">
        <v>10</v>
      </c>
      <c r="BH67" s="304"/>
      <c r="BI67" s="304"/>
      <c r="BJ67" s="304"/>
      <c r="BK67" s="304"/>
      <c r="BL67" s="304"/>
      <c r="BM67" s="304"/>
      <c r="BN67" s="304"/>
      <c r="BO67" s="304"/>
      <c r="BP67" s="304"/>
      <c r="BQ67" s="304"/>
      <c r="BR67" s="304"/>
      <c r="BS67" s="304"/>
      <c r="BT67" s="304"/>
      <c r="BU67" s="304"/>
      <c r="BV67" s="304"/>
      <c r="BW67" s="304"/>
      <c r="BX67" s="304"/>
      <c r="BY67" s="305"/>
      <c r="BZ67" s="308"/>
      <c r="CA67" s="307"/>
      <c r="CB67" s="307"/>
      <c r="CC67" s="307"/>
      <c r="CD67" s="307"/>
      <c r="CE67" s="307"/>
      <c r="CF67" s="309"/>
      <c r="CG67" s="332"/>
      <c r="CH67" s="328"/>
      <c r="CI67" s="328"/>
      <c r="CJ67" s="328"/>
      <c r="CK67" s="328"/>
      <c r="CL67" s="328"/>
      <c r="CM67" s="328">
        <v>2</v>
      </c>
      <c r="CN67" s="370"/>
      <c r="CO67" s="367"/>
      <c r="CP67" s="367"/>
      <c r="CQ67" s="367"/>
      <c r="CR67" s="367"/>
      <c r="CS67" s="387">
        <v>10</v>
      </c>
      <c r="CT67" s="398"/>
      <c r="CU67" s="399"/>
      <c r="CV67" s="399"/>
      <c r="CW67" s="399"/>
      <c r="CX67" s="399"/>
      <c r="CY67" s="399"/>
      <c r="CZ67" s="399"/>
      <c r="DA67" s="400">
        <v>1</v>
      </c>
      <c r="DB67" s="522">
        <v>1</v>
      </c>
    </row>
    <row r="68" spans="1:106" x14ac:dyDescent="0.25">
      <c r="A68" s="468" t="s">
        <v>49</v>
      </c>
      <c r="B68" s="468">
        <v>812</v>
      </c>
      <c r="C68" s="468" t="s">
        <v>3448</v>
      </c>
      <c r="D68" s="468">
        <v>1249</v>
      </c>
      <c r="E68" s="468" t="s">
        <v>1110</v>
      </c>
      <c r="F68" s="468" t="s">
        <v>1111</v>
      </c>
      <c r="G68" s="468" t="s">
        <v>1112</v>
      </c>
      <c r="H68" s="468" t="s">
        <v>1113</v>
      </c>
      <c r="I68" s="468" t="s">
        <v>54</v>
      </c>
      <c r="J68" s="468" t="s">
        <v>3449</v>
      </c>
      <c r="K68" s="468" t="s">
        <v>1114</v>
      </c>
      <c r="L68" s="468" t="s">
        <v>3766</v>
      </c>
      <c r="M68" s="468" t="s">
        <v>4011</v>
      </c>
      <c r="N68" s="460">
        <v>2</v>
      </c>
      <c r="O68" s="294"/>
      <c r="P68" s="294"/>
      <c r="Q68" s="294"/>
      <c r="R68" s="294"/>
      <c r="S68" s="295"/>
      <c r="T68" s="299"/>
      <c r="U68" s="297"/>
      <c r="V68" s="297"/>
      <c r="W68" s="297"/>
      <c r="X68" s="297"/>
      <c r="Y68" s="297"/>
      <c r="Z68" s="297"/>
      <c r="AA68" s="297">
        <v>0</v>
      </c>
      <c r="AB68" s="293">
        <v>0</v>
      </c>
      <c r="AC68" s="294"/>
      <c r="AD68" s="295"/>
      <c r="AE68" s="298"/>
      <c r="AF68" s="296">
        <v>0</v>
      </c>
      <c r="AG68" s="297"/>
      <c r="AH68" s="297"/>
      <c r="AI68" s="297"/>
      <c r="AJ68" s="297"/>
      <c r="AK68" s="297"/>
      <c r="AL68" s="297"/>
      <c r="AM68" s="297"/>
      <c r="AN68" s="300">
        <v>1500</v>
      </c>
      <c r="AO68" s="301"/>
      <c r="AP68" s="301"/>
      <c r="AQ68" s="301"/>
      <c r="AR68" s="301"/>
      <c r="AS68" s="301"/>
      <c r="AT68" s="301"/>
      <c r="AU68" s="301"/>
      <c r="AV68" s="301"/>
      <c r="AW68" s="301"/>
      <c r="AX68" s="301"/>
      <c r="AY68" s="301"/>
      <c r="AZ68" s="301"/>
      <c r="BA68" s="301"/>
      <c r="BB68" s="301"/>
      <c r="BC68" s="301"/>
      <c r="BD68" s="301"/>
      <c r="BE68" s="301"/>
      <c r="BF68" s="302"/>
      <c r="BG68" s="303">
        <v>10</v>
      </c>
      <c r="BH68" s="304"/>
      <c r="BI68" s="304"/>
      <c r="BJ68" s="304"/>
      <c r="BK68" s="304"/>
      <c r="BL68" s="304"/>
      <c r="BM68" s="304"/>
      <c r="BN68" s="304"/>
      <c r="BO68" s="304"/>
      <c r="BP68" s="304"/>
      <c r="BQ68" s="304"/>
      <c r="BR68" s="304"/>
      <c r="BS68" s="304"/>
      <c r="BT68" s="304"/>
      <c r="BU68" s="304"/>
      <c r="BV68" s="304"/>
      <c r="BW68" s="304"/>
      <c r="BX68" s="304"/>
      <c r="BY68" s="305"/>
      <c r="BZ68" s="308"/>
      <c r="CA68" s="307"/>
      <c r="CB68" s="307"/>
      <c r="CC68" s="307"/>
      <c r="CD68" s="307"/>
      <c r="CE68" s="307"/>
      <c r="CF68" s="309"/>
      <c r="CG68" s="332"/>
      <c r="CH68" s="328"/>
      <c r="CI68" s="328"/>
      <c r="CJ68" s="328"/>
      <c r="CK68" s="328"/>
      <c r="CL68" s="328"/>
      <c r="CM68" s="328">
        <v>2</v>
      </c>
      <c r="CN68" s="370"/>
      <c r="CO68" s="367"/>
      <c r="CP68" s="367"/>
      <c r="CQ68" s="367"/>
      <c r="CR68" s="367"/>
      <c r="CS68" s="387">
        <v>10</v>
      </c>
      <c r="CT68" s="398"/>
      <c r="CU68" s="399"/>
      <c r="CV68" s="399"/>
      <c r="CW68" s="399"/>
      <c r="CX68" s="399"/>
      <c r="CY68" s="399"/>
      <c r="CZ68" s="399"/>
      <c r="DA68" s="400">
        <v>1</v>
      </c>
      <c r="DB68" s="522">
        <v>1</v>
      </c>
    </row>
    <row r="69" spans="1:106" x14ac:dyDescent="0.25">
      <c r="A69" s="468" t="s">
        <v>49</v>
      </c>
      <c r="B69" s="468">
        <v>812</v>
      </c>
      <c r="C69" s="468" t="s">
        <v>3454</v>
      </c>
      <c r="D69" s="468">
        <v>1254</v>
      </c>
      <c r="E69" s="468" t="s">
        <v>1120</v>
      </c>
      <c r="F69" s="468" t="s">
        <v>1121</v>
      </c>
      <c r="G69" s="468" t="s">
        <v>1122</v>
      </c>
      <c r="H69" s="468" t="s">
        <v>1074</v>
      </c>
      <c r="I69" s="468" t="s">
        <v>54</v>
      </c>
      <c r="J69" s="468" t="s">
        <v>3126</v>
      </c>
      <c r="K69" s="468" t="s">
        <v>1123</v>
      </c>
      <c r="L69" s="468" t="s">
        <v>3766</v>
      </c>
      <c r="M69" s="468" t="s">
        <v>4011</v>
      </c>
      <c r="N69" s="460"/>
      <c r="O69" s="294"/>
      <c r="P69" s="294"/>
      <c r="Q69" s="294"/>
      <c r="R69" s="294"/>
      <c r="S69" s="295"/>
      <c r="T69" s="299"/>
      <c r="U69" s="297"/>
      <c r="V69" s="297"/>
      <c r="W69" s="297"/>
      <c r="X69" s="297"/>
      <c r="Y69" s="297"/>
      <c r="Z69" s="297"/>
      <c r="AA69" s="297">
        <v>2</v>
      </c>
      <c r="AB69" s="293">
        <v>0</v>
      </c>
      <c r="AC69" s="294"/>
      <c r="AD69" s="295"/>
      <c r="AE69" s="298"/>
      <c r="AF69" s="296">
        <v>0</v>
      </c>
      <c r="AG69" s="297"/>
      <c r="AH69" s="297"/>
      <c r="AI69" s="297"/>
      <c r="AJ69" s="297"/>
      <c r="AK69" s="297"/>
      <c r="AL69" s="297"/>
      <c r="AM69" s="297"/>
      <c r="AN69" s="300">
        <v>1500</v>
      </c>
      <c r="AO69" s="301"/>
      <c r="AP69" s="301"/>
      <c r="AQ69" s="301"/>
      <c r="AR69" s="301"/>
      <c r="AS69" s="301"/>
      <c r="AT69" s="301"/>
      <c r="AU69" s="301"/>
      <c r="AV69" s="301"/>
      <c r="AW69" s="301"/>
      <c r="AX69" s="301"/>
      <c r="AY69" s="301"/>
      <c r="AZ69" s="301"/>
      <c r="BA69" s="301"/>
      <c r="BB69" s="301"/>
      <c r="BC69" s="301"/>
      <c r="BD69" s="301"/>
      <c r="BE69" s="301"/>
      <c r="BF69" s="302"/>
      <c r="BG69" s="303">
        <v>10</v>
      </c>
      <c r="BH69" s="304"/>
      <c r="BI69" s="304"/>
      <c r="BJ69" s="304"/>
      <c r="BK69" s="304"/>
      <c r="BL69" s="304"/>
      <c r="BM69" s="304"/>
      <c r="BN69" s="304"/>
      <c r="BO69" s="304"/>
      <c r="BP69" s="304"/>
      <c r="BQ69" s="304"/>
      <c r="BR69" s="304"/>
      <c r="BS69" s="304"/>
      <c r="BT69" s="304"/>
      <c r="BU69" s="304"/>
      <c r="BV69" s="304"/>
      <c r="BW69" s="304"/>
      <c r="BX69" s="304"/>
      <c r="BY69" s="305"/>
      <c r="BZ69" s="308"/>
      <c r="CA69" s="307"/>
      <c r="CB69" s="307"/>
      <c r="CC69" s="307"/>
      <c r="CD69" s="307"/>
      <c r="CE69" s="307"/>
      <c r="CF69" s="309"/>
      <c r="CG69" s="332"/>
      <c r="CH69" s="328"/>
      <c r="CI69" s="328"/>
      <c r="CJ69" s="328"/>
      <c r="CK69" s="328"/>
      <c r="CL69" s="328"/>
      <c r="CM69" s="328">
        <v>2</v>
      </c>
      <c r="CN69" s="370"/>
      <c r="CO69" s="367"/>
      <c r="CP69" s="367"/>
      <c r="CQ69" s="367"/>
      <c r="CR69" s="367"/>
      <c r="CS69" s="387">
        <v>10</v>
      </c>
      <c r="CT69" s="398"/>
      <c r="CU69" s="399"/>
      <c r="CV69" s="399"/>
      <c r="CW69" s="399"/>
      <c r="CX69" s="399"/>
      <c r="CY69" s="399"/>
      <c r="CZ69" s="399"/>
      <c r="DA69" s="400">
        <v>1</v>
      </c>
      <c r="DB69" s="522">
        <v>1</v>
      </c>
    </row>
    <row r="70" spans="1:106" x14ac:dyDescent="0.25">
      <c r="A70" s="468" t="s">
        <v>49</v>
      </c>
      <c r="B70" s="468">
        <v>812</v>
      </c>
      <c r="C70" s="468" t="s">
        <v>3647</v>
      </c>
      <c r="D70" s="468">
        <v>1856</v>
      </c>
      <c r="E70" s="468" t="s">
        <v>1124</v>
      </c>
      <c r="F70" s="468" t="s">
        <v>1125</v>
      </c>
      <c r="G70" s="468" t="s">
        <v>1126</v>
      </c>
      <c r="H70" s="468" t="s">
        <v>1127</v>
      </c>
      <c r="I70" s="468" t="s">
        <v>54</v>
      </c>
      <c r="J70" s="468" t="s">
        <v>3648</v>
      </c>
      <c r="K70" s="468" t="s">
        <v>1128</v>
      </c>
      <c r="L70" s="468" t="s">
        <v>3766</v>
      </c>
      <c r="M70" s="468" t="s">
        <v>4011</v>
      </c>
      <c r="N70" s="460"/>
      <c r="O70" s="294"/>
      <c r="P70" s="294"/>
      <c r="Q70" s="294"/>
      <c r="R70" s="294"/>
      <c r="S70" s="295"/>
      <c r="T70" s="299"/>
      <c r="U70" s="297"/>
      <c r="V70" s="297"/>
      <c r="W70" s="297"/>
      <c r="X70" s="297"/>
      <c r="Y70" s="297"/>
      <c r="Z70" s="297"/>
      <c r="AA70" s="297">
        <v>2</v>
      </c>
      <c r="AB70" s="293">
        <v>0</v>
      </c>
      <c r="AC70" s="294"/>
      <c r="AD70" s="295"/>
      <c r="AE70" s="298"/>
      <c r="AF70" s="296">
        <v>0</v>
      </c>
      <c r="AG70" s="297"/>
      <c r="AH70" s="297"/>
      <c r="AI70" s="297"/>
      <c r="AJ70" s="297"/>
      <c r="AK70" s="297"/>
      <c r="AL70" s="297"/>
      <c r="AM70" s="297"/>
      <c r="AN70" s="300">
        <v>1500</v>
      </c>
      <c r="AO70" s="301"/>
      <c r="AP70" s="301"/>
      <c r="AQ70" s="301"/>
      <c r="AR70" s="301"/>
      <c r="AS70" s="301"/>
      <c r="AT70" s="301"/>
      <c r="AU70" s="301"/>
      <c r="AV70" s="301"/>
      <c r="AW70" s="301"/>
      <c r="AX70" s="301"/>
      <c r="AY70" s="301"/>
      <c r="AZ70" s="301"/>
      <c r="BA70" s="301"/>
      <c r="BB70" s="301"/>
      <c r="BC70" s="301"/>
      <c r="BD70" s="301"/>
      <c r="BE70" s="301"/>
      <c r="BF70" s="302"/>
      <c r="BG70" s="303">
        <v>10</v>
      </c>
      <c r="BH70" s="304"/>
      <c r="BI70" s="304"/>
      <c r="BJ70" s="304"/>
      <c r="BK70" s="304"/>
      <c r="BL70" s="304"/>
      <c r="BM70" s="304"/>
      <c r="BN70" s="304"/>
      <c r="BO70" s="304"/>
      <c r="BP70" s="304"/>
      <c r="BQ70" s="304"/>
      <c r="BR70" s="304"/>
      <c r="BS70" s="304"/>
      <c r="BT70" s="304"/>
      <c r="BU70" s="304"/>
      <c r="BV70" s="304"/>
      <c r="BW70" s="304"/>
      <c r="BX70" s="304"/>
      <c r="BY70" s="305"/>
      <c r="BZ70" s="308"/>
      <c r="CA70" s="307"/>
      <c r="CB70" s="307"/>
      <c r="CC70" s="307"/>
      <c r="CD70" s="307"/>
      <c r="CE70" s="307"/>
      <c r="CF70" s="309"/>
      <c r="CG70" s="332"/>
      <c r="CH70" s="328"/>
      <c r="CI70" s="328"/>
      <c r="CJ70" s="328"/>
      <c r="CK70" s="328"/>
      <c r="CL70" s="328"/>
      <c r="CM70" s="328">
        <v>2</v>
      </c>
      <c r="CN70" s="370"/>
      <c r="CO70" s="367"/>
      <c r="CP70" s="367"/>
      <c r="CQ70" s="367"/>
      <c r="CR70" s="367"/>
      <c r="CS70" s="387">
        <v>10</v>
      </c>
      <c r="CT70" s="398"/>
      <c r="CU70" s="399"/>
      <c r="CV70" s="399"/>
      <c r="CW70" s="399"/>
      <c r="CX70" s="399"/>
      <c r="CY70" s="399"/>
      <c r="CZ70" s="399"/>
      <c r="DA70" s="400">
        <v>1</v>
      </c>
      <c r="DB70" s="522">
        <v>1</v>
      </c>
    </row>
    <row r="71" spans="1:106" x14ac:dyDescent="0.25">
      <c r="A71" s="468" t="s">
        <v>264</v>
      </c>
      <c r="B71" s="468">
        <v>832</v>
      </c>
      <c r="C71" s="468" t="s">
        <v>3643</v>
      </c>
      <c r="D71" s="468">
        <v>1854</v>
      </c>
      <c r="E71" s="468" t="s">
        <v>265</v>
      </c>
      <c r="F71" s="468" t="s">
        <v>1231</v>
      </c>
      <c r="G71" s="468" t="s">
        <v>266</v>
      </c>
      <c r="H71" s="468" t="s">
        <v>267</v>
      </c>
      <c r="I71" s="468" t="s">
        <v>54</v>
      </c>
      <c r="J71" s="468" t="s">
        <v>3644</v>
      </c>
      <c r="K71" s="468" t="s">
        <v>268</v>
      </c>
      <c r="L71" s="468" t="s">
        <v>3766</v>
      </c>
      <c r="M71" s="468" t="s">
        <v>4020</v>
      </c>
      <c r="N71" s="460"/>
      <c r="O71" s="294"/>
      <c r="P71" s="294"/>
      <c r="Q71" s="294"/>
      <c r="R71" s="294"/>
      <c r="S71" s="295"/>
      <c r="T71" s="299"/>
      <c r="U71" s="297"/>
      <c r="V71" s="297"/>
      <c r="W71" s="297"/>
      <c r="X71" s="297"/>
      <c r="Y71" s="297"/>
      <c r="Z71" s="297"/>
      <c r="AA71" s="297">
        <v>1</v>
      </c>
      <c r="AB71" s="293">
        <v>0</v>
      </c>
      <c r="AC71" s="294"/>
      <c r="AD71" s="295"/>
      <c r="AE71" s="298"/>
      <c r="AF71" s="296">
        <v>0</v>
      </c>
      <c r="AG71" s="297"/>
      <c r="AH71" s="297"/>
      <c r="AI71" s="297"/>
      <c r="AJ71" s="297"/>
      <c r="AK71" s="297"/>
      <c r="AL71" s="297"/>
      <c r="AM71" s="297"/>
      <c r="AN71" s="300"/>
      <c r="AO71" s="301"/>
      <c r="AP71" s="301">
        <v>1500</v>
      </c>
      <c r="AQ71" s="301"/>
      <c r="AR71" s="301"/>
      <c r="AS71" s="301"/>
      <c r="AT71" s="301"/>
      <c r="AU71" s="301"/>
      <c r="AV71" s="301"/>
      <c r="AW71" s="301"/>
      <c r="AX71" s="301"/>
      <c r="AY71" s="301"/>
      <c r="AZ71" s="301"/>
      <c r="BA71" s="301"/>
      <c r="BB71" s="301"/>
      <c r="BC71" s="301"/>
      <c r="BD71" s="301"/>
      <c r="BE71" s="301"/>
      <c r="BF71" s="302"/>
      <c r="BG71" s="303"/>
      <c r="BH71" s="304"/>
      <c r="BI71" s="304">
        <v>10</v>
      </c>
      <c r="BJ71" s="304"/>
      <c r="BK71" s="304"/>
      <c r="BL71" s="304"/>
      <c r="BM71" s="304"/>
      <c r="BN71" s="304"/>
      <c r="BO71" s="304"/>
      <c r="BP71" s="304"/>
      <c r="BQ71" s="304"/>
      <c r="BR71" s="304"/>
      <c r="BS71" s="304"/>
      <c r="BT71" s="304"/>
      <c r="BU71" s="304"/>
      <c r="BV71" s="304"/>
      <c r="BW71" s="304"/>
      <c r="BX71" s="304"/>
      <c r="BY71" s="305"/>
      <c r="BZ71" s="308"/>
      <c r="CA71" s="307"/>
      <c r="CB71" s="307"/>
      <c r="CC71" s="307"/>
      <c r="CD71" s="307"/>
      <c r="CE71" s="307"/>
      <c r="CF71" s="309"/>
      <c r="CG71" s="332"/>
      <c r="CH71" s="328"/>
      <c r="CI71" s="328"/>
      <c r="CJ71" s="328"/>
      <c r="CK71" s="328"/>
      <c r="CL71" s="328"/>
      <c r="CM71" s="328">
        <v>2</v>
      </c>
      <c r="CN71" s="370"/>
      <c r="CO71" s="367"/>
      <c r="CP71" s="367"/>
      <c r="CQ71" s="367"/>
      <c r="CR71" s="367"/>
      <c r="CS71" s="387">
        <v>10</v>
      </c>
      <c r="CT71" s="398"/>
      <c r="CU71" s="399"/>
      <c r="CV71" s="399"/>
      <c r="CW71" s="399"/>
      <c r="CX71" s="399"/>
      <c r="CY71" s="399"/>
      <c r="CZ71" s="399"/>
      <c r="DA71" s="400">
        <v>1</v>
      </c>
      <c r="DB71" s="522">
        <v>1</v>
      </c>
    </row>
    <row r="72" spans="1:106" x14ac:dyDescent="0.25">
      <c r="A72" s="468" t="s">
        <v>264</v>
      </c>
      <c r="B72" s="468">
        <v>812</v>
      </c>
      <c r="C72" s="468" t="s">
        <v>3645</v>
      </c>
      <c r="D72" s="468">
        <v>1855</v>
      </c>
      <c r="E72" s="468" t="s">
        <v>1232</v>
      </c>
      <c r="F72" s="468" t="s">
        <v>1058</v>
      </c>
      <c r="G72" s="468" t="s">
        <v>1234</v>
      </c>
      <c r="H72" s="468" t="s">
        <v>1235</v>
      </c>
      <c r="I72" s="468" t="s">
        <v>54</v>
      </c>
      <c r="J72" s="468" t="s">
        <v>3646</v>
      </c>
      <c r="K72" s="468" t="s">
        <v>1236</v>
      </c>
      <c r="L72" s="468" t="s">
        <v>3766</v>
      </c>
      <c r="M72" s="468" t="s">
        <v>4020</v>
      </c>
      <c r="N72" s="460">
        <v>2</v>
      </c>
      <c r="O72" s="294"/>
      <c r="P72" s="294"/>
      <c r="Q72" s="294"/>
      <c r="R72" s="294"/>
      <c r="S72" s="295"/>
      <c r="T72" s="299"/>
      <c r="U72" s="297"/>
      <c r="V72" s="297"/>
      <c r="W72" s="297"/>
      <c r="X72" s="297"/>
      <c r="Y72" s="297"/>
      <c r="Z72" s="297"/>
      <c r="AA72" s="297">
        <v>0</v>
      </c>
      <c r="AB72" s="293">
        <v>0</v>
      </c>
      <c r="AC72" s="294"/>
      <c r="AD72" s="295"/>
      <c r="AE72" s="298"/>
      <c r="AF72" s="296">
        <v>0</v>
      </c>
      <c r="AG72" s="297"/>
      <c r="AH72" s="297"/>
      <c r="AI72" s="297"/>
      <c r="AJ72" s="297"/>
      <c r="AK72" s="297"/>
      <c r="AL72" s="297"/>
      <c r="AM72" s="297"/>
      <c r="AN72" s="300"/>
      <c r="AO72" s="301"/>
      <c r="AP72" s="301">
        <v>1500</v>
      </c>
      <c r="AQ72" s="301"/>
      <c r="AR72" s="301"/>
      <c r="AS72" s="301"/>
      <c r="AT72" s="301"/>
      <c r="AU72" s="301"/>
      <c r="AV72" s="301"/>
      <c r="AW72" s="301"/>
      <c r="AX72" s="301"/>
      <c r="AY72" s="301"/>
      <c r="AZ72" s="301"/>
      <c r="BA72" s="301"/>
      <c r="BB72" s="301"/>
      <c r="BC72" s="301"/>
      <c r="BD72" s="301"/>
      <c r="BE72" s="301"/>
      <c r="BF72" s="302"/>
      <c r="BG72" s="303"/>
      <c r="BH72" s="304"/>
      <c r="BI72" s="304">
        <v>10</v>
      </c>
      <c r="BJ72" s="304"/>
      <c r="BK72" s="304"/>
      <c r="BL72" s="304"/>
      <c r="BM72" s="304"/>
      <c r="BN72" s="304"/>
      <c r="BO72" s="304"/>
      <c r="BP72" s="304"/>
      <c r="BQ72" s="304"/>
      <c r="BR72" s="304"/>
      <c r="BS72" s="304"/>
      <c r="BT72" s="304"/>
      <c r="BU72" s="304"/>
      <c r="BV72" s="304"/>
      <c r="BW72" s="304"/>
      <c r="BX72" s="304"/>
      <c r="BY72" s="305"/>
      <c r="BZ72" s="308"/>
      <c r="CA72" s="307"/>
      <c r="CB72" s="307"/>
      <c r="CC72" s="307"/>
      <c r="CD72" s="307"/>
      <c r="CE72" s="307"/>
      <c r="CF72" s="309"/>
      <c r="CG72" s="332"/>
      <c r="CH72" s="328"/>
      <c r="CI72" s="328"/>
      <c r="CJ72" s="328"/>
      <c r="CK72" s="328"/>
      <c r="CL72" s="328"/>
      <c r="CM72" s="328">
        <v>2</v>
      </c>
      <c r="CN72" s="370"/>
      <c r="CO72" s="367"/>
      <c r="CP72" s="367"/>
      <c r="CQ72" s="367"/>
      <c r="CR72" s="367"/>
      <c r="CS72" s="387">
        <v>10</v>
      </c>
      <c r="CT72" s="398"/>
      <c r="CU72" s="399"/>
      <c r="CV72" s="399"/>
      <c r="CW72" s="399"/>
      <c r="CX72" s="399"/>
      <c r="CY72" s="399"/>
      <c r="CZ72" s="399"/>
      <c r="DA72" s="400">
        <v>1</v>
      </c>
      <c r="DB72" s="522">
        <v>1</v>
      </c>
    </row>
    <row r="73" spans="1:106" x14ac:dyDescent="0.25">
      <c r="A73" s="468" t="s">
        <v>62</v>
      </c>
      <c r="B73" s="468">
        <v>812</v>
      </c>
      <c r="C73" s="468" t="s">
        <v>1282</v>
      </c>
      <c r="D73" s="468">
        <v>226</v>
      </c>
      <c r="E73" s="468" t="s">
        <v>1283</v>
      </c>
      <c r="F73" s="468" t="s">
        <v>1284</v>
      </c>
      <c r="G73" s="468" t="s">
        <v>1285</v>
      </c>
      <c r="H73" s="468" t="s">
        <v>289</v>
      </c>
      <c r="I73" s="468" t="s">
        <v>54</v>
      </c>
      <c r="J73" s="468" t="s">
        <v>3095</v>
      </c>
      <c r="K73" s="468" t="s">
        <v>1286</v>
      </c>
      <c r="L73" s="468" t="s">
        <v>3766</v>
      </c>
      <c r="M73" s="468" t="s">
        <v>4020</v>
      </c>
      <c r="N73" s="460">
        <v>0</v>
      </c>
      <c r="O73" s="294"/>
      <c r="P73" s="294"/>
      <c r="Q73" s="294"/>
      <c r="R73" s="294"/>
      <c r="S73" s="295"/>
      <c r="T73" s="299"/>
      <c r="U73" s="297"/>
      <c r="V73" s="297"/>
      <c r="W73" s="297"/>
      <c r="X73" s="297"/>
      <c r="Y73" s="297"/>
      <c r="Z73" s="297"/>
      <c r="AA73" s="297">
        <v>0</v>
      </c>
      <c r="AB73" s="293">
        <v>0</v>
      </c>
      <c r="AC73" s="294"/>
      <c r="AD73" s="295"/>
      <c r="AE73" s="298"/>
      <c r="AF73" s="299"/>
      <c r="AG73" s="297"/>
      <c r="AH73" s="297"/>
      <c r="AI73" s="297"/>
      <c r="AJ73" s="297"/>
      <c r="AK73" s="297">
        <v>1</v>
      </c>
      <c r="AL73" s="297"/>
      <c r="AM73" s="297"/>
      <c r="AN73" s="300"/>
      <c r="AO73" s="301"/>
      <c r="AP73" s="301">
        <v>1500</v>
      </c>
      <c r="AQ73" s="301"/>
      <c r="AR73" s="301"/>
      <c r="AS73" s="301"/>
      <c r="AT73" s="301"/>
      <c r="AU73" s="301"/>
      <c r="AV73" s="301"/>
      <c r="AW73" s="301"/>
      <c r="AX73" s="301"/>
      <c r="AY73" s="301"/>
      <c r="AZ73" s="301"/>
      <c r="BA73" s="301"/>
      <c r="BB73" s="301"/>
      <c r="BC73" s="301"/>
      <c r="BD73" s="301"/>
      <c r="BE73" s="301"/>
      <c r="BF73" s="302"/>
      <c r="BG73" s="303"/>
      <c r="BH73" s="304"/>
      <c r="BI73" s="304">
        <v>10</v>
      </c>
      <c r="BJ73" s="304"/>
      <c r="BK73" s="304"/>
      <c r="BL73" s="304"/>
      <c r="BM73" s="304"/>
      <c r="BN73" s="304"/>
      <c r="BO73" s="304"/>
      <c r="BP73" s="304"/>
      <c r="BQ73" s="304"/>
      <c r="BR73" s="304"/>
      <c r="BS73" s="304"/>
      <c r="BT73" s="304"/>
      <c r="BU73" s="304"/>
      <c r="BV73" s="304"/>
      <c r="BW73" s="304"/>
      <c r="BX73" s="304"/>
      <c r="BY73" s="305"/>
      <c r="BZ73" s="308"/>
      <c r="CA73" s="307"/>
      <c r="CB73" s="307"/>
      <c r="CC73" s="307"/>
      <c r="CD73" s="307"/>
      <c r="CE73" s="307"/>
      <c r="CF73" s="309"/>
      <c r="CG73" s="332"/>
      <c r="CH73" s="328"/>
      <c r="CI73" s="328"/>
      <c r="CJ73" s="328"/>
      <c r="CK73" s="328"/>
      <c r="CL73" s="328"/>
      <c r="CM73" s="328">
        <v>2</v>
      </c>
      <c r="CN73" s="370"/>
      <c r="CO73" s="367"/>
      <c r="CP73" s="367"/>
      <c r="CQ73" s="367"/>
      <c r="CR73" s="367"/>
      <c r="CS73" s="387">
        <v>10</v>
      </c>
      <c r="CT73" s="398"/>
      <c r="CU73" s="399"/>
      <c r="CV73" s="399"/>
      <c r="CW73" s="399"/>
      <c r="CX73" s="399"/>
      <c r="CY73" s="399"/>
      <c r="CZ73" s="399"/>
      <c r="DA73" s="400">
        <v>1</v>
      </c>
      <c r="DB73" s="522">
        <v>1</v>
      </c>
    </row>
    <row r="74" spans="1:106" x14ac:dyDescent="0.25">
      <c r="A74" s="468" t="s">
        <v>62</v>
      </c>
      <c r="B74" s="468">
        <v>812</v>
      </c>
      <c r="C74" s="468" t="s">
        <v>1288</v>
      </c>
      <c r="D74" s="468">
        <v>273</v>
      </c>
      <c r="E74" s="468" t="s">
        <v>1289</v>
      </c>
      <c r="F74" s="468" t="s">
        <v>1290</v>
      </c>
      <c r="G74" s="468" t="s">
        <v>1291</v>
      </c>
      <c r="H74" s="468" t="s">
        <v>1239</v>
      </c>
      <c r="I74" s="468" t="s">
        <v>54</v>
      </c>
      <c r="J74" s="468" t="s">
        <v>1292</v>
      </c>
      <c r="K74" s="468" t="s">
        <v>1293</v>
      </c>
      <c r="L74" s="468" t="s">
        <v>3766</v>
      </c>
      <c r="M74" s="468" t="s">
        <v>4020</v>
      </c>
      <c r="N74" s="460">
        <v>0</v>
      </c>
      <c r="O74" s="294"/>
      <c r="P74" s="294"/>
      <c r="Q74" s="294"/>
      <c r="R74" s="294"/>
      <c r="S74" s="295"/>
      <c r="T74" s="299"/>
      <c r="U74" s="297"/>
      <c r="V74" s="297"/>
      <c r="W74" s="297"/>
      <c r="X74" s="297"/>
      <c r="Y74" s="297"/>
      <c r="Z74" s="297"/>
      <c r="AA74" s="297">
        <v>0</v>
      </c>
      <c r="AB74" s="293">
        <v>0</v>
      </c>
      <c r="AC74" s="294"/>
      <c r="AD74" s="295"/>
      <c r="AE74" s="298"/>
      <c r="AF74" s="299"/>
      <c r="AG74" s="297"/>
      <c r="AH74" s="297"/>
      <c r="AI74" s="297"/>
      <c r="AJ74" s="297"/>
      <c r="AK74" s="297">
        <v>0</v>
      </c>
      <c r="AL74" s="297"/>
      <c r="AM74" s="297"/>
      <c r="AN74" s="300"/>
      <c r="AO74" s="301"/>
      <c r="AP74" s="301">
        <v>1500</v>
      </c>
      <c r="AQ74" s="301"/>
      <c r="AR74" s="301"/>
      <c r="AS74" s="301"/>
      <c r="AT74" s="301"/>
      <c r="AU74" s="301"/>
      <c r="AV74" s="301"/>
      <c r="AW74" s="301"/>
      <c r="AX74" s="301"/>
      <c r="AY74" s="301"/>
      <c r="AZ74" s="301"/>
      <c r="BA74" s="301"/>
      <c r="BB74" s="301"/>
      <c r="BC74" s="301"/>
      <c r="BD74" s="301"/>
      <c r="BE74" s="301"/>
      <c r="BF74" s="302"/>
      <c r="BG74" s="303"/>
      <c r="BH74" s="304"/>
      <c r="BI74" s="304">
        <v>10</v>
      </c>
      <c r="BJ74" s="304"/>
      <c r="BK74" s="304"/>
      <c r="BL74" s="304"/>
      <c r="BM74" s="304"/>
      <c r="BN74" s="304"/>
      <c r="BO74" s="304"/>
      <c r="BP74" s="304"/>
      <c r="BQ74" s="304"/>
      <c r="BR74" s="304"/>
      <c r="BS74" s="304"/>
      <c r="BT74" s="304"/>
      <c r="BU74" s="304"/>
      <c r="BV74" s="304"/>
      <c r="BW74" s="304"/>
      <c r="BX74" s="304"/>
      <c r="BY74" s="305"/>
      <c r="BZ74" s="308"/>
      <c r="CA74" s="307"/>
      <c r="CB74" s="307"/>
      <c r="CC74" s="307"/>
      <c r="CD74" s="307"/>
      <c r="CE74" s="307"/>
      <c r="CF74" s="309">
        <v>1</v>
      </c>
      <c r="CG74" s="332"/>
      <c r="CH74" s="328"/>
      <c r="CI74" s="328"/>
      <c r="CJ74" s="328"/>
      <c r="CK74" s="328"/>
      <c r="CL74" s="328"/>
      <c r="CM74" s="328">
        <v>2</v>
      </c>
      <c r="CN74" s="370"/>
      <c r="CO74" s="367"/>
      <c r="CP74" s="367"/>
      <c r="CQ74" s="367"/>
      <c r="CR74" s="367"/>
      <c r="CS74" s="387">
        <v>10</v>
      </c>
      <c r="CT74" s="398"/>
      <c r="CU74" s="399"/>
      <c r="CV74" s="399"/>
      <c r="CW74" s="399"/>
      <c r="CX74" s="399"/>
      <c r="CY74" s="399"/>
      <c r="CZ74" s="399"/>
      <c r="DA74" s="400">
        <v>1</v>
      </c>
      <c r="DB74" s="522">
        <v>1</v>
      </c>
    </row>
    <row r="75" spans="1:106" x14ac:dyDescent="0.25">
      <c r="A75" s="468" t="s">
        <v>62</v>
      </c>
      <c r="B75" s="468">
        <v>812</v>
      </c>
      <c r="C75" s="468" t="s">
        <v>1294</v>
      </c>
      <c r="D75" s="468">
        <v>274</v>
      </c>
      <c r="E75" s="468" t="s">
        <v>1295</v>
      </c>
      <c r="F75" s="468" t="s">
        <v>3029</v>
      </c>
      <c r="G75" s="468" t="s">
        <v>1297</v>
      </c>
      <c r="H75" s="468" t="s">
        <v>1298</v>
      </c>
      <c r="I75" s="468" t="s">
        <v>54</v>
      </c>
      <c r="J75" s="468" t="s">
        <v>3122</v>
      </c>
      <c r="K75" s="468" t="s">
        <v>1299</v>
      </c>
      <c r="L75" s="468" t="s">
        <v>3766</v>
      </c>
      <c r="M75" s="468" t="s">
        <v>4020</v>
      </c>
      <c r="N75" s="460">
        <v>0</v>
      </c>
      <c r="O75" s="294"/>
      <c r="P75" s="294"/>
      <c r="Q75" s="294"/>
      <c r="R75" s="294"/>
      <c r="S75" s="295"/>
      <c r="T75" s="299"/>
      <c r="U75" s="297"/>
      <c r="V75" s="297"/>
      <c r="W75" s="297"/>
      <c r="X75" s="297"/>
      <c r="Y75" s="297"/>
      <c r="Z75" s="297"/>
      <c r="AA75" s="297">
        <v>0</v>
      </c>
      <c r="AB75" s="293">
        <v>1</v>
      </c>
      <c r="AC75" s="294"/>
      <c r="AD75" s="295"/>
      <c r="AE75" s="298"/>
      <c r="AF75" s="299"/>
      <c r="AG75" s="297"/>
      <c r="AH75" s="297"/>
      <c r="AI75" s="297"/>
      <c r="AJ75" s="297"/>
      <c r="AK75" s="297">
        <v>1</v>
      </c>
      <c r="AL75" s="297"/>
      <c r="AM75" s="297"/>
      <c r="AN75" s="300"/>
      <c r="AO75" s="301"/>
      <c r="AP75" s="301">
        <v>1500</v>
      </c>
      <c r="AQ75" s="301"/>
      <c r="AR75" s="301"/>
      <c r="AS75" s="301"/>
      <c r="AT75" s="301"/>
      <c r="AU75" s="301"/>
      <c r="AV75" s="301"/>
      <c r="AW75" s="301"/>
      <c r="AX75" s="301"/>
      <c r="AY75" s="301"/>
      <c r="AZ75" s="301"/>
      <c r="BA75" s="301"/>
      <c r="BB75" s="301"/>
      <c r="BC75" s="301"/>
      <c r="BD75" s="301"/>
      <c r="BE75" s="301"/>
      <c r="BF75" s="302"/>
      <c r="BG75" s="303"/>
      <c r="BH75" s="304"/>
      <c r="BI75" s="304">
        <v>10</v>
      </c>
      <c r="BJ75" s="304"/>
      <c r="BK75" s="304"/>
      <c r="BL75" s="304"/>
      <c r="BM75" s="304"/>
      <c r="BN75" s="304"/>
      <c r="BO75" s="304"/>
      <c r="BP75" s="304"/>
      <c r="BQ75" s="304"/>
      <c r="BR75" s="304"/>
      <c r="BS75" s="304"/>
      <c r="BT75" s="304"/>
      <c r="BU75" s="304"/>
      <c r="BV75" s="304"/>
      <c r="BW75" s="304"/>
      <c r="BX75" s="304"/>
      <c r="BY75" s="305"/>
      <c r="BZ75" s="308"/>
      <c r="CA75" s="307"/>
      <c r="CB75" s="307"/>
      <c r="CC75" s="307"/>
      <c r="CD75" s="307"/>
      <c r="CE75" s="307"/>
      <c r="CF75" s="309"/>
      <c r="CG75" s="332"/>
      <c r="CH75" s="328"/>
      <c r="CI75" s="328"/>
      <c r="CJ75" s="328"/>
      <c r="CK75" s="328"/>
      <c r="CL75" s="328"/>
      <c r="CM75" s="328">
        <v>2</v>
      </c>
      <c r="CN75" s="370"/>
      <c r="CO75" s="367"/>
      <c r="CP75" s="367"/>
      <c r="CQ75" s="367"/>
      <c r="CR75" s="367"/>
      <c r="CS75" s="387">
        <v>10</v>
      </c>
      <c r="CT75" s="398"/>
      <c r="CU75" s="399"/>
      <c r="CV75" s="399"/>
      <c r="CW75" s="399"/>
      <c r="CX75" s="399"/>
      <c r="CY75" s="399"/>
      <c r="CZ75" s="399"/>
      <c r="DA75" s="400">
        <v>1</v>
      </c>
      <c r="DB75" s="522">
        <v>1</v>
      </c>
    </row>
    <row r="76" spans="1:106" x14ac:dyDescent="0.25">
      <c r="A76" s="468" t="s">
        <v>62</v>
      </c>
      <c r="B76" s="468">
        <v>812</v>
      </c>
      <c r="C76" s="468" t="s">
        <v>3415</v>
      </c>
      <c r="D76" s="468">
        <v>1221</v>
      </c>
      <c r="E76" s="468" t="s">
        <v>1237</v>
      </c>
      <c r="F76" s="468" t="s">
        <v>3041</v>
      </c>
      <c r="G76" s="468" t="s">
        <v>1238</v>
      </c>
      <c r="H76" s="468" t="s">
        <v>1239</v>
      </c>
      <c r="I76" s="468" t="s">
        <v>54</v>
      </c>
      <c r="J76" s="468" t="s">
        <v>3416</v>
      </c>
      <c r="K76" s="468" t="s">
        <v>1240</v>
      </c>
      <c r="L76" s="468" t="s">
        <v>3766</v>
      </c>
      <c r="M76" s="468" t="s">
        <v>4020</v>
      </c>
      <c r="N76" s="460">
        <v>0</v>
      </c>
      <c r="O76" s="294"/>
      <c r="P76" s="294"/>
      <c r="Q76" s="294"/>
      <c r="R76" s="294"/>
      <c r="S76" s="295"/>
      <c r="T76" s="299"/>
      <c r="U76" s="297"/>
      <c r="V76" s="297"/>
      <c r="W76" s="297"/>
      <c r="X76" s="297"/>
      <c r="Y76" s="297"/>
      <c r="Z76" s="297"/>
      <c r="AA76" s="297">
        <v>1</v>
      </c>
      <c r="AB76" s="293">
        <v>0</v>
      </c>
      <c r="AC76" s="294"/>
      <c r="AD76" s="295"/>
      <c r="AE76" s="298"/>
      <c r="AF76" s="296">
        <v>0</v>
      </c>
      <c r="AG76" s="297"/>
      <c r="AH76" s="297"/>
      <c r="AI76" s="297"/>
      <c r="AJ76" s="297"/>
      <c r="AK76" s="297"/>
      <c r="AL76" s="297"/>
      <c r="AM76" s="297"/>
      <c r="AN76" s="300"/>
      <c r="AO76" s="301"/>
      <c r="AP76" s="301">
        <v>1500</v>
      </c>
      <c r="AQ76" s="301"/>
      <c r="AR76" s="301"/>
      <c r="AS76" s="301"/>
      <c r="AT76" s="301"/>
      <c r="AU76" s="301"/>
      <c r="AV76" s="301"/>
      <c r="AW76" s="301"/>
      <c r="AX76" s="301"/>
      <c r="AY76" s="301"/>
      <c r="AZ76" s="301"/>
      <c r="BA76" s="301"/>
      <c r="BB76" s="301"/>
      <c r="BC76" s="301"/>
      <c r="BD76" s="301"/>
      <c r="BE76" s="301"/>
      <c r="BF76" s="302"/>
      <c r="BG76" s="303"/>
      <c r="BH76" s="304"/>
      <c r="BI76" s="304">
        <v>10</v>
      </c>
      <c r="BJ76" s="304"/>
      <c r="BK76" s="304"/>
      <c r="BL76" s="304"/>
      <c r="BM76" s="304"/>
      <c r="BN76" s="304"/>
      <c r="BO76" s="304"/>
      <c r="BP76" s="304"/>
      <c r="BQ76" s="304"/>
      <c r="BR76" s="304"/>
      <c r="BS76" s="304"/>
      <c r="BT76" s="304"/>
      <c r="BU76" s="304"/>
      <c r="BV76" s="304"/>
      <c r="BW76" s="304"/>
      <c r="BX76" s="304"/>
      <c r="BY76" s="305"/>
      <c r="BZ76" s="308"/>
      <c r="CA76" s="307"/>
      <c r="CB76" s="307"/>
      <c r="CC76" s="307"/>
      <c r="CD76" s="307"/>
      <c r="CE76" s="307"/>
      <c r="CF76" s="309"/>
      <c r="CG76" s="332"/>
      <c r="CH76" s="328"/>
      <c r="CI76" s="328"/>
      <c r="CJ76" s="328"/>
      <c r="CK76" s="328"/>
      <c r="CL76" s="328"/>
      <c r="CM76" s="328">
        <v>2</v>
      </c>
      <c r="CN76" s="370"/>
      <c r="CO76" s="367"/>
      <c r="CP76" s="367"/>
      <c r="CQ76" s="367"/>
      <c r="CR76" s="367"/>
      <c r="CS76" s="387">
        <v>10</v>
      </c>
      <c r="CT76" s="398"/>
      <c r="CU76" s="399"/>
      <c r="CV76" s="399"/>
      <c r="CW76" s="399"/>
      <c r="CX76" s="399"/>
      <c r="CY76" s="399"/>
      <c r="CZ76" s="399"/>
      <c r="DA76" s="400">
        <v>1</v>
      </c>
      <c r="DB76" s="522">
        <v>1</v>
      </c>
    </row>
    <row r="77" spans="1:106" x14ac:dyDescent="0.25">
      <c r="A77" s="468" t="s">
        <v>62</v>
      </c>
      <c r="B77" s="468">
        <v>812</v>
      </c>
      <c r="C77" s="468" t="s">
        <v>3450</v>
      </c>
      <c r="D77" s="468">
        <v>1251</v>
      </c>
      <c r="E77" s="468" t="s">
        <v>1241</v>
      </c>
      <c r="F77" s="468" t="s">
        <v>1242</v>
      </c>
      <c r="G77" s="468" t="s">
        <v>1243</v>
      </c>
      <c r="H77" s="468" t="s">
        <v>1244</v>
      </c>
      <c r="I77" s="468" t="s">
        <v>54</v>
      </c>
      <c r="J77" s="468" t="s">
        <v>3451</v>
      </c>
      <c r="K77" s="468" t="s">
        <v>1245</v>
      </c>
      <c r="L77" s="468" t="s">
        <v>3766</v>
      </c>
      <c r="M77" s="468" t="s">
        <v>4020</v>
      </c>
      <c r="N77" s="460">
        <v>1</v>
      </c>
      <c r="O77" s="294"/>
      <c r="P77" s="294"/>
      <c r="Q77" s="294"/>
      <c r="R77" s="294"/>
      <c r="S77" s="295"/>
      <c r="T77" s="299"/>
      <c r="U77" s="297"/>
      <c r="V77" s="297"/>
      <c r="W77" s="297"/>
      <c r="X77" s="297"/>
      <c r="Y77" s="297"/>
      <c r="Z77" s="297"/>
      <c r="AA77" s="297">
        <v>0</v>
      </c>
      <c r="AB77" s="293">
        <v>0</v>
      </c>
      <c r="AC77" s="294"/>
      <c r="AD77" s="295"/>
      <c r="AE77" s="298"/>
      <c r="AF77" s="296">
        <v>0</v>
      </c>
      <c r="AG77" s="297"/>
      <c r="AH77" s="297"/>
      <c r="AI77" s="297"/>
      <c r="AJ77" s="297"/>
      <c r="AK77" s="297"/>
      <c r="AL77" s="297"/>
      <c r="AM77" s="297"/>
      <c r="AN77" s="300"/>
      <c r="AO77" s="301"/>
      <c r="AP77" s="301">
        <v>1500</v>
      </c>
      <c r="AQ77" s="301"/>
      <c r="AR77" s="301"/>
      <c r="AS77" s="301"/>
      <c r="AT77" s="301"/>
      <c r="AU77" s="301"/>
      <c r="AV77" s="301"/>
      <c r="AW77" s="301"/>
      <c r="AX77" s="301"/>
      <c r="AY77" s="301"/>
      <c r="AZ77" s="301"/>
      <c r="BA77" s="301"/>
      <c r="BB77" s="301"/>
      <c r="BC77" s="301"/>
      <c r="BD77" s="301"/>
      <c r="BE77" s="301"/>
      <c r="BF77" s="302"/>
      <c r="BG77" s="303"/>
      <c r="BH77" s="304"/>
      <c r="BI77" s="304">
        <v>10</v>
      </c>
      <c r="BJ77" s="304"/>
      <c r="BK77" s="304"/>
      <c r="BL77" s="304"/>
      <c r="BM77" s="304"/>
      <c r="BN77" s="304"/>
      <c r="BO77" s="304"/>
      <c r="BP77" s="304"/>
      <c r="BQ77" s="304"/>
      <c r="BR77" s="304"/>
      <c r="BS77" s="304"/>
      <c r="BT77" s="304"/>
      <c r="BU77" s="304"/>
      <c r="BV77" s="304"/>
      <c r="BW77" s="304"/>
      <c r="BX77" s="304"/>
      <c r="BY77" s="305"/>
      <c r="BZ77" s="308"/>
      <c r="CA77" s="307"/>
      <c r="CB77" s="307"/>
      <c r="CC77" s="307"/>
      <c r="CD77" s="307"/>
      <c r="CE77" s="307"/>
      <c r="CF77" s="309"/>
      <c r="CG77" s="332"/>
      <c r="CH77" s="328"/>
      <c r="CI77" s="328"/>
      <c r="CJ77" s="328"/>
      <c r="CK77" s="328"/>
      <c r="CL77" s="328"/>
      <c r="CM77" s="328">
        <v>2</v>
      </c>
      <c r="CN77" s="370"/>
      <c r="CO77" s="367"/>
      <c r="CP77" s="367"/>
      <c r="CQ77" s="367"/>
      <c r="CR77" s="367"/>
      <c r="CS77" s="387">
        <v>10</v>
      </c>
      <c r="CT77" s="398"/>
      <c r="CU77" s="399"/>
      <c r="CV77" s="399"/>
      <c r="CW77" s="399"/>
      <c r="CX77" s="399"/>
      <c r="CY77" s="399"/>
      <c r="CZ77" s="399"/>
      <c r="DA77" s="400">
        <v>1</v>
      </c>
      <c r="DB77" s="522">
        <v>1</v>
      </c>
    </row>
    <row r="78" spans="1:106" x14ac:dyDescent="0.25">
      <c r="A78" s="468" t="s">
        <v>62</v>
      </c>
      <c r="B78" s="468">
        <v>832</v>
      </c>
      <c r="C78" s="468" t="s">
        <v>3649</v>
      </c>
      <c r="D78" s="468">
        <v>1901</v>
      </c>
      <c r="E78" s="468" t="s">
        <v>1246</v>
      </c>
      <c r="F78" s="468" t="s">
        <v>1296</v>
      </c>
      <c r="G78" s="468" t="s">
        <v>1247</v>
      </c>
      <c r="H78" s="468" t="s">
        <v>289</v>
      </c>
      <c r="I78" s="468" t="s">
        <v>54</v>
      </c>
      <c r="J78" s="468" t="s">
        <v>3650</v>
      </c>
      <c r="K78" s="468" t="s">
        <v>1248</v>
      </c>
      <c r="L78" s="468" t="s">
        <v>3766</v>
      </c>
      <c r="M78" s="468" t="s">
        <v>4020</v>
      </c>
      <c r="N78" s="460">
        <v>0</v>
      </c>
      <c r="O78" s="294"/>
      <c r="P78" s="294"/>
      <c r="Q78" s="294"/>
      <c r="R78" s="294"/>
      <c r="S78" s="295"/>
      <c r="T78" s="299"/>
      <c r="U78" s="297"/>
      <c r="V78" s="297"/>
      <c r="W78" s="297"/>
      <c r="X78" s="297"/>
      <c r="Y78" s="297"/>
      <c r="Z78" s="297"/>
      <c r="AA78" s="297">
        <v>0</v>
      </c>
      <c r="AB78" s="293">
        <v>0</v>
      </c>
      <c r="AC78" s="294"/>
      <c r="AD78" s="295"/>
      <c r="AE78" s="298"/>
      <c r="AF78" s="296">
        <v>0</v>
      </c>
      <c r="AG78" s="297"/>
      <c r="AH78" s="297"/>
      <c r="AI78" s="297"/>
      <c r="AJ78" s="297"/>
      <c r="AK78" s="297"/>
      <c r="AL78" s="297"/>
      <c r="AM78" s="297"/>
      <c r="AN78" s="300"/>
      <c r="AO78" s="301"/>
      <c r="AP78" s="301">
        <v>1500</v>
      </c>
      <c r="AQ78" s="301"/>
      <c r="AR78" s="301"/>
      <c r="AS78" s="301"/>
      <c r="AT78" s="301"/>
      <c r="AU78" s="301"/>
      <c r="AV78" s="301"/>
      <c r="AW78" s="301"/>
      <c r="AX78" s="301"/>
      <c r="AY78" s="301"/>
      <c r="AZ78" s="301"/>
      <c r="BA78" s="301"/>
      <c r="BB78" s="301"/>
      <c r="BC78" s="301"/>
      <c r="BD78" s="301"/>
      <c r="BE78" s="301"/>
      <c r="BF78" s="302"/>
      <c r="BG78" s="303"/>
      <c r="BH78" s="304"/>
      <c r="BI78" s="304">
        <v>10</v>
      </c>
      <c r="BJ78" s="304"/>
      <c r="BK78" s="304"/>
      <c r="BL78" s="304"/>
      <c r="BM78" s="304"/>
      <c r="BN78" s="304"/>
      <c r="BO78" s="304"/>
      <c r="BP78" s="304"/>
      <c r="BQ78" s="304"/>
      <c r="BR78" s="304"/>
      <c r="BS78" s="304"/>
      <c r="BT78" s="304"/>
      <c r="BU78" s="304"/>
      <c r="BV78" s="304"/>
      <c r="BW78" s="304"/>
      <c r="BX78" s="304"/>
      <c r="BY78" s="305"/>
      <c r="BZ78" s="308"/>
      <c r="CA78" s="307"/>
      <c r="CB78" s="307"/>
      <c r="CC78" s="307"/>
      <c r="CD78" s="307"/>
      <c r="CE78" s="307"/>
      <c r="CF78" s="309">
        <v>1</v>
      </c>
      <c r="CG78" s="332"/>
      <c r="CH78" s="328"/>
      <c r="CI78" s="328"/>
      <c r="CJ78" s="328"/>
      <c r="CK78" s="328"/>
      <c r="CL78" s="328"/>
      <c r="CM78" s="328">
        <v>2</v>
      </c>
      <c r="CN78" s="370"/>
      <c r="CO78" s="367"/>
      <c r="CP78" s="367"/>
      <c r="CQ78" s="367"/>
      <c r="CR78" s="367"/>
      <c r="CS78" s="387">
        <v>10</v>
      </c>
      <c r="CT78" s="398"/>
      <c r="CU78" s="399"/>
      <c r="CV78" s="399"/>
      <c r="CW78" s="399"/>
      <c r="CX78" s="399"/>
      <c r="CY78" s="399"/>
      <c r="CZ78" s="399"/>
      <c r="DA78" s="400">
        <v>1</v>
      </c>
      <c r="DB78" s="522">
        <v>1</v>
      </c>
    </row>
    <row r="79" spans="1:106" x14ac:dyDescent="0.25">
      <c r="A79" s="468" t="s">
        <v>62</v>
      </c>
      <c r="B79" s="468">
        <v>832</v>
      </c>
      <c r="C79" s="468" t="s">
        <v>3651</v>
      </c>
      <c r="D79" s="468">
        <v>1902</v>
      </c>
      <c r="E79" s="468" t="s">
        <v>1249</v>
      </c>
      <c r="F79" s="468" t="s">
        <v>3048</v>
      </c>
      <c r="G79" s="468" t="s">
        <v>3005</v>
      </c>
      <c r="H79" s="468" t="s">
        <v>1250</v>
      </c>
      <c r="I79" s="468" t="s">
        <v>54</v>
      </c>
      <c r="J79" s="468" t="s">
        <v>3652</v>
      </c>
      <c r="K79" s="468" t="s">
        <v>1251</v>
      </c>
      <c r="L79" s="468" t="s">
        <v>3766</v>
      </c>
      <c r="M79" s="468" t="s">
        <v>4020</v>
      </c>
      <c r="N79" s="460">
        <v>0</v>
      </c>
      <c r="O79" s="294"/>
      <c r="P79" s="294"/>
      <c r="Q79" s="294"/>
      <c r="R79" s="294"/>
      <c r="S79" s="295"/>
      <c r="T79" s="299"/>
      <c r="U79" s="297"/>
      <c r="V79" s="297"/>
      <c r="W79" s="297"/>
      <c r="X79" s="297"/>
      <c r="Y79" s="297"/>
      <c r="Z79" s="297"/>
      <c r="AA79" s="297">
        <v>2</v>
      </c>
      <c r="AB79" s="293">
        <v>0</v>
      </c>
      <c r="AC79" s="294"/>
      <c r="AD79" s="295"/>
      <c r="AE79" s="298"/>
      <c r="AF79" s="296">
        <v>0</v>
      </c>
      <c r="AG79" s="297"/>
      <c r="AH79" s="297"/>
      <c r="AI79" s="297"/>
      <c r="AJ79" s="297"/>
      <c r="AK79" s="297"/>
      <c r="AL79" s="297"/>
      <c r="AM79" s="297"/>
      <c r="AN79" s="300"/>
      <c r="AO79" s="301"/>
      <c r="AP79" s="301">
        <v>1500</v>
      </c>
      <c r="AQ79" s="301"/>
      <c r="AR79" s="301"/>
      <c r="AS79" s="301"/>
      <c r="AT79" s="301"/>
      <c r="AU79" s="301"/>
      <c r="AV79" s="301"/>
      <c r="AW79" s="301"/>
      <c r="AX79" s="301"/>
      <c r="AY79" s="301"/>
      <c r="AZ79" s="301"/>
      <c r="BA79" s="301"/>
      <c r="BB79" s="301"/>
      <c r="BC79" s="301"/>
      <c r="BD79" s="301"/>
      <c r="BE79" s="301"/>
      <c r="BF79" s="302"/>
      <c r="BG79" s="303"/>
      <c r="BH79" s="304"/>
      <c r="BI79" s="304">
        <v>10</v>
      </c>
      <c r="BJ79" s="304"/>
      <c r="BK79" s="304"/>
      <c r="BL79" s="304"/>
      <c r="BM79" s="304"/>
      <c r="BN79" s="304"/>
      <c r="BO79" s="304"/>
      <c r="BP79" s="304"/>
      <c r="BQ79" s="304"/>
      <c r="BR79" s="304"/>
      <c r="BS79" s="304"/>
      <c r="BT79" s="304"/>
      <c r="BU79" s="304"/>
      <c r="BV79" s="304"/>
      <c r="BW79" s="304"/>
      <c r="BX79" s="304"/>
      <c r="BY79" s="305"/>
      <c r="BZ79" s="306"/>
      <c r="CA79" s="307"/>
      <c r="CB79" s="307"/>
      <c r="CC79" s="307"/>
      <c r="CD79" s="307"/>
      <c r="CE79" s="307"/>
      <c r="CF79" s="307"/>
      <c r="CG79" s="332"/>
      <c r="CH79" s="328"/>
      <c r="CI79" s="328"/>
      <c r="CJ79" s="328"/>
      <c r="CK79" s="328"/>
      <c r="CL79" s="328"/>
      <c r="CM79" s="328">
        <v>2</v>
      </c>
      <c r="CN79" s="370"/>
      <c r="CO79" s="367"/>
      <c r="CP79" s="367"/>
      <c r="CQ79" s="367"/>
      <c r="CR79" s="367"/>
      <c r="CS79" s="387">
        <v>10</v>
      </c>
      <c r="CT79" s="398"/>
      <c r="CU79" s="399"/>
      <c r="CV79" s="399"/>
      <c r="CW79" s="399"/>
      <c r="CX79" s="399"/>
      <c r="CY79" s="399"/>
      <c r="CZ79" s="399"/>
      <c r="DA79" s="400">
        <v>1</v>
      </c>
      <c r="DB79" s="522">
        <v>1</v>
      </c>
    </row>
    <row r="80" spans="1:106" x14ac:dyDescent="0.25">
      <c r="A80" s="468" t="s">
        <v>62</v>
      </c>
      <c r="B80" s="468">
        <v>812</v>
      </c>
      <c r="C80" s="468" t="s">
        <v>3669</v>
      </c>
      <c r="D80" s="468">
        <v>2501</v>
      </c>
      <c r="E80" s="468" t="s">
        <v>1255</v>
      </c>
      <c r="F80" s="468" t="s">
        <v>3004</v>
      </c>
      <c r="G80" s="468" t="s">
        <v>1257</v>
      </c>
      <c r="H80" s="468" t="s">
        <v>1258</v>
      </c>
      <c r="I80" s="468" t="s">
        <v>54</v>
      </c>
      <c r="J80" s="468" t="s">
        <v>3670</v>
      </c>
      <c r="K80" s="468" t="s">
        <v>1259</v>
      </c>
      <c r="L80" s="468" t="s">
        <v>3766</v>
      </c>
      <c r="M80" s="468" t="s">
        <v>4020</v>
      </c>
      <c r="N80" s="460">
        <v>1</v>
      </c>
      <c r="O80" s="294"/>
      <c r="P80" s="294"/>
      <c r="Q80" s="294"/>
      <c r="R80" s="294"/>
      <c r="S80" s="295"/>
      <c r="T80" s="296">
        <v>0</v>
      </c>
      <c r="U80" s="297"/>
      <c r="V80" s="297"/>
      <c r="W80" s="297"/>
      <c r="X80" s="297"/>
      <c r="Y80" s="297"/>
      <c r="Z80" s="297"/>
      <c r="AA80" s="297"/>
      <c r="AB80" s="293">
        <v>0</v>
      </c>
      <c r="AC80" s="294"/>
      <c r="AD80" s="295"/>
      <c r="AE80" s="298"/>
      <c r="AF80" s="296">
        <v>0</v>
      </c>
      <c r="AG80" s="297"/>
      <c r="AH80" s="297"/>
      <c r="AI80" s="297"/>
      <c r="AJ80" s="297"/>
      <c r="AK80" s="297"/>
      <c r="AL80" s="297"/>
      <c r="AM80" s="297"/>
      <c r="AN80" s="300"/>
      <c r="AO80" s="301"/>
      <c r="AP80" s="301">
        <v>1500</v>
      </c>
      <c r="AQ80" s="301"/>
      <c r="AR80" s="301"/>
      <c r="AS80" s="301"/>
      <c r="AT80" s="301"/>
      <c r="AU80" s="301"/>
      <c r="AV80" s="301"/>
      <c r="AW80" s="301"/>
      <c r="AX80" s="301"/>
      <c r="AY80" s="301"/>
      <c r="AZ80" s="301"/>
      <c r="BA80" s="301"/>
      <c r="BB80" s="301"/>
      <c r="BC80" s="301"/>
      <c r="BD80" s="301"/>
      <c r="BE80" s="301"/>
      <c r="BF80" s="302"/>
      <c r="BG80" s="303"/>
      <c r="BH80" s="304"/>
      <c r="BI80" s="304">
        <v>10</v>
      </c>
      <c r="BJ80" s="304"/>
      <c r="BK80" s="304"/>
      <c r="BL80" s="304"/>
      <c r="BM80" s="304"/>
      <c r="BN80" s="304"/>
      <c r="BO80" s="304"/>
      <c r="BP80" s="304"/>
      <c r="BQ80" s="304"/>
      <c r="BR80" s="304"/>
      <c r="BS80" s="304"/>
      <c r="BT80" s="304"/>
      <c r="BU80" s="304"/>
      <c r="BV80" s="304"/>
      <c r="BW80" s="304"/>
      <c r="BX80" s="304"/>
      <c r="BY80" s="305"/>
      <c r="BZ80" s="306"/>
      <c r="CA80" s="307"/>
      <c r="CB80" s="307"/>
      <c r="CC80" s="307"/>
      <c r="CD80" s="307"/>
      <c r="CE80" s="307"/>
      <c r="CF80" s="307"/>
      <c r="CG80" s="332"/>
      <c r="CH80" s="328"/>
      <c r="CI80" s="328"/>
      <c r="CJ80" s="328"/>
      <c r="CK80" s="328"/>
      <c r="CL80" s="328"/>
      <c r="CM80" s="328">
        <v>2</v>
      </c>
      <c r="CN80" s="370"/>
      <c r="CO80" s="367"/>
      <c r="CP80" s="367"/>
      <c r="CQ80" s="367"/>
      <c r="CR80" s="367"/>
      <c r="CS80" s="387">
        <v>10</v>
      </c>
      <c r="CT80" s="398"/>
      <c r="CU80" s="399"/>
      <c r="CV80" s="399"/>
      <c r="CW80" s="399"/>
      <c r="CX80" s="399"/>
      <c r="CY80" s="399"/>
      <c r="CZ80" s="399"/>
      <c r="DA80" s="400">
        <v>1</v>
      </c>
      <c r="DB80" s="522">
        <v>1</v>
      </c>
    </row>
    <row r="81" spans="1:106" x14ac:dyDescent="0.25">
      <c r="A81" s="468" t="s">
        <v>237</v>
      </c>
      <c r="B81" s="468">
        <v>813</v>
      </c>
      <c r="C81" s="468" t="s">
        <v>1386</v>
      </c>
      <c r="D81" s="468">
        <v>264</v>
      </c>
      <c r="E81" s="468" t="s">
        <v>1387</v>
      </c>
      <c r="F81" s="468" t="s">
        <v>1388</v>
      </c>
      <c r="G81" s="468" t="s">
        <v>1389</v>
      </c>
      <c r="H81" s="468" t="s">
        <v>1390</v>
      </c>
      <c r="I81" s="468" t="s">
        <v>241</v>
      </c>
      <c r="J81" s="468" t="s">
        <v>1391</v>
      </c>
      <c r="K81" s="468" t="s">
        <v>1392</v>
      </c>
      <c r="L81" s="468" t="s">
        <v>3844</v>
      </c>
      <c r="M81" s="468" t="s">
        <v>3845</v>
      </c>
      <c r="N81" s="460">
        <v>0</v>
      </c>
      <c r="O81" s="294"/>
      <c r="P81" s="294"/>
      <c r="Q81" s="294"/>
      <c r="R81" s="294"/>
      <c r="S81" s="295"/>
      <c r="T81" s="296">
        <v>0</v>
      </c>
      <c r="U81" s="297"/>
      <c r="V81" s="297"/>
      <c r="W81" s="297"/>
      <c r="X81" s="297"/>
      <c r="Y81" s="297"/>
      <c r="Z81" s="297"/>
      <c r="AA81" s="297"/>
      <c r="AB81" s="293">
        <v>0</v>
      </c>
      <c r="AC81" s="294"/>
      <c r="AD81" s="295"/>
      <c r="AE81" s="298"/>
      <c r="AF81" s="299"/>
      <c r="AG81" s="297">
        <v>1</v>
      </c>
      <c r="AH81" s="297"/>
      <c r="AI81" s="297"/>
      <c r="AJ81" s="297"/>
      <c r="AK81" s="297"/>
      <c r="AL81" s="297"/>
      <c r="AM81" s="297"/>
      <c r="AN81" s="300"/>
      <c r="AO81" s="301"/>
      <c r="AP81" s="301"/>
      <c r="AQ81" s="301"/>
      <c r="AR81" s="301"/>
      <c r="AS81" s="301"/>
      <c r="AT81" s="301"/>
      <c r="AU81" s="301"/>
      <c r="AV81" s="301"/>
      <c r="AW81" s="301"/>
      <c r="AX81" s="301">
        <v>1500</v>
      </c>
      <c r="AY81" s="301"/>
      <c r="AZ81" s="301"/>
      <c r="BA81" s="301"/>
      <c r="BB81" s="301"/>
      <c r="BC81" s="301"/>
      <c r="BD81" s="301"/>
      <c r="BE81" s="301"/>
      <c r="BF81" s="302"/>
      <c r="BG81" s="303"/>
      <c r="BH81" s="304"/>
      <c r="BI81" s="304"/>
      <c r="BJ81" s="304"/>
      <c r="BK81" s="304"/>
      <c r="BL81" s="304"/>
      <c r="BM81" s="304"/>
      <c r="BN81" s="304"/>
      <c r="BO81" s="304"/>
      <c r="BP81" s="304"/>
      <c r="BQ81" s="304">
        <v>10</v>
      </c>
      <c r="BR81" s="304"/>
      <c r="BS81" s="304"/>
      <c r="BT81" s="304"/>
      <c r="BU81" s="304"/>
      <c r="BV81" s="304"/>
      <c r="BW81" s="304"/>
      <c r="BX81" s="304"/>
      <c r="BY81" s="305"/>
      <c r="BZ81" s="306"/>
      <c r="CA81" s="307"/>
      <c r="CB81" s="307"/>
      <c r="CC81" s="307"/>
      <c r="CD81" s="307"/>
      <c r="CE81" s="307"/>
      <c r="CF81" s="307"/>
      <c r="CG81" s="332"/>
      <c r="CH81" s="328"/>
      <c r="CI81" s="328">
        <v>2</v>
      </c>
      <c r="CJ81" s="328"/>
      <c r="CK81" s="328"/>
      <c r="CL81" s="328"/>
      <c r="CM81" s="328"/>
      <c r="CN81" s="370"/>
      <c r="CO81" s="367"/>
      <c r="CP81" s="367">
        <v>10</v>
      </c>
      <c r="CQ81" s="367"/>
      <c r="CR81" s="367"/>
      <c r="CS81" s="387"/>
      <c r="CT81" s="398"/>
      <c r="CU81" s="399"/>
      <c r="CV81" s="399">
        <v>1</v>
      </c>
      <c r="CW81" s="399"/>
      <c r="CX81" s="399"/>
      <c r="CY81" s="399"/>
      <c r="CZ81" s="399"/>
      <c r="DA81" s="400"/>
      <c r="DB81" s="522">
        <v>1</v>
      </c>
    </row>
    <row r="82" spans="1:106" x14ac:dyDescent="0.25">
      <c r="A82" s="468" t="s">
        <v>237</v>
      </c>
      <c r="B82" s="468">
        <v>813</v>
      </c>
      <c r="C82" s="468" t="s">
        <v>1423</v>
      </c>
      <c r="D82" s="468">
        <v>270</v>
      </c>
      <c r="E82" s="468" t="s">
        <v>1424</v>
      </c>
      <c r="F82" s="468" t="s">
        <v>1425</v>
      </c>
      <c r="G82" s="468" t="s">
        <v>1426</v>
      </c>
      <c r="H82" s="468" t="s">
        <v>1420</v>
      </c>
      <c r="I82" s="468" t="s">
        <v>241</v>
      </c>
      <c r="J82" s="468" t="s">
        <v>1427</v>
      </c>
      <c r="K82" s="468" t="s">
        <v>1428</v>
      </c>
      <c r="L82" s="468" t="s">
        <v>3844</v>
      </c>
      <c r="M82" s="468" t="s">
        <v>3845</v>
      </c>
      <c r="N82" s="460">
        <v>0</v>
      </c>
      <c r="O82" s="294"/>
      <c r="P82" s="294"/>
      <c r="Q82" s="294"/>
      <c r="R82" s="294"/>
      <c r="S82" s="295"/>
      <c r="T82" s="296">
        <v>0</v>
      </c>
      <c r="U82" s="297"/>
      <c r="V82" s="297"/>
      <c r="W82" s="297"/>
      <c r="X82" s="297"/>
      <c r="Y82" s="297"/>
      <c r="Z82" s="297"/>
      <c r="AA82" s="297"/>
      <c r="AB82" s="293">
        <v>0</v>
      </c>
      <c r="AC82" s="294"/>
      <c r="AD82" s="295"/>
      <c r="AE82" s="298"/>
      <c r="AF82" s="299"/>
      <c r="AG82" s="297">
        <v>2</v>
      </c>
      <c r="AH82" s="297"/>
      <c r="AI82" s="297"/>
      <c r="AJ82" s="297"/>
      <c r="AK82" s="297"/>
      <c r="AL82" s="297"/>
      <c r="AM82" s="297"/>
      <c r="AN82" s="300"/>
      <c r="AO82" s="301"/>
      <c r="AP82" s="301"/>
      <c r="AQ82" s="301"/>
      <c r="AR82" s="301"/>
      <c r="AS82" s="301"/>
      <c r="AT82" s="301"/>
      <c r="AU82" s="301"/>
      <c r="AV82" s="301"/>
      <c r="AW82" s="301"/>
      <c r="AX82" s="301">
        <v>1500</v>
      </c>
      <c r="AY82" s="301"/>
      <c r="AZ82" s="301"/>
      <c r="BA82" s="301"/>
      <c r="BB82" s="301"/>
      <c r="BC82" s="301"/>
      <c r="BD82" s="301"/>
      <c r="BE82" s="301"/>
      <c r="BF82" s="302"/>
      <c r="BG82" s="303"/>
      <c r="BH82" s="304"/>
      <c r="BI82" s="304"/>
      <c r="BJ82" s="304"/>
      <c r="BK82" s="304"/>
      <c r="BL82" s="304"/>
      <c r="BM82" s="304"/>
      <c r="BN82" s="304"/>
      <c r="BO82" s="304"/>
      <c r="BP82" s="304"/>
      <c r="BQ82" s="304">
        <v>10</v>
      </c>
      <c r="BR82" s="304"/>
      <c r="BS82" s="304"/>
      <c r="BT82" s="304"/>
      <c r="BU82" s="304"/>
      <c r="BV82" s="304"/>
      <c r="BW82" s="304"/>
      <c r="BX82" s="304"/>
      <c r="BY82" s="305"/>
      <c r="BZ82" s="306"/>
      <c r="CA82" s="307"/>
      <c r="CB82" s="307"/>
      <c r="CC82" s="307"/>
      <c r="CD82" s="307"/>
      <c r="CE82" s="307"/>
      <c r="CF82" s="307"/>
      <c r="CG82" s="332"/>
      <c r="CH82" s="328"/>
      <c r="CI82" s="328">
        <v>2</v>
      </c>
      <c r="CJ82" s="328"/>
      <c r="CK82" s="328"/>
      <c r="CL82" s="328"/>
      <c r="CM82" s="328"/>
      <c r="CN82" s="370"/>
      <c r="CO82" s="367"/>
      <c r="CP82" s="367">
        <v>10</v>
      </c>
      <c r="CQ82" s="367"/>
      <c r="CR82" s="367"/>
      <c r="CS82" s="387"/>
      <c r="CT82" s="398"/>
      <c r="CU82" s="399"/>
      <c r="CV82" s="399">
        <v>1</v>
      </c>
      <c r="CW82" s="399"/>
      <c r="CX82" s="399"/>
      <c r="CY82" s="399"/>
      <c r="CZ82" s="399"/>
      <c r="DA82" s="400"/>
      <c r="DB82" s="522">
        <v>1</v>
      </c>
    </row>
    <row r="83" spans="1:106" x14ac:dyDescent="0.25">
      <c r="A83" s="468" t="s">
        <v>181</v>
      </c>
      <c r="B83" s="468">
        <v>801</v>
      </c>
      <c r="C83" s="468" t="s">
        <v>3535</v>
      </c>
      <c r="D83" s="468">
        <v>1484</v>
      </c>
      <c r="E83" s="468" t="s">
        <v>1429</v>
      </c>
      <c r="F83" s="468" t="s">
        <v>1430</v>
      </c>
      <c r="G83" s="468" t="s">
        <v>1431</v>
      </c>
      <c r="H83" s="468" t="s">
        <v>1432</v>
      </c>
      <c r="I83" s="468" t="s">
        <v>186</v>
      </c>
      <c r="J83" s="468" t="s">
        <v>3536</v>
      </c>
      <c r="K83" s="468" t="s">
        <v>1433</v>
      </c>
      <c r="L83" s="468" t="s">
        <v>3737</v>
      </c>
      <c r="M83" s="468" t="s">
        <v>4013</v>
      </c>
      <c r="N83" s="460">
        <v>0</v>
      </c>
      <c r="O83" s="294"/>
      <c r="P83" s="294"/>
      <c r="Q83" s="294"/>
      <c r="R83" s="294"/>
      <c r="S83" s="295"/>
      <c r="T83" s="299"/>
      <c r="U83" s="297"/>
      <c r="V83" s="297"/>
      <c r="W83" s="297"/>
      <c r="X83" s="297">
        <v>2</v>
      </c>
      <c r="Y83" s="297"/>
      <c r="Z83" s="297"/>
      <c r="AA83" s="297"/>
      <c r="AB83" s="293">
        <v>0</v>
      </c>
      <c r="AC83" s="294"/>
      <c r="AD83" s="295"/>
      <c r="AE83" s="298"/>
      <c r="AF83" s="296">
        <v>0</v>
      </c>
      <c r="AG83" s="297"/>
      <c r="AH83" s="297"/>
      <c r="AI83" s="297"/>
      <c r="AJ83" s="297"/>
      <c r="AK83" s="297"/>
      <c r="AL83" s="297"/>
      <c r="AM83" s="297"/>
      <c r="AN83" s="300"/>
      <c r="AO83" s="301"/>
      <c r="AP83" s="301"/>
      <c r="AQ83" s="301">
        <v>1500</v>
      </c>
      <c r="AR83" s="301"/>
      <c r="AS83" s="301"/>
      <c r="AT83" s="301"/>
      <c r="AU83" s="301"/>
      <c r="AV83" s="301"/>
      <c r="AW83" s="301"/>
      <c r="AX83" s="301"/>
      <c r="AY83" s="301"/>
      <c r="AZ83" s="301"/>
      <c r="BA83" s="301"/>
      <c r="BB83" s="301"/>
      <c r="BC83" s="301"/>
      <c r="BD83" s="301"/>
      <c r="BE83" s="301"/>
      <c r="BF83" s="302"/>
      <c r="BG83" s="303"/>
      <c r="BH83" s="304"/>
      <c r="BI83" s="304"/>
      <c r="BJ83" s="304">
        <v>10</v>
      </c>
      <c r="BK83" s="304"/>
      <c r="BL83" s="304"/>
      <c r="BM83" s="304"/>
      <c r="BN83" s="304"/>
      <c r="BO83" s="304"/>
      <c r="BP83" s="304"/>
      <c r="BQ83" s="304"/>
      <c r="BR83" s="304"/>
      <c r="BS83" s="304"/>
      <c r="BT83" s="304"/>
      <c r="BU83" s="304"/>
      <c r="BV83" s="304"/>
      <c r="BW83" s="304"/>
      <c r="BX83" s="304"/>
      <c r="BY83" s="305"/>
      <c r="BZ83" s="306"/>
      <c r="CA83" s="307"/>
      <c r="CB83" s="307"/>
      <c r="CC83" s="307"/>
      <c r="CD83" s="307"/>
      <c r="CE83" s="307"/>
      <c r="CF83" s="307"/>
      <c r="CG83" s="332"/>
      <c r="CH83" s="328"/>
      <c r="CI83" s="328"/>
      <c r="CJ83" s="328">
        <v>2</v>
      </c>
      <c r="CK83" s="328"/>
      <c r="CL83" s="328"/>
      <c r="CM83" s="328"/>
      <c r="CN83" s="370"/>
      <c r="CO83" s="367"/>
      <c r="CP83" s="367"/>
      <c r="CQ83" s="367">
        <v>10</v>
      </c>
      <c r="CR83" s="367"/>
      <c r="CS83" s="387"/>
      <c r="CT83" s="398"/>
      <c r="CU83" s="399"/>
      <c r="CV83" s="399"/>
      <c r="CW83" s="399">
        <v>1</v>
      </c>
      <c r="CX83" s="399"/>
      <c r="CY83" s="399"/>
      <c r="CZ83" s="399"/>
      <c r="DA83" s="400"/>
      <c r="DB83" s="522">
        <v>1</v>
      </c>
    </row>
    <row r="84" spans="1:106" x14ac:dyDescent="0.25">
      <c r="A84" s="468" t="s">
        <v>181</v>
      </c>
      <c r="B84" s="468">
        <v>801</v>
      </c>
      <c r="C84" s="468" t="s">
        <v>3602</v>
      </c>
      <c r="D84" s="468">
        <v>1723</v>
      </c>
      <c r="E84" s="468" t="s">
        <v>1434</v>
      </c>
      <c r="F84" s="468" t="s">
        <v>1435</v>
      </c>
      <c r="G84" s="468" t="s">
        <v>1436</v>
      </c>
      <c r="H84" s="468" t="s">
        <v>1432</v>
      </c>
      <c r="I84" s="468" t="s">
        <v>186</v>
      </c>
      <c r="J84" s="468" t="s">
        <v>3536</v>
      </c>
      <c r="K84" s="468" t="s">
        <v>1437</v>
      </c>
      <c r="L84" s="468" t="s">
        <v>3737</v>
      </c>
      <c r="M84" s="468" t="s">
        <v>4013</v>
      </c>
      <c r="N84" s="460">
        <v>0</v>
      </c>
      <c r="O84" s="294"/>
      <c r="P84" s="294"/>
      <c r="Q84" s="294"/>
      <c r="R84" s="294"/>
      <c r="S84" s="295"/>
      <c r="T84" s="299"/>
      <c r="U84" s="297"/>
      <c r="V84" s="297"/>
      <c r="W84" s="297"/>
      <c r="X84" s="297">
        <v>1</v>
      </c>
      <c r="Y84" s="297"/>
      <c r="Z84" s="297"/>
      <c r="AA84" s="297"/>
      <c r="AB84" s="293">
        <v>0</v>
      </c>
      <c r="AC84" s="294"/>
      <c r="AD84" s="295"/>
      <c r="AE84" s="298"/>
      <c r="AF84" s="296">
        <v>0</v>
      </c>
      <c r="AG84" s="297"/>
      <c r="AH84" s="297"/>
      <c r="AI84" s="297"/>
      <c r="AJ84" s="297"/>
      <c r="AK84" s="297"/>
      <c r="AL84" s="297"/>
      <c r="AM84" s="297"/>
      <c r="AN84" s="300"/>
      <c r="AO84" s="301"/>
      <c r="AP84" s="301"/>
      <c r="AQ84" s="301">
        <v>1500</v>
      </c>
      <c r="AR84" s="301"/>
      <c r="AS84" s="301"/>
      <c r="AT84" s="301"/>
      <c r="AU84" s="301"/>
      <c r="AV84" s="301"/>
      <c r="AW84" s="301"/>
      <c r="AX84" s="301"/>
      <c r="AY84" s="301"/>
      <c r="AZ84" s="301"/>
      <c r="BA84" s="301"/>
      <c r="BB84" s="301"/>
      <c r="BC84" s="301"/>
      <c r="BD84" s="301"/>
      <c r="BE84" s="301"/>
      <c r="BF84" s="302"/>
      <c r="BG84" s="303"/>
      <c r="BH84" s="304"/>
      <c r="BI84" s="304"/>
      <c r="BJ84" s="304">
        <v>10</v>
      </c>
      <c r="BK84" s="304"/>
      <c r="BL84" s="304"/>
      <c r="BM84" s="304"/>
      <c r="BN84" s="304"/>
      <c r="BO84" s="304"/>
      <c r="BP84" s="304"/>
      <c r="BQ84" s="304"/>
      <c r="BR84" s="304"/>
      <c r="BS84" s="304"/>
      <c r="BT84" s="304"/>
      <c r="BU84" s="304"/>
      <c r="BV84" s="304"/>
      <c r="BW84" s="304"/>
      <c r="BX84" s="304"/>
      <c r="BY84" s="305"/>
      <c r="BZ84" s="306"/>
      <c r="CA84" s="307"/>
      <c r="CB84" s="307"/>
      <c r="CC84" s="307"/>
      <c r="CD84" s="307"/>
      <c r="CE84" s="307"/>
      <c r="CF84" s="307"/>
      <c r="CG84" s="332"/>
      <c r="CH84" s="328"/>
      <c r="CI84" s="328"/>
      <c r="CJ84" s="328">
        <v>2</v>
      </c>
      <c r="CK84" s="328"/>
      <c r="CL84" s="328"/>
      <c r="CM84" s="328"/>
      <c r="CN84" s="370"/>
      <c r="CO84" s="367"/>
      <c r="CP84" s="367"/>
      <c r="CQ84" s="367">
        <v>10</v>
      </c>
      <c r="CR84" s="367"/>
      <c r="CS84" s="387"/>
      <c r="CT84" s="398"/>
      <c r="CU84" s="399"/>
      <c r="CV84" s="399"/>
      <c r="CW84" s="399">
        <v>1</v>
      </c>
      <c r="CX84" s="399"/>
      <c r="CY84" s="399"/>
      <c r="CZ84" s="399"/>
      <c r="DA84" s="400"/>
      <c r="DB84" s="522">
        <v>1</v>
      </c>
    </row>
    <row r="85" spans="1:106" x14ac:dyDescent="0.25">
      <c r="A85" s="468" t="s">
        <v>188</v>
      </c>
      <c r="B85" s="468">
        <v>801</v>
      </c>
      <c r="C85" s="468" t="s">
        <v>189</v>
      </c>
      <c r="D85" s="468">
        <v>730</v>
      </c>
      <c r="E85" s="468" t="s">
        <v>190</v>
      </c>
      <c r="F85" s="468" t="s">
        <v>1503</v>
      </c>
      <c r="G85" s="468" t="s">
        <v>191</v>
      </c>
      <c r="H85" s="468" t="s">
        <v>192</v>
      </c>
      <c r="I85" s="468" t="s">
        <v>186</v>
      </c>
      <c r="J85" s="468" t="s">
        <v>3261</v>
      </c>
      <c r="K85" s="468" t="s">
        <v>193</v>
      </c>
      <c r="L85" s="468" t="s">
        <v>3737</v>
      </c>
      <c r="M85" s="468" t="s">
        <v>3739</v>
      </c>
      <c r="N85" s="460">
        <v>0</v>
      </c>
      <c r="O85" s="294"/>
      <c r="P85" s="294"/>
      <c r="Q85" s="294"/>
      <c r="R85" s="294"/>
      <c r="S85" s="295"/>
      <c r="T85" s="299"/>
      <c r="U85" s="297"/>
      <c r="V85" s="297"/>
      <c r="W85" s="297">
        <v>2</v>
      </c>
      <c r="X85" s="297"/>
      <c r="Y85" s="297"/>
      <c r="Z85" s="297"/>
      <c r="AA85" s="297"/>
      <c r="AB85" s="293">
        <v>0</v>
      </c>
      <c r="AC85" s="294"/>
      <c r="AD85" s="295"/>
      <c r="AE85" s="298"/>
      <c r="AF85" s="296">
        <v>0</v>
      </c>
      <c r="AG85" s="297"/>
      <c r="AH85" s="297"/>
      <c r="AI85" s="297"/>
      <c r="AJ85" s="297"/>
      <c r="AK85" s="297"/>
      <c r="AL85" s="297"/>
      <c r="AM85" s="297"/>
      <c r="AN85" s="300"/>
      <c r="AO85" s="301"/>
      <c r="AP85" s="301"/>
      <c r="AQ85" s="301"/>
      <c r="AR85" s="301"/>
      <c r="AS85" s="301"/>
      <c r="AT85" s="301"/>
      <c r="AU85" s="301"/>
      <c r="AV85" s="301"/>
      <c r="AW85" s="301"/>
      <c r="AX85" s="301"/>
      <c r="AY85" s="301"/>
      <c r="AZ85" s="301">
        <v>1500</v>
      </c>
      <c r="BA85" s="301"/>
      <c r="BB85" s="301"/>
      <c r="BC85" s="301"/>
      <c r="BD85" s="301"/>
      <c r="BE85" s="301"/>
      <c r="BF85" s="302"/>
      <c r="BG85" s="303"/>
      <c r="BH85" s="304"/>
      <c r="BI85" s="304"/>
      <c r="BJ85" s="304"/>
      <c r="BK85" s="304"/>
      <c r="BL85" s="304"/>
      <c r="BM85" s="304"/>
      <c r="BN85" s="304"/>
      <c r="BO85" s="304"/>
      <c r="BP85" s="304"/>
      <c r="BQ85" s="304"/>
      <c r="BR85" s="304"/>
      <c r="BS85" s="304">
        <v>10</v>
      </c>
      <c r="BT85" s="304"/>
      <c r="BU85" s="304"/>
      <c r="BV85" s="304"/>
      <c r="BW85" s="304"/>
      <c r="BX85" s="304"/>
      <c r="BY85" s="305"/>
      <c r="BZ85" s="306"/>
      <c r="CA85" s="307"/>
      <c r="CB85" s="307"/>
      <c r="CC85" s="307"/>
      <c r="CD85" s="307"/>
      <c r="CE85" s="307"/>
      <c r="CF85" s="307"/>
      <c r="CG85" s="332"/>
      <c r="CH85" s="328"/>
      <c r="CI85" s="328"/>
      <c r="CJ85" s="328">
        <v>2</v>
      </c>
      <c r="CK85" s="328"/>
      <c r="CL85" s="328"/>
      <c r="CM85" s="328"/>
      <c r="CN85" s="370"/>
      <c r="CO85" s="367"/>
      <c r="CP85" s="367"/>
      <c r="CQ85" s="367">
        <v>10</v>
      </c>
      <c r="CR85" s="367"/>
      <c r="CS85" s="387"/>
      <c r="CT85" s="398"/>
      <c r="CU85" s="399"/>
      <c r="CV85" s="399"/>
      <c r="CW85" s="399"/>
      <c r="CX85" s="399">
        <v>1</v>
      </c>
      <c r="CY85" s="399"/>
      <c r="CZ85" s="399"/>
      <c r="DA85" s="400"/>
      <c r="DB85" s="522">
        <v>1</v>
      </c>
    </row>
    <row r="86" spans="1:106" x14ac:dyDescent="0.25">
      <c r="A86" s="468" t="s">
        <v>188</v>
      </c>
      <c r="B86" s="468">
        <v>801</v>
      </c>
      <c r="C86" s="468" t="s">
        <v>1504</v>
      </c>
      <c r="D86" s="468">
        <v>731</v>
      </c>
      <c r="E86" s="468" t="s">
        <v>1505</v>
      </c>
      <c r="F86" s="468" t="s">
        <v>3262</v>
      </c>
      <c r="G86" s="468" t="s">
        <v>1506</v>
      </c>
      <c r="H86" s="468" t="s">
        <v>1489</v>
      </c>
      <c r="I86" s="468" t="s">
        <v>186</v>
      </c>
      <c r="J86" s="468" t="s">
        <v>3263</v>
      </c>
      <c r="K86" s="468" t="s">
        <v>1507</v>
      </c>
      <c r="L86" s="468" t="s">
        <v>3737</v>
      </c>
      <c r="M86" s="468" t="s">
        <v>3739</v>
      </c>
      <c r="N86" s="460">
        <v>0</v>
      </c>
      <c r="O86" s="294"/>
      <c r="P86" s="294"/>
      <c r="Q86" s="294"/>
      <c r="R86" s="294"/>
      <c r="S86" s="295"/>
      <c r="T86" s="299"/>
      <c r="U86" s="297"/>
      <c r="V86" s="297"/>
      <c r="W86" s="297">
        <v>2</v>
      </c>
      <c r="X86" s="297"/>
      <c r="Y86" s="297"/>
      <c r="Z86" s="297"/>
      <c r="AA86" s="297"/>
      <c r="AB86" s="293">
        <v>0</v>
      </c>
      <c r="AC86" s="294"/>
      <c r="AD86" s="295"/>
      <c r="AE86" s="298"/>
      <c r="AF86" s="296">
        <v>0</v>
      </c>
      <c r="AG86" s="297"/>
      <c r="AH86" s="297"/>
      <c r="AI86" s="297"/>
      <c r="AJ86" s="297"/>
      <c r="AK86" s="297"/>
      <c r="AL86" s="297"/>
      <c r="AM86" s="297"/>
      <c r="AN86" s="300"/>
      <c r="AO86" s="301"/>
      <c r="AP86" s="301"/>
      <c r="AQ86" s="301"/>
      <c r="AR86" s="301"/>
      <c r="AS86" s="301"/>
      <c r="AT86" s="301"/>
      <c r="AU86" s="301"/>
      <c r="AV86" s="301"/>
      <c r="AW86" s="301"/>
      <c r="AX86" s="301"/>
      <c r="AY86" s="301"/>
      <c r="AZ86" s="301">
        <v>1500</v>
      </c>
      <c r="BA86" s="301"/>
      <c r="BB86" s="301"/>
      <c r="BC86" s="301"/>
      <c r="BD86" s="301"/>
      <c r="BE86" s="301"/>
      <c r="BF86" s="302"/>
      <c r="BG86" s="303"/>
      <c r="BH86" s="304"/>
      <c r="BI86" s="304"/>
      <c r="BJ86" s="304"/>
      <c r="BK86" s="304"/>
      <c r="BL86" s="304"/>
      <c r="BM86" s="304"/>
      <c r="BN86" s="304"/>
      <c r="BO86" s="304"/>
      <c r="BP86" s="304"/>
      <c r="BQ86" s="304"/>
      <c r="BR86" s="304"/>
      <c r="BS86" s="304">
        <v>10</v>
      </c>
      <c r="BT86" s="304"/>
      <c r="BU86" s="304"/>
      <c r="BV86" s="304"/>
      <c r="BW86" s="304"/>
      <c r="BX86" s="304"/>
      <c r="BY86" s="305"/>
      <c r="BZ86" s="306"/>
      <c r="CA86" s="307"/>
      <c r="CB86" s="307"/>
      <c r="CC86" s="307"/>
      <c r="CD86" s="307"/>
      <c r="CE86" s="307"/>
      <c r="CF86" s="307"/>
      <c r="CG86" s="332"/>
      <c r="CH86" s="328"/>
      <c r="CI86" s="328"/>
      <c r="CJ86" s="328">
        <v>2</v>
      </c>
      <c r="CK86" s="328"/>
      <c r="CL86" s="328"/>
      <c r="CM86" s="328"/>
      <c r="CN86" s="370"/>
      <c r="CO86" s="367"/>
      <c r="CP86" s="367"/>
      <c r="CQ86" s="367">
        <v>10</v>
      </c>
      <c r="CR86" s="367"/>
      <c r="CS86" s="387"/>
      <c r="CT86" s="398"/>
      <c r="CU86" s="399"/>
      <c r="CV86" s="399"/>
      <c r="CW86" s="399"/>
      <c r="CX86" s="399">
        <v>1</v>
      </c>
      <c r="CY86" s="399"/>
      <c r="CZ86" s="399"/>
      <c r="DA86" s="400"/>
      <c r="DB86" s="522">
        <v>1</v>
      </c>
    </row>
    <row r="87" spans="1:106" x14ac:dyDescent="0.25">
      <c r="A87" s="468" t="s">
        <v>188</v>
      </c>
      <c r="B87" s="468">
        <v>801</v>
      </c>
      <c r="C87" s="468" t="s">
        <v>1508</v>
      </c>
      <c r="D87" s="468">
        <v>733</v>
      </c>
      <c r="E87" s="468" t="s">
        <v>1509</v>
      </c>
      <c r="F87" s="468" t="s">
        <v>1510</v>
      </c>
      <c r="G87" s="468" t="s">
        <v>1511</v>
      </c>
      <c r="H87" s="468" t="s">
        <v>1512</v>
      </c>
      <c r="I87" s="468" t="s">
        <v>186</v>
      </c>
      <c r="J87" s="468" t="s">
        <v>3264</v>
      </c>
      <c r="K87" s="468" t="s">
        <v>1513</v>
      </c>
      <c r="L87" s="468" t="s">
        <v>3737</v>
      </c>
      <c r="M87" s="468" t="s">
        <v>3739</v>
      </c>
      <c r="N87" s="460">
        <v>0</v>
      </c>
      <c r="O87" s="294"/>
      <c r="P87" s="294"/>
      <c r="Q87" s="294"/>
      <c r="R87" s="294"/>
      <c r="S87" s="295"/>
      <c r="T87" s="299"/>
      <c r="U87" s="297"/>
      <c r="V87" s="297"/>
      <c r="W87" s="297">
        <v>0</v>
      </c>
      <c r="X87" s="297"/>
      <c r="Y87" s="297"/>
      <c r="Z87" s="297"/>
      <c r="AA87" s="297"/>
      <c r="AB87" s="310"/>
      <c r="AC87" s="294">
        <v>2</v>
      </c>
      <c r="AD87" s="295"/>
      <c r="AE87" s="298"/>
      <c r="AF87" s="296">
        <v>0</v>
      </c>
      <c r="AG87" s="297"/>
      <c r="AH87" s="297"/>
      <c r="AI87" s="297"/>
      <c r="AJ87" s="297"/>
      <c r="AK87" s="297"/>
      <c r="AL87" s="297"/>
      <c r="AM87" s="297"/>
      <c r="AN87" s="300"/>
      <c r="AO87" s="301"/>
      <c r="AP87" s="301"/>
      <c r="AQ87" s="301"/>
      <c r="AR87" s="301"/>
      <c r="AS87" s="301"/>
      <c r="AT87" s="301"/>
      <c r="AU87" s="301"/>
      <c r="AV87" s="301"/>
      <c r="AW87" s="301"/>
      <c r="AX87" s="301"/>
      <c r="AY87" s="301"/>
      <c r="AZ87" s="301">
        <v>1500</v>
      </c>
      <c r="BA87" s="301"/>
      <c r="BB87" s="301"/>
      <c r="BC87" s="301"/>
      <c r="BD87" s="301"/>
      <c r="BE87" s="301"/>
      <c r="BF87" s="302"/>
      <c r="BG87" s="303"/>
      <c r="BH87" s="304"/>
      <c r="BI87" s="304"/>
      <c r="BJ87" s="304"/>
      <c r="BK87" s="304"/>
      <c r="BL87" s="304"/>
      <c r="BM87" s="304"/>
      <c r="BN87" s="304"/>
      <c r="BO87" s="304"/>
      <c r="BP87" s="304"/>
      <c r="BQ87" s="304"/>
      <c r="BR87" s="304"/>
      <c r="BS87" s="304">
        <v>10</v>
      </c>
      <c r="BT87" s="304"/>
      <c r="BU87" s="304"/>
      <c r="BV87" s="304"/>
      <c r="BW87" s="304"/>
      <c r="BX87" s="304"/>
      <c r="BY87" s="305"/>
      <c r="BZ87" s="306"/>
      <c r="CA87" s="307"/>
      <c r="CB87" s="307"/>
      <c r="CC87" s="307"/>
      <c r="CD87" s="307"/>
      <c r="CE87" s="307"/>
      <c r="CF87" s="307"/>
      <c r="CG87" s="332"/>
      <c r="CH87" s="328"/>
      <c r="CI87" s="328"/>
      <c r="CJ87" s="328">
        <v>2</v>
      </c>
      <c r="CK87" s="328"/>
      <c r="CL87" s="328"/>
      <c r="CM87" s="328"/>
      <c r="CN87" s="370"/>
      <c r="CO87" s="367"/>
      <c r="CP87" s="367"/>
      <c r="CQ87" s="367">
        <v>10</v>
      </c>
      <c r="CR87" s="367"/>
      <c r="CS87" s="387"/>
      <c r="CT87" s="398"/>
      <c r="CU87" s="399"/>
      <c r="CV87" s="399"/>
      <c r="CW87" s="399"/>
      <c r="CX87" s="399">
        <v>1</v>
      </c>
      <c r="CY87" s="399"/>
      <c r="CZ87" s="399"/>
      <c r="DA87" s="400"/>
      <c r="DB87" s="522">
        <v>1</v>
      </c>
    </row>
    <row r="88" spans="1:106" x14ac:dyDescent="0.25">
      <c r="A88" s="468" t="s">
        <v>188</v>
      </c>
      <c r="B88" s="468">
        <v>801</v>
      </c>
      <c r="C88" s="468" t="s">
        <v>1514</v>
      </c>
      <c r="D88" s="468">
        <v>734</v>
      </c>
      <c r="E88" s="468" t="s">
        <v>1515</v>
      </c>
      <c r="F88" s="468" t="s">
        <v>1516</v>
      </c>
      <c r="G88" s="468" t="s">
        <v>1517</v>
      </c>
      <c r="H88" s="468" t="s">
        <v>1518</v>
      </c>
      <c r="I88" s="468" t="s">
        <v>186</v>
      </c>
      <c r="J88" s="468" t="s">
        <v>3265</v>
      </c>
      <c r="K88" s="468" t="s">
        <v>1519</v>
      </c>
      <c r="L88" s="468" t="s">
        <v>3737</v>
      </c>
      <c r="M88" s="468" t="s">
        <v>3739</v>
      </c>
      <c r="N88" s="460">
        <v>0</v>
      </c>
      <c r="O88" s="294"/>
      <c r="P88" s="294"/>
      <c r="Q88" s="294"/>
      <c r="R88" s="294"/>
      <c r="S88" s="295"/>
      <c r="T88" s="299"/>
      <c r="U88" s="297"/>
      <c r="V88" s="297"/>
      <c r="W88" s="297">
        <v>2</v>
      </c>
      <c r="X88" s="297"/>
      <c r="Y88" s="297"/>
      <c r="Z88" s="297"/>
      <c r="AA88" s="297"/>
      <c r="AB88" s="293">
        <v>0</v>
      </c>
      <c r="AC88" s="294"/>
      <c r="AD88" s="295"/>
      <c r="AE88" s="298"/>
      <c r="AF88" s="296">
        <v>0</v>
      </c>
      <c r="AG88" s="297"/>
      <c r="AH88" s="297"/>
      <c r="AI88" s="297"/>
      <c r="AJ88" s="297"/>
      <c r="AK88" s="297"/>
      <c r="AL88" s="297"/>
      <c r="AM88" s="297"/>
      <c r="AN88" s="300"/>
      <c r="AO88" s="301"/>
      <c r="AP88" s="301"/>
      <c r="AQ88" s="301"/>
      <c r="AR88" s="301"/>
      <c r="AS88" s="301"/>
      <c r="AT88" s="301"/>
      <c r="AU88" s="301"/>
      <c r="AV88" s="301"/>
      <c r="AW88" s="301"/>
      <c r="AX88" s="301"/>
      <c r="AY88" s="301"/>
      <c r="AZ88" s="301">
        <v>1500</v>
      </c>
      <c r="BA88" s="301"/>
      <c r="BB88" s="301"/>
      <c r="BC88" s="301"/>
      <c r="BD88" s="301"/>
      <c r="BE88" s="301"/>
      <c r="BF88" s="302"/>
      <c r="BG88" s="303"/>
      <c r="BH88" s="304"/>
      <c r="BI88" s="304"/>
      <c r="BJ88" s="304"/>
      <c r="BK88" s="304"/>
      <c r="BL88" s="304"/>
      <c r="BM88" s="304"/>
      <c r="BN88" s="304"/>
      <c r="BO88" s="304"/>
      <c r="BP88" s="304"/>
      <c r="BQ88" s="304"/>
      <c r="BR88" s="304"/>
      <c r="BS88" s="304">
        <v>10</v>
      </c>
      <c r="BT88" s="304"/>
      <c r="BU88" s="304"/>
      <c r="BV88" s="304"/>
      <c r="BW88" s="304"/>
      <c r="BX88" s="304"/>
      <c r="BY88" s="305"/>
      <c r="BZ88" s="306"/>
      <c r="CA88" s="307"/>
      <c r="CB88" s="307"/>
      <c r="CC88" s="307"/>
      <c r="CD88" s="307"/>
      <c r="CE88" s="307"/>
      <c r="CF88" s="307"/>
      <c r="CG88" s="332"/>
      <c r="CH88" s="328"/>
      <c r="CI88" s="328"/>
      <c r="CJ88" s="328">
        <v>2</v>
      </c>
      <c r="CK88" s="328"/>
      <c r="CL88" s="328"/>
      <c r="CM88" s="328"/>
      <c r="CN88" s="370"/>
      <c r="CO88" s="367"/>
      <c r="CP88" s="367"/>
      <c r="CQ88" s="367">
        <v>10</v>
      </c>
      <c r="CR88" s="367"/>
      <c r="CS88" s="387"/>
      <c r="CT88" s="398"/>
      <c r="CU88" s="399"/>
      <c r="CV88" s="399"/>
      <c r="CW88" s="399"/>
      <c r="CX88" s="399">
        <v>1</v>
      </c>
      <c r="CY88" s="399"/>
      <c r="CZ88" s="399"/>
      <c r="DA88" s="400"/>
      <c r="DB88" s="522">
        <v>1</v>
      </c>
    </row>
    <row r="89" spans="1:106" x14ac:dyDescent="0.25">
      <c r="A89" s="468" t="s">
        <v>188</v>
      </c>
      <c r="B89" s="468">
        <v>801</v>
      </c>
      <c r="C89" s="468" t="s">
        <v>3597</v>
      </c>
      <c r="D89" s="468">
        <v>1721</v>
      </c>
      <c r="E89" s="468" t="s">
        <v>1455</v>
      </c>
      <c r="F89" s="468" t="s">
        <v>1460</v>
      </c>
      <c r="G89" s="468" t="s">
        <v>1456</v>
      </c>
      <c r="H89" s="468" t="s">
        <v>1457</v>
      </c>
      <c r="I89" s="468" t="s">
        <v>186</v>
      </c>
      <c r="J89" s="468" t="s">
        <v>3598</v>
      </c>
      <c r="K89" s="468" t="s">
        <v>1458</v>
      </c>
      <c r="L89" s="468" t="s">
        <v>3737</v>
      </c>
      <c r="M89" s="468" t="s">
        <v>3739</v>
      </c>
      <c r="N89" s="460">
        <v>0</v>
      </c>
      <c r="O89" s="294"/>
      <c r="P89" s="294"/>
      <c r="Q89" s="294"/>
      <c r="R89" s="294"/>
      <c r="S89" s="295"/>
      <c r="T89" s="299"/>
      <c r="U89" s="297"/>
      <c r="V89" s="297"/>
      <c r="W89" s="297">
        <v>1</v>
      </c>
      <c r="X89" s="297"/>
      <c r="Y89" s="297"/>
      <c r="Z89" s="297"/>
      <c r="AA89" s="297"/>
      <c r="AB89" s="293">
        <v>0</v>
      </c>
      <c r="AC89" s="294"/>
      <c r="AD89" s="295"/>
      <c r="AE89" s="298"/>
      <c r="AF89" s="296">
        <v>0</v>
      </c>
      <c r="AG89" s="297"/>
      <c r="AH89" s="297"/>
      <c r="AI89" s="297"/>
      <c r="AJ89" s="297"/>
      <c r="AK89" s="297"/>
      <c r="AL89" s="297"/>
      <c r="AM89" s="297"/>
      <c r="AN89" s="300"/>
      <c r="AO89" s="301"/>
      <c r="AP89" s="301"/>
      <c r="AQ89" s="301"/>
      <c r="AR89" s="301"/>
      <c r="AS89" s="301"/>
      <c r="AT89" s="301"/>
      <c r="AU89" s="301"/>
      <c r="AV89" s="301"/>
      <c r="AW89" s="301"/>
      <c r="AX89" s="301"/>
      <c r="AY89" s="301"/>
      <c r="AZ89" s="301">
        <v>1500</v>
      </c>
      <c r="BA89" s="301"/>
      <c r="BB89" s="301"/>
      <c r="BC89" s="301"/>
      <c r="BD89" s="301"/>
      <c r="BE89" s="301"/>
      <c r="BF89" s="302"/>
      <c r="BG89" s="303"/>
      <c r="BH89" s="304"/>
      <c r="BI89" s="304"/>
      <c r="BJ89" s="304"/>
      <c r="BK89" s="304"/>
      <c r="BL89" s="304"/>
      <c r="BM89" s="304"/>
      <c r="BN89" s="304"/>
      <c r="BO89" s="304"/>
      <c r="BP89" s="304"/>
      <c r="BQ89" s="304"/>
      <c r="BR89" s="304"/>
      <c r="BS89" s="304">
        <v>10</v>
      </c>
      <c r="BT89" s="304"/>
      <c r="BU89" s="304"/>
      <c r="BV89" s="304"/>
      <c r="BW89" s="304"/>
      <c r="BX89" s="304"/>
      <c r="BY89" s="305"/>
      <c r="BZ89" s="306"/>
      <c r="CA89" s="307"/>
      <c r="CB89" s="307"/>
      <c r="CC89" s="307"/>
      <c r="CD89" s="307"/>
      <c r="CE89" s="307"/>
      <c r="CF89" s="307"/>
      <c r="CG89" s="332"/>
      <c r="CH89" s="328"/>
      <c r="CI89" s="328"/>
      <c r="CJ89" s="328">
        <v>2</v>
      </c>
      <c r="CK89" s="328"/>
      <c r="CL89" s="328"/>
      <c r="CM89" s="328"/>
      <c r="CN89" s="370"/>
      <c r="CO89" s="367"/>
      <c r="CP89" s="367"/>
      <c r="CQ89" s="367">
        <v>10</v>
      </c>
      <c r="CR89" s="367"/>
      <c r="CS89" s="387"/>
      <c r="CT89" s="398"/>
      <c r="CU89" s="399"/>
      <c r="CV89" s="399"/>
      <c r="CW89" s="399"/>
      <c r="CX89" s="399">
        <v>1</v>
      </c>
      <c r="CY89" s="399"/>
      <c r="CZ89" s="399"/>
      <c r="DA89" s="400"/>
      <c r="DB89" s="522">
        <v>1</v>
      </c>
    </row>
    <row r="90" spans="1:106" x14ac:dyDescent="0.25">
      <c r="A90" s="468" t="s">
        <v>188</v>
      </c>
      <c r="B90" s="468">
        <v>801</v>
      </c>
      <c r="C90" s="468" t="s">
        <v>3599</v>
      </c>
      <c r="D90" s="468">
        <v>1722</v>
      </c>
      <c r="E90" s="468" t="s">
        <v>1459</v>
      </c>
      <c r="F90" s="468" t="s">
        <v>3600</v>
      </c>
      <c r="G90" s="468" t="s">
        <v>1461</v>
      </c>
      <c r="H90" s="468" t="s">
        <v>1462</v>
      </c>
      <c r="I90" s="468" t="s">
        <v>186</v>
      </c>
      <c r="J90" s="468" t="s">
        <v>3601</v>
      </c>
      <c r="K90" s="468" t="s">
        <v>1463</v>
      </c>
      <c r="L90" s="468" t="s">
        <v>3737</v>
      </c>
      <c r="M90" s="468" t="s">
        <v>3739</v>
      </c>
      <c r="N90" s="460">
        <v>0</v>
      </c>
      <c r="O90" s="294"/>
      <c r="P90" s="294"/>
      <c r="Q90" s="294"/>
      <c r="R90" s="294"/>
      <c r="S90" s="295"/>
      <c r="T90" s="299"/>
      <c r="U90" s="297"/>
      <c r="V90" s="297"/>
      <c r="W90" s="297">
        <v>2</v>
      </c>
      <c r="X90" s="297"/>
      <c r="Y90" s="297"/>
      <c r="Z90" s="297"/>
      <c r="AA90" s="297"/>
      <c r="AB90" s="293">
        <v>0</v>
      </c>
      <c r="AC90" s="294"/>
      <c r="AD90" s="295"/>
      <c r="AE90" s="298"/>
      <c r="AF90" s="296">
        <v>0</v>
      </c>
      <c r="AG90" s="297"/>
      <c r="AH90" s="297"/>
      <c r="AI90" s="297"/>
      <c r="AJ90" s="297"/>
      <c r="AK90" s="297"/>
      <c r="AL90" s="297"/>
      <c r="AM90" s="297"/>
      <c r="AN90" s="300"/>
      <c r="AO90" s="301"/>
      <c r="AP90" s="301"/>
      <c r="AQ90" s="301"/>
      <c r="AR90" s="301"/>
      <c r="AS90" s="301"/>
      <c r="AT90" s="301"/>
      <c r="AU90" s="301"/>
      <c r="AV90" s="301"/>
      <c r="AW90" s="301"/>
      <c r="AX90" s="301"/>
      <c r="AY90" s="301"/>
      <c r="AZ90" s="301">
        <v>1500</v>
      </c>
      <c r="BA90" s="301"/>
      <c r="BB90" s="301"/>
      <c r="BC90" s="301"/>
      <c r="BD90" s="301"/>
      <c r="BE90" s="301"/>
      <c r="BF90" s="302"/>
      <c r="BG90" s="303"/>
      <c r="BH90" s="304"/>
      <c r="BI90" s="304"/>
      <c r="BJ90" s="304"/>
      <c r="BK90" s="304"/>
      <c r="BL90" s="304"/>
      <c r="BM90" s="304"/>
      <c r="BN90" s="304"/>
      <c r="BO90" s="304"/>
      <c r="BP90" s="304"/>
      <c r="BQ90" s="304"/>
      <c r="BR90" s="304"/>
      <c r="BS90" s="304">
        <v>10</v>
      </c>
      <c r="BT90" s="304"/>
      <c r="BU90" s="304"/>
      <c r="BV90" s="304"/>
      <c r="BW90" s="304"/>
      <c r="BX90" s="304"/>
      <c r="BY90" s="305"/>
      <c r="BZ90" s="306"/>
      <c r="CA90" s="307"/>
      <c r="CB90" s="307"/>
      <c r="CC90" s="307"/>
      <c r="CD90" s="307"/>
      <c r="CE90" s="307"/>
      <c r="CF90" s="307"/>
      <c r="CG90" s="332"/>
      <c r="CH90" s="328"/>
      <c r="CI90" s="328"/>
      <c r="CJ90" s="328">
        <v>2</v>
      </c>
      <c r="CK90" s="328"/>
      <c r="CL90" s="328"/>
      <c r="CM90" s="328"/>
      <c r="CN90" s="370"/>
      <c r="CO90" s="367"/>
      <c r="CP90" s="367"/>
      <c r="CQ90" s="367">
        <v>10</v>
      </c>
      <c r="CR90" s="367"/>
      <c r="CS90" s="387"/>
      <c r="CT90" s="398"/>
      <c r="CU90" s="399"/>
      <c r="CV90" s="399"/>
      <c r="CW90" s="399"/>
      <c r="CX90" s="399">
        <v>1</v>
      </c>
      <c r="CY90" s="399"/>
      <c r="CZ90" s="399"/>
      <c r="DA90" s="400"/>
      <c r="DB90" s="522">
        <v>1</v>
      </c>
    </row>
    <row r="91" spans="1:106" x14ac:dyDescent="0.25">
      <c r="A91" s="468" t="s">
        <v>188</v>
      </c>
      <c r="B91" s="468">
        <v>801</v>
      </c>
      <c r="C91" s="468" t="s">
        <v>3603</v>
      </c>
      <c r="D91" s="468">
        <v>1724</v>
      </c>
      <c r="E91" s="468" t="s">
        <v>1464</v>
      </c>
      <c r="F91" s="468" t="s">
        <v>1465</v>
      </c>
      <c r="G91" s="468" t="s">
        <v>1466</v>
      </c>
      <c r="H91" s="468" t="s">
        <v>1467</v>
      </c>
      <c r="I91" s="468" t="s">
        <v>186</v>
      </c>
      <c r="J91" s="468" t="s">
        <v>3604</v>
      </c>
      <c r="K91" s="468" t="s">
        <v>1468</v>
      </c>
      <c r="L91" s="468" t="s">
        <v>3737</v>
      </c>
      <c r="M91" s="468" t="s">
        <v>3739</v>
      </c>
      <c r="N91" s="460">
        <v>0</v>
      </c>
      <c r="O91" s="294"/>
      <c r="P91" s="294"/>
      <c r="Q91" s="294"/>
      <c r="R91" s="294"/>
      <c r="S91" s="295"/>
      <c r="T91" s="299"/>
      <c r="U91" s="297"/>
      <c r="V91" s="297"/>
      <c r="W91" s="297">
        <v>2</v>
      </c>
      <c r="X91" s="297"/>
      <c r="Y91" s="297"/>
      <c r="Z91" s="297"/>
      <c r="AA91" s="297"/>
      <c r="AB91" s="293">
        <v>0</v>
      </c>
      <c r="AC91" s="294"/>
      <c r="AD91" s="295"/>
      <c r="AE91" s="298"/>
      <c r="AF91" s="296">
        <v>0</v>
      </c>
      <c r="AG91" s="297"/>
      <c r="AH91" s="297"/>
      <c r="AI91" s="297"/>
      <c r="AJ91" s="297"/>
      <c r="AK91" s="297"/>
      <c r="AL91" s="297"/>
      <c r="AM91" s="297"/>
      <c r="AN91" s="300"/>
      <c r="AO91" s="301"/>
      <c r="AP91" s="301"/>
      <c r="AQ91" s="301"/>
      <c r="AR91" s="301"/>
      <c r="AS91" s="301"/>
      <c r="AT91" s="301"/>
      <c r="AU91" s="301"/>
      <c r="AV91" s="301"/>
      <c r="AW91" s="301"/>
      <c r="AX91" s="301"/>
      <c r="AY91" s="301"/>
      <c r="AZ91" s="301">
        <v>1500</v>
      </c>
      <c r="BA91" s="301"/>
      <c r="BB91" s="301"/>
      <c r="BC91" s="301"/>
      <c r="BD91" s="301"/>
      <c r="BE91" s="301"/>
      <c r="BF91" s="302"/>
      <c r="BG91" s="303"/>
      <c r="BH91" s="304"/>
      <c r="BI91" s="304"/>
      <c r="BJ91" s="304"/>
      <c r="BK91" s="304"/>
      <c r="BL91" s="304"/>
      <c r="BM91" s="304"/>
      <c r="BN91" s="304"/>
      <c r="BO91" s="304"/>
      <c r="BP91" s="304"/>
      <c r="BQ91" s="304"/>
      <c r="BR91" s="304"/>
      <c r="BS91" s="304">
        <v>10</v>
      </c>
      <c r="BT91" s="304"/>
      <c r="BU91" s="304"/>
      <c r="BV91" s="304"/>
      <c r="BW91" s="304"/>
      <c r="BX91" s="304"/>
      <c r="BY91" s="305"/>
      <c r="BZ91" s="306"/>
      <c r="CA91" s="307"/>
      <c r="CB91" s="307"/>
      <c r="CC91" s="307"/>
      <c r="CD91" s="307"/>
      <c r="CE91" s="307"/>
      <c r="CF91" s="307"/>
      <c r="CG91" s="332"/>
      <c r="CH91" s="328"/>
      <c r="CI91" s="328"/>
      <c r="CJ91" s="328">
        <v>2</v>
      </c>
      <c r="CK91" s="328"/>
      <c r="CL91" s="328"/>
      <c r="CM91" s="328"/>
      <c r="CN91" s="370"/>
      <c r="CO91" s="367"/>
      <c r="CP91" s="367"/>
      <c r="CQ91" s="367">
        <v>10</v>
      </c>
      <c r="CR91" s="367"/>
      <c r="CS91" s="387"/>
      <c r="CT91" s="398"/>
      <c r="CU91" s="399"/>
      <c r="CV91" s="399"/>
      <c r="CW91" s="399"/>
      <c r="CX91" s="399">
        <v>1</v>
      </c>
      <c r="CY91" s="399"/>
      <c r="CZ91" s="399"/>
      <c r="DA91" s="400"/>
      <c r="DB91" s="522">
        <v>1</v>
      </c>
    </row>
    <row r="92" spans="1:106" x14ac:dyDescent="0.25">
      <c r="A92" s="468" t="s">
        <v>154</v>
      </c>
      <c r="B92" s="468">
        <v>800</v>
      </c>
      <c r="C92" s="468" t="s">
        <v>1529</v>
      </c>
      <c r="D92" s="468">
        <v>501</v>
      </c>
      <c r="E92" s="468" t="s">
        <v>1530</v>
      </c>
      <c r="F92" s="468" t="s">
        <v>1531</v>
      </c>
      <c r="G92" s="468" t="s">
        <v>1532</v>
      </c>
      <c r="H92" s="468" t="s">
        <v>158</v>
      </c>
      <c r="I92" s="468" t="s">
        <v>159</v>
      </c>
      <c r="J92" s="468" t="s">
        <v>3209</v>
      </c>
      <c r="K92" s="468" t="s">
        <v>351</v>
      </c>
      <c r="L92" s="468" t="s">
        <v>3737</v>
      </c>
      <c r="M92" s="468" t="s">
        <v>3963</v>
      </c>
      <c r="N92" s="460">
        <v>0</v>
      </c>
      <c r="O92" s="294"/>
      <c r="P92" s="294"/>
      <c r="Q92" s="294"/>
      <c r="R92" s="294"/>
      <c r="S92" s="295"/>
      <c r="T92" s="299"/>
      <c r="U92" s="297"/>
      <c r="V92" s="297"/>
      <c r="W92" s="297">
        <v>2</v>
      </c>
      <c r="X92" s="297"/>
      <c r="Y92" s="297"/>
      <c r="Z92" s="297"/>
      <c r="AA92" s="297"/>
      <c r="AB92" s="293">
        <v>0</v>
      </c>
      <c r="AC92" s="294"/>
      <c r="AD92" s="295"/>
      <c r="AE92" s="298"/>
      <c r="AF92" s="296">
        <v>0</v>
      </c>
      <c r="AG92" s="297"/>
      <c r="AH92" s="297"/>
      <c r="AI92" s="297"/>
      <c r="AJ92" s="297"/>
      <c r="AK92" s="297"/>
      <c r="AL92" s="297"/>
      <c r="AM92" s="297"/>
      <c r="AN92" s="300"/>
      <c r="AO92" s="301"/>
      <c r="AP92" s="301"/>
      <c r="AQ92" s="301"/>
      <c r="AR92" s="301"/>
      <c r="AS92" s="301"/>
      <c r="AT92" s="301"/>
      <c r="AU92" s="301"/>
      <c r="AV92" s="301"/>
      <c r="AW92" s="301"/>
      <c r="AX92" s="301"/>
      <c r="AY92" s="301"/>
      <c r="AZ92" s="301"/>
      <c r="BA92" s="301"/>
      <c r="BB92" s="301">
        <v>1500</v>
      </c>
      <c r="BC92" s="301"/>
      <c r="BD92" s="301"/>
      <c r="BE92" s="301"/>
      <c r="BF92" s="302"/>
      <c r="BG92" s="303"/>
      <c r="BH92" s="304"/>
      <c r="BI92" s="304"/>
      <c r="BJ92" s="304"/>
      <c r="BK92" s="304"/>
      <c r="BL92" s="304"/>
      <c r="BM92" s="304"/>
      <c r="BN92" s="304"/>
      <c r="BO92" s="304"/>
      <c r="BP92" s="304"/>
      <c r="BQ92" s="304"/>
      <c r="BR92" s="304"/>
      <c r="BS92" s="304"/>
      <c r="BT92" s="304"/>
      <c r="BU92" s="304">
        <v>10</v>
      </c>
      <c r="BV92" s="304"/>
      <c r="BW92" s="304"/>
      <c r="BX92" s="304"/>
      <c r="BY92" s="305"/>
      <c r="BZ92" s="306"/>
      <c r="CA92" s="307"/>
      <c r="CB92" s="307"/>
      <c r="CC92" s="307"/>
      <c r="CD92" s="307"/>
      <c r="CE92" s="307"/>
      <c r="CF92" s="307"/>
      <c r="CG92" s="332"/>
      <c r="CH92" s="328"/>
      <c r="CI92" s="328"/>
      <c r="CJ92" s="328">
        <v>2</v>
      </c>
      <c r="CK92" s="328"/>
      <c r="CL92" s="328"/>
      <c r="CM92" s="328"/>
      <c r="CN92" s="370"/>
      <c r="CO92" s="367"/>
      <c r="CP92" s="367"/>
      <c r="CQ92" s="367">
        <v>10</v>
      </c>
      <c r="CR92" s="367"/>
      <c r="CS92" s="387"/>
      <c r="CT92" s="398"/>
      <c r="CU92" s="399"/>
      <c r="CV92" s="399"/>
      <c r="CW92" s="399"/>
      <c r="CX92" s="399">
        <v>1</v>
      </c>
      <c r="CY92" s="399"/>
      <c r="CZ92" s="399"/>
      <c r="DA92" s="400"/>
      <c r="DB92" s="522">
        <v>1</v>
      </c>
    </row>
    <row r="93" spans="1:106" x14ac:dyDescent="0.25">
      <c r="A93" s="468" t="s">
        <v>154</v>
      </c>
      <c r="B93" s="468">
        <v>800</v>
      </c>
      <c r="C93" s="468" t="s">
        <v>1539</v>
      </c>
      <c r="D93" s="468">
        <v>506</v>
      </c>
      <c r="E93" s="468" t="s">
        <v>1540</v>
      </c>
      <c r="F93" s="468" t="s">
        <v>1526</v>
      </c>
      <c r="G93" s="468" t="s">
        <v>1541</v>
      </c>
      <c r="H93" s="468" t="s">
        <v>1523</v>
      </c>
      <c r="I93" s="468" t="s">
        <v>159</v>
      </c>
      <c r="J93" s="468" t="s">
        <v>3212</v>
      </c>
      <c r="K93" s="468" t="s">
        <v>1542</v>
      </c>
      <c r="L93" s="468" t="s">
        <v>3737</v>
      </c>
      <c r="M93" s="468" t="s">
        <v>3963</v>
      </c>
      <c r="N93" s="460">
        <v>0</v>
      </c>
      <c r="O93" s="294"/>
      <c r="P93" s="294"/>
      <c r="Q93" s="294"/>
      <c r="R93" s="294"/>
      <c r="S93" s="295"/>
      <c r="T93" s="299"/>
      <c r="U93" s="297"/>
      <c r="V93" s="297"/>
      <c r="W93" s="297">
        <v>1</v>
      </c>
      <c r="X93" s="297"/>
      <c r="Y93" s="297"/>
      <c r="Z93" s="297"/>
      <c r="AA93" s="297"/>
      <c r="AB93" s="293">
        <v>0</v>
      </c>
      <c r="AC93" s="294"/>
      <c r="AD93" s="295"/>
      <c r="AE93" s="298"/>
      <c r="AF93" s="296">
        <v>0</v>
      </c>
      <c r="AG93" s="297"/>
      <c r="AH93" s="297"/>
      <c r="AI93" s="297"/>
      <c r="AJ93" s="297"/>
      <c r="AK93" s="297"/>
      <c r="AL93" s="297"/>
      <c r="AM93" s="297"/>
      <c r="AN93" s="300"/>
      <c r="AO93" s="301"/>
      <c r="AP93" s="301"/>
      <c r="AQ93" s="301"/>
      <c r="AR93" s="301"/>
      <c r="AS93" s="301"/>
      <c r="AT93" s="301"/>
      <c r="AU93" s="301"/>
      <c r="AV93" s="301"/>
      <c r="AW93" s="301"/>
      <c r="AX93" s="301"/>
      <c r="AY93" s="301"/>
      <c r="AZ93" s="301"/>
      <c r="BA93" s="301"/>
      <c r="BB93" s="301">
        <v>1500</v>
      </c>
      <c r="BC93" s="301"/>
      <c r="BD93" s="301"/>
      <c r="BE93" s="301"/>
      <c r="BF93" s="302"/>
      <c r="BG93" s="303"/>
      <c r="BH93" s="304"/>
      <c r="BI93" s="304"/>
      <c r="BJ93" s="304"/>
      <c r="BK93" s="304"/>
      <c r="BL93" s="304"/>
      <c r="BM93" s="304"/>
      <c r="BN93" s="304"/>
      <c r="BO93" s="304"/>
      <c r="BP93" s="304"/>
      <c r="BQ93" s="304"/>
      <c r="BR93" s="304"/>
      <c r="BS93" s="304"/>
      <c r="BT93" s="304"/>
      <c r="BU93" s="304">
        <v>10</v>
      </c>
      <c r="BV93" s="304"/>
      <c r="BW93" s="304"/>
      <c r="BX93" s="304"/>
      <c r="BY93" s="305"/>
      <c r="BZ93" s="306"/>
      <c r="CA93" s="307"/>
      <c r="CB93" s="307"/>
      <c r="CC93" s="307"/>
      <c r="CD93" s="307"/>
      <c r="CE93" s="307"/>
      <c r="CF93" s="307"/>
      <c r="CG93" s="332"/>
      <c r="CH93" s="328"/>
      <c r="CI93" s="328"/>
      <c r="CJ93" s="328">
        <v>2</v>
      </c>
      <c r="CK93" s="328"/>
      <c r="CL93" s="328"/>
      <c r="CM93" s="328"/>
      <c r="CN93" s="370"/>
      <c r="CO93" s="367"/>
      <c r="CP93" s="367"/>
      <c r="CQ93" s="367">
        <v>10</v>
      </c>
      <c r="CR93" s="367"/>
      <c r="CS93" s="387"/>
      <c r="CT93" s="398"/>
      <c r="CU93" s="399"/>
      <c r="CV93" s="399"/>
      <c r="CW93" s="399"/>
      <c r="CX93" s="399">
        <v>1</v>
      </c>
      <c r="CY93" s="399"/>
      <c r="CZ93" s="399"/>
      <c r="DA93" s="400"/>
      <c r="DB93" s="522">
        <v>1</v>
      </c>
    </row>
    <row r="94" spans="1:106" x14ac:dyDescent="0.25">
      <c r="A94" s="468" t="s">
        <v>154</v>
      </c>
      <c r="B94" s="468">
        <v>800</v>
      </c>
      <c r="C94" s="468" t="s">
        <v>3541</v>
      </c>
      <c r="D94" s="468">
        <v>1509</v>
      </c>
      <c r="E94" s="468" t="s">
        <v>1520</v>
      </c>
      <c r="F94" s="468" t="s">
        <v>1521</v>
      </c>
      <c r="G94" s="468" t="s">
        <v>1522</v>
      </c>
      <c r="H94" s="468" t="s">
        <v>1523</v>
      </c>
      <c r="I94" s="468" t="s">
        <v>159</v>
      </c>
      <c r="J94" s="468" t="s">
        <v>3542</v>
      </c>
      <c r="K94" s="468" t="s">
        <v>1524</v>
      </c>
      <c r="L94" s="468" t="s">
        <v>3737</v>
      </c>
      <c r="M94" s="468" t="s">
        <v>3963</v>
      </c>
      <c r="N94" s="460">
        <v>0</v>
      </c>
      <c r="O94" s="294"/>
      <c r="P94" s="294"/>
      <c r="Q94" s="294"/>
      <c r="R94" s="294"/>
      <c r="S94" s="295"/>
      <c r="T94" s="299"/>
      <c r="U94" s="297"/>
      <c r="V94" s="297"/>
      <c r="W94" s="297">
        <v>2</v>
      </c>
      <c r="X94" s="297"/>
      <c r="Y94" s="297"/>
      <c r="Z94" s="297"/>
      <c r="AA94" s="297"/>
      <c r="AB94" s="293">
        <v>0</v>
      </c>
      <c r="AC94" s="294"/>
      <c r="AD94" s="295"/>
      <c r="AE94" s="298"/>
      <c r="AF94" s="296">
        <v>0</v>
      </c>
      <c r="AG94" s="297"/>
      <c r="AH94" s="297"/>
      <c r="AI94" s="297"/>
      <c r="AJ94" s="297"/>
      <c r="AK94" s="297"/>
      <c r="AL94" s="297"/>
      <c r="AM94" s="297"/>
      <c r="AN94" s="300"/>
      <c r="AO94" s="301"/>
      <c r="AP94" s="301"/>
      <c r="AQ94" s="301"/>
      <c r="AR94" s="301"/>
      <c r="AS94" s="301"/>
      <c r="AT94" s="301"/>
      <c r="AU94" s="301"/>
      <c r="AV94" s="301"/>
      <c r="AW94" s="301"/>
      <c r="AX94" s="301"/>
      <c r="AY94" s="301"/>
      <c r="AZ94" s="301"/>
      <c r="BA94" s="301"/>
      <c r="BB94" s="301">
        <v>1500</v>
      </c>
      <c r="BC94" s="301"/>
      <c r="BD94" s="301"/>
      <c r="BE94" s="301"/>
      <c r="BF94" s="302"/>
      <c r="BG94" s="303"/>
      <c r="BH94" s="304"/>
      <c r="BI94" s="304"/>
      <c r="BJ94" s="304"/>
      <c r="BK94" s="304"/>
      <c r="BL94" s="304"/>
      <c r="BM94" s="304"/>
      <c r="BN94" s="304"/>
      <c r="BO94" s="304"/>
      <c r="BP94" s="304"/>
      <c r="BQ94" s="304"/>
      <c r="BR94" s="304"/>
      <c r="BS94" s="304"/>
      <c r="BT94" s="304"/>
      <c r="BU94" s="304">
        <v>10</v>
      </c>
      <c r="BV94" s="304"/>
      <c r="BW94" s="304"/>
      <c r="BX94" s="304"/>
      <c r="BY94" s="305"/>
      <c r="BZ94" s="306"/>
      <c r="CA94" s="307"/>
      <c r="CB94" s="307"/>
      <c r="CC94" s="307"/>
      <c r="CD94" s="307"/>
      <c r="CE94" s="307"/>
      <c r="CF94" s="307"/>
      <c r="CG94" s="332"/>
      <c r="CH94" s="328"/>
      <c r="CI94" s="328"/>
      <c r="CJ94" s="328">
        <v>2</v>
      </c>
      <c r="CK94" s="328"/>
      <c r="CL94" s="328"/>
      <c r="CM94" s="328"/>
      <c r="CN94" s="370"/>
      <c r="CO94" s="367"/>
      <c r="CP94" s="367"/>
      <c r="CQ94" s="367">
        <v>10</v>
      </c>
      <c r="CR94" s="367"/>
      <c r="CS94" s="387"/>
      <c r="CT94" s="398"/>
      <c r="CU94" s="399"/>
      <c r="CV94" s="399"/>
      <c r="CW94" s="399"/>
      <c r="CX94" s="399">
        <v>1</v>
      </c>
      <c r="CY94" s="399"/>
      <c r="CZ94" s="399"/>
      <c r="DA94" s="400"/>
      <c r="DB94" s="522">
        <v>1</v>
      </c>
    </row>
    <row r="95" spans="1:106" x14ac:dyDescent="0.25">
      <c r="A95" s="468" t="s">
        <v>154</v>
      </c>
      <c r="B95" s="468">
        <v>800</v>
      </c>
      <c r="C95" s="468" t="s">
        <v>3543</v>
      </c>
      <c r="D95" s="468">
        <v>1510</v>
      </c>
      <c r="E95" s="468" t="s">
        <v>1525</v>
      </c>
      <c r="F95" s="468" t="s">
        <v>1545</v>
      </c>
      <c r="G95" s="468" t="s">
        <v>1527</v>
      </c>
      <c r="H95" s="468" t="s">
        <v>1523</v>
      </c>
      <c r="I95" s="468" t="s">
        <v>159</v>
      </c>
      <c r="J95" s="468" t="s">
        <v>3212</v>
      </c>
      <c r="K95" s="468" t="s">
        <v>1528</v>
      </c>
      <c r="L95" s="468" t="s">
        <v>3737</v>
      </c>
      <c r="M95" s="468" t="s">
        <v>3963</v>
      </c>
      <c r="N95" s="461"/>
      <c r="O95" s="294"/>
      <c r="P95" s="294"/>
      <c r="Q95" s="294"/>
      <c r="R95" s="294">
        <v>1</v>
      </c>
      <c r="S95" s="295"/>
      <c r="T95" s="296">
        <v>0</v>
      </c>
      <c r="U95" s="297"/>
      <c r="V95" s="297"/>
      <c r="W95" s="297"/>
      <c r="X95" s="297"/>
      <c r="Y95" s="297"/>
      <c r="Z95" s="297"/>
      <c r="AA95" s="297"/>
      <c r="AB95" s="293">
        <v>0</v>
      </c>
      <c r="AC95" s="294"/>
      <c r="AD95" s="295"/>
      <c r="AE95" s="298"/>
      <c r="AF95" s="296">
        <v>0</v>
      </c>
      <c r="AG95" s="297"/>
      <c r="AH95" s="297"/>
      <c r="AI95" s="297"/>
      <c r="AJ95" s="297"/>
      <c r="AK95" s="297"/>
      <c r="AL95" s="297"/>
      <c r="AM95" s="297"/>
      <c r="AN95" s="300"/>
      <c r="AO95" s="301"/>
      <c r="AP95" s="301"/>
      <c r="AQ95" s="301"/>
      <c r="AR95" s="301"/>
      <c r="AS95" s="301"/>
      <c r="AT95" s="301"/>
      <c r="AU95" s="301"/>
      <c r="AV95" s="301"/>
      <c r="AW95" s="301"/>
      <c r="AX95" s="301"/>
      <c r="AY95" s="301"/>
      <c r="AZ95" s="301"/>
      <c r="BA95" s="301"/>
      <c r="BB95" s="301">
        <v>1500</v>
      </c>
      <c r="BC95" s="301"/>
      <c r="BD95" s="301"/>
      <c r="BE95" s="301"/>
      <c r="BF95" s="302"/>
      <c r="BG95" s="303"/>
      <c r="BH95" s="304"/>
      <c r="BI95" s="304"/>
      <c r="BJ95" s="304"/>
      <c r="BK95" s="304"/>
      <c r="BL95" s="304"/>
      <c r="BM95" s="304"/>
      <c r="BN95" s="304"/>
      <c r="BO95" s="304"/>
      <c r="BP95" s="304"/>
      <c r="BQ95" s="304"/>
      <c r="BR95" s="304"/>
      <c r="BS95" s="304"/>
      <c r="BT95" s="304"/>
      <c r="BU95" s="304">
        <v>10</v>
      </c>
      <c r="BV95" s="304"/>
      <c r="BW95" s="304"/>
      <c r="BX95" s="304"/>
      <c r="BY95" s="305"/>
      <c r="BZ95" s="306"/>
      <c r="CA95" s="307"/>
      <c r="CB95" s="307"/>
      <c r="CC95" s="307"/>
      <c r="CD95" s="307"/>
      <c r="CE95" s="307"/>
      <c r="CF95" s="307"/>
      <c r="CG95" s="332"/>
      <c r="CH95" s="328"/>
      <c r="CI95" s="328"/>
      <c r="CJ95" s="328">
        <v>2</v>
      </c>
      <c r="CK95" s="328"/>
      <c r="CL95" s="328"/>
      <c r="CM95" s="328"/>
      <c r="CN95" s="370"/>
      <c r="CO95" s="367"/>
      <c r="CP95" s="367"/>
      <c r="CQ95" s="367">
        <v>10</v>
      </c>
      <c r="CR95" s="367"/>
      <c r="CS95" s="387"/>
      <c r="CT95" s="398"/>
      <c r="CU95" s="399"/>
      <c r="CV95" s="399"/>
      <c r="CW95" s="399"/>
      <c r="CX95" s="399">
        <v>1</v>
      </c>
      <c r="CY95" s="399"/>
      <c r="CZ95" s="399"/>
      <c r="DA95" s="400"/>
      <c r="DB95" s="522">
        <v>1</v>
      </c>
    </row>
    <row r="96" spans="1:106" x14ac:dyDescent="0.25">
      <c r="A96" s="468" t="s">
        <v>361</v>
      </c>
      <c r="B96" s="468">
        <v>801</v>
      </c>
      <c r="C96" s="468" t="s">
        <v>1559</v>
      </c>
      <c r="D96" s="468">
        <v>652</v>
      </c>
      <c r="E96" s="468" t="s">
        <v>1560</v>
      </c>
      <c r="F96" s="468" t="s">
        <v>1561</v>
      </c>
      <c r="G96" s="468" t="s">
        <v>1562</v>
      </c>
      <c r="H96" s="468" t="s">
        <v>1563</v>
      </c>
      <c r="I96" s="468" t="s">
        <v>366</v>
      </c>
      <c r="J96" s="468" t="s">
        <v>3246</v>
      </c>
      <c r="K96" s="468" t="s">
        <v>1564</v>
      </c>
      <c r="L96" s="468" t="s">
        <v>3775</v>
      </c>
      <c r="M96" s="468" t="s">
        <v>3828</v>
      </c>
      <c r="N96" s="460">
        <v>0</v>
      </c>
      <c r="O96" s="294"/>
      <c r="P96" s="294"/>
      <c r="Q96" s="294"/>
      <c r="R96" s="294"/>
      <c r="S96" s="295"/>
      <c r="T96" s="299"/>
      <c r="U96" s="297"/>
      <c r="V96" s="297"/>
      <c r="W96" s="297"/>
      <c r="X96" s="297"/>
      <c r="Y96" s="297">
        <v>2</v>
      </c>
      <c r="Z96" s="297"/>
      <c r="AA96" s="297"/>
      <c r="AB96" s="293">
        <v>0</v>
      </c>
      <c r="AC96" s="294"/>
      <c r="AD96" s="295"/>
      <c r="AE96" s="298"/>
      <c r="AF96" s="296">
        <v>0</v>
      </c>
      <c r="AG96" s="297"/>
      <c r="AH96" s="297"/>
      <c r="AI96" s="297"/>
      <c r="AJ96" s="297"/>
      <c r="AK96" s="297"/>
      <c r="AL96" s="297"/>
      <c r="AM96" s="297"/>
      <c r="AN96" s="300"/>
      <c r="AO96" s="301"/>
      <c r="AP96" s="301"/>
      <c r="AQ96" s="301"/>
      <c r="AR96" s="301"/>
      <c r="AS96" s="301"/>
      <c r="AT96" s="301"/>
      <c r="AU96" s="301"/>
      <c r="AV96" s="301"/>
      <c r="AW96" s="301"/>
      <c r="AX96" s="301"/>
      <c r="AY96" s="301"/>
      <c r="AZ96" s="301"/>
      <c r="BA96" s="301"/>
      <c r="BB96" s="301"/>
      <c r="BC96" s="301"/>
      <c r="BD96" s="301"/>
      <c r="BE96" s="301"/>
      <c r="BF96" s="302">
        <v>1500</v>
      </c>
      <c r="BG96" s="303"/>
      <c r="BH96" s="304"/>
      <c r="BI96" s="304"/>
      <c r="BJ96" s="304"/>
      <c r="BK96" s="304"/>
      <c r="BL96" s="304"/>
      <c r="BM96" s="304"/>
      <c r="BN96" s="304"/>
      <c r="BO96" s="304"/>
      <c r="BP96" s="304"/>
      <c r="BQ96" s="304"/>
      <c r="BR96" s="304"/>
      <c r="BS96" s="304"/>
      <c r="BT96" s="304"/>
      <c r="BU96" s="304"/>
      <c r="BV96" s="304"/>
      <c r="BW96" s="304"/>
      <c r="BX96" s="304"/>
      <c r="BY96" s="305">
        <v>10</v>
      </c>
      <c r="BZ96" s="306"/>
      <c r="CA96" s="307"/>
      <c r="CB96" s="307"/>
      <c r="CC96" s="307"/>
      <c r="CD96" s="307"/>
      <c r="CE96" s="307"/>
      <c r="CF96" s="307"/>
      <c r="CG96" s="332"/>
      <c r="CH96" s="328"/>
      <c r="CI96" s="328"/>
      <c r="CJ96" s="328"/>
      <c r="CK96" s="328">
        <v>2</v>
      </c>
      <c r="CL96" s="328"/>
      <c r="CM96" s="328"/>
      <c r="CN96" s="370"/>
      <c r="CO96" s="367"/>
      <c r="CP96" s="367"/>
      <c r="CQ96" s="367"/>
      <c r="CR96" s="378">
        <v>10</v>
      </c>
      <c r="CS96" s="387"/>
      <c r="CT96" s="398"/>
      <c r="CU96" s="399"/>
      <c r="CV96" s="399"/>
      <c r="CW96" s="399"/>
      <c r="CX96" s="399">
        <v>1</v>
      </c>
      <c r="CY96" s="399"/>
      <c r="CZ96" s="399"/>
      <c r="DA96" s="400"/>
      <c r="DB96" s="522">
        <v>1</v>
      </c>
    </row>
    <row r="97" spans="1:106" x14ac:dyDescent="0.25">
      <c r="A97" s="468" t="s">
        <v>1565</v>
      </c>
      <c r="B97" s="468">
        <v>801</v>
      </c>
      <c r="C97" s="468" t="s">
        <v>3526</v>
      </c>
      <c r="D97" s="468">
        <v>1474</v>
      </c>
      <c r="E97" s="468" t="s">
        <v>1570</v>
      </c>
      <c r="F97" s="468" t="s">
        <v>1571</v>
      </c>
      <c r="G97" s="468" t="s">
        <v>1572</v>
      </c>
      <c r="H97" s="468" t="s">
        <v>1302</v>
      </c>
      <c r="I97" s="468" t="s">
        <v>138</v>
      </c>
      <c r="J97" s="468" t="s">
        <v>3527</v>
      </c>
      <c r="K97" s="468" t="s">
        <v>1573</v>
      </c>
      <c r="L97" s="468" t="s">
        <v>3766</v>
      </c>
      <c r="M97" s="468" t="s">
        <v>4018</v>
      </c>
      <c r="N97" s="460">
        <v>2</v>
      </c>
      <c r="O97" s="294"/>
      <c r="P97" s="294"/>
      <c r="Q97" s="294"/>
      <c r="R97" s="294"/>
      <c r="S97" s="295"/>
      <c r="T97" s="296">
        <v>0</v>
      </c>
      <c r="U97" s="297"/>
      <c r="V97" s="297"/>
      <c r="W97" s="297"/>
      <c r="X97" s="297"/>
      <c r="Y97" s="297"/>
      <c r="Z97" s="297"/>
      <c r="AA97" s="297"/>
      <c r="AB97" s="293">
        <v>0</v>
      </c>
      <c r="AC97" s="294"/>
      <c r="AD97" s="295"/>
      <c r="AE97" s="298"/>
      <c r="AF97" s="296">
        <v>0</v>
      </c>
      <c r="AG97" s="297"/>
      <c r="AH97" s="297"/>
      <c r="AI97" s="297"/>
      <c r="AJ97" s="297"/>
      <c r="AK97" s="297"/>
      <c r="AL97" s="297"/>
      <c r="AM97" s="297"/>
      <c r="AN97" s="300"/>
      <c r="AO97" s="301">
        <v>1500</v>
      </c>
      <c r="AP97" s="301"/>
      <c r="AQ97" s="301"/>
      <c r="AR97" s="301"/>
      <c r="AS97" s="301"/>
      <c r="AT97" s="301"/>
      <c r="AU97" s="301"/>
      <c r="AV97" s="301"/>
      <c r="AW97" s="301"/>
      <c r="AX97" s="301"/>
      <c r="AY97" s="301"/>
      <c r="AZ97" s="301"/>
      <c r="BA97" s="301"/>
      <c r="BB97" s="301"/>
      <c r="BC97" s="301"/>
      <c r="BD97" s="301"/>
      <c r="BE97" s="301"/>
      <c r="BF97" s="302"/>
      <c r="BG97" s="303"/>
      <c r="BH97" s="304">
        <v>10</v>
      </c>
      <c r="BI97" s="304"/>
      <c r="BJ97" s="304"/>
      <c r="BK97" s="304"/>
      <c r="BL97" s="304"/>
      <c r="BM97" s="304"/>
      <c r="BN97" s="304"/>
      <c r="BO97" s="304"/>
      <c r="BP97" s="304"/>
      <c r="BQ97" s="304"/>
      <c r="BR97" s="304"/>
      <c r="BS97" s="304"/>
      <c r="BT97" s="304"/>
      <c r="BU97" s="304"/>
      <c r="BV97" s="304"/>
      <c r="BW97" s="304"/>
      <c r="BX97" s="304"/>
      <c r="BY97" s="305"/>
      <c r="BZ97" s="306"/>
      <c r="CA97" s="307"/>
      <c r="CB97" s="307"/>
      <c r="CC97" s="307"/>
      <c r="CD97" s="307"/>
      <c r="CE97" s="307"/>
      <c r="CF97" s="307"/>
      <c r="CG97" s="332"/>
      <c r="CH97" s="328"/>
      <c r="CI97" s="328"/>
      <c r="CJ97" s="328"/>
      <c r="CK97" s="328"/>
      <c r="CL97" s="328"/>
      <c r="CM97" s="328">
        <v>2</v>
      </c>
      <c r="CN97" s="370"/>
      <c r="CO97" s="367"/>
      <c r="CP97" s="367"/>
      <c r="CQ97" s="367"/>
      <c r="CR97" s="367"/>
      <c r="CS97" s="387">
        <v>10</v>
      </c>
      <c r="CT97" s="398"/>
      <c r="CU97" s="399"/>
      <c r="CV97" s="399"/>
      <c r="CW97" s="399"/>
      <c r="CX97" s="399"/>
      <c r="CY97" s="399"/>
      <c r="CZ97" s="399"/>
      <c r="DA97" s="400">
        <v>1</v>
      </c>
      <c r="DB97" s="522">
        <v>1</v>
      </c>
    </row>
    <row r="98" spans="1:106" x14ac:dyDescent="0.25">
      <c r="A98" s="468" t="s">
        <v>1565</v>
      </c>
      <c r="B98" s="468">
        <v>810</v>
      </c>
      <c r="C98" s="468" t="s">
        <v>3539</v>
      </c>
      <c r="D98" s="468">
        <v>1495</v>
      </c>
      <c r="E98" s="468" t="s">
        <v>1574</v>
      </c>
      <c r="F98" s="468" t="s">
        <v>1575</v>
      </c>
      <c r="G98" s="468" t="s">
        <v>1576</v>
      </c>
      <c r="H98" s="468" t="s">
        <v>1577</v>
      </c>
      <c r="I98" s="468" t="s">
        <v>138</v>
      </c>
      <c r="J98" s="468" t="s">
        <v>3540</v>
      </c>
      <c r="K98" s="468" t="s">
        <v>1578</v>
      </c>
      <c r="L98" s="468" t="s">
        <v>3766</v>
      </c>
      <c r="M98" s="468" t="s">
        <v>4011</v>
      </c>
      <c r="N98" s="460">
        <v>1</v>
      </c>
      <c r="O98" s="294"/>
      <c r="P98" s="294"/>
      <c r="Q98" s="294"/>
      <c r="R98" s="294"/>
      <c r="S98" s="295"/>
      <c r="T98" s="296"/>
      <c r="U98" s="297"/>
      <c r="V98" s="297"/>
      <c r="W98" s="297"/>
      <c r="X98" s="297"/>
      <c r="Y98" s="297"/>
      <c r="Z98" s="297"/>
      <c r="AA98" s="297"/>
      <c r="AB98" s="293"/>
      <c r="AC98" s="294"/>
      <c r="AD98" s="295"/>
      <c r="AE98" s="298"/>
      <c r="AF98" s="296"/>
      <c r="AG98" s="297"/>
      <c r="AH98" s="297"/>
      <c r="AI98" s="297"/>
      <c r="AJ98" s="297"/>
      <c r="AK98" s="297"/>
      <c r="AL98" s="297"/>
      <c r="AM98" s="297"/>
      <c r="AN98" s="300">
        <v>1500</v>
      </c>
      <c r="AO98" s="301"/>
      <c r="AP98" s="301"/>
      <c r="AQ98" s="301"/>
      <c r="AR98" s="301"/>
      <c r="AS98" s="301"/>
      <c r="AT98" s="301"/>
      <c r="AU98" s="301"/>
      <c r="AV98" s="301"/>
      <c r="AW98" s="301"/>
      <c r="AX98" s="301"/>
      <c r="AY98" s="301"/>
      <c r="AZ98" s="301"/>
      <c r="BA98" s="301"/>
      <c r="BB98" s="301"/>
      <c r="BC98" s="301"/>
      <c r="BD98" s="301"/>
      <c r="BE98" s="301"/>
      <c r="BF98" s="302"/>
      <c r="BG98" s="303">
        <v>10</v>
      </c>
      <c r="BH98" s="304"/>
      <c r="BI98" s="304"/>
      <c r="BJ98" s="304"/>
      <c r="BK98" s="304"/>
      <c r="BL98" s="304"/>
      <c r="BM98" s="304"/>
      <c r="BN98" s="304"/>
      <c r="BO98" s="304"/>
      <c r="BP98" s="304"/>
      <c r="BQ98" s="304"/>
      <c r="BR98" s="304"/>
      <c r="BS98" s="304"/>
      <c r="BT98" s="304"/>
      <c r="BU98" s="304"/>
      <c r="BV98" s="304"/>
      <c r="BW98" s="304"/>
      <c r="BX98" s="304"/>
      <c r="BY98" s="305"/>
      <c r="BZ98" s="306"/>
      <c r="CA98" s="307"/>
      <c r="CB98" s="307"/>
      <c r="CC98" s="307"/>
      <c r="CD98" s="307"/>
      <c r="CE98" s="307"/>
      <c r="CF98" s="307"/>
      <c r="CG98" s="332"/>
      <c r="CH98" s="328"/>
      <c r="CI98" s="328"/>
      <c r="CJ98" s="328"/>
      <c r="CK98" s="328"/>
      <c r="CL98" s="328"/>
      <c r="CM98" s="328">
        <v>2</v>
      </c>
      <c r="CN98" s="370"/>
      <c r="CO98" s="367"/>
      <c r="CP98" s="367"/>
      <c r="CQ98" s="367"/>
      <c r="CR98" s="367"/>
      <c r="CS98" s="387">
        <v>10</v>
      </c>
      <c r="CT98" s="398"/>
      <c r="CU98" s="399"/>
      <c r="CV98" s="399"/>
      <c r="CW98" s="399"/>
      <c r="CX98" s="399"/>
      <c r="CY98" s="399"/>
      <c r="CZ98" s="399"/>
      <c r="DA98" s="400">
        <v>1</v>
      </c>
      <c r="DB98" s="522">
        <v>1</v>
      </c>
    </row>
    <row r="99" spans="1:106" x14ac:dyDescent="0.25">
      <c r="A99" s="468" t="s">
        <v>1565</v>
      </c>
      <c r="B99" s="468">
        <v>810</v>
      </c>
      <c r="C99" s="468" t="s">
        <v>3686</v>
      </c>
      <c r="D99" s="468">
        <v>2537</v>
      </c>
      <c r="E99" s="468" t="s">
        <v>1579</v>
      </c>
      <c r="F99" s="468" t="s">
        <v>2981</v>
      </c>
      <c r="G99" s="468" t="s">
        <v>1580</v>
      </c>
      <c r="H99" s="468" t="s">
        <v>1581</v>
      </c>
      <c r="I99" s="468" t="s">
        <v>138</v>
      </c>
      <c r="J99" s="468" t="s">
        <v>3687</v>
      </c>
      <c r="K99" s="468" t="s">
        <v>1582</v>
      </c>
      <c r="L99" s="468" t="s">
        <v>3766</v>
      </c>
      <c r="M99" s="468" t="s">
        <v>4018</v>
      </c>
      <c r="N99" s="460">
        <v>1</v>
      </c>
      <c r="O99" s="294"/>
      <c r="P99" s="294"/>
      <c r="Q99" s="294"/>
      <c r="R99" s="294"/>
      <c r="S99" s="295"/>
      <c r="T99" s="296">
        <v>0</v>
      </c>
      <c r="U99" s="297"/>
      <c r="V99" s="297"/>
      <c r="W99" s="297"/>
      <c r="X99" s="297"/>
      <c r="Y99" s="297"/>
      <c r="Z99" s="297"/>
      <c r="AA99" s="297"/>
      <c r="AB99" s="293">
        <v>0</v>
      </c>
      <c r="AC99" s="294"/>
      <c r="AD99" s="295"/>
      <c r="AE99" s="298"/>
      <c r="AF99" s="296">
        <v>0</v>
      </c>
      <c r="AG99" s="297"/>
      <c r="AH99" s="297"/>
      <c r="AI99" s="297"/>
      <c r="AJ99" s="297"/>
      <c r="AK99" s="297"/>
      <c r="AL99" s="297"/>
      <c r="AM99" s="297"/>
      <c r="AN99" s="300"/>
      <c r="AO99" s="301">
        <v>1500</v>
      </c>
      <c r="AP99" s="301"/>
      <c r="AQ99" s="301"/>
      <c r="AR99" s="301"/>
      <c r="AS99" s="301"/>
      <c r="AT99" s="301"/>
      <c r="AU99" s="301"/>
      <c r="AV99" s="301"/>
      <c r="AW99" s="301"/>
      <c r="AX99" s="301"/>
      <c r="AY99" s="301"/>
      <c r="AZ99" s="301"/>
      <c r="BA99" s="301"/>
      <c r="BB99" s="301"/>
      <c r="BC99" s="301"/>
      <c r="BD99" s="301"/>
      <c r="BE99" s="301"/>
      <c r="BF99" s="302"/>
      <c r="BG99" s="303"/>
      <c r="BH99" s="304">
        <v>10</v>
      </c>
      <c r="BI99" s="304"/>
      <c r="BJ99" s="304"/>
      <c r="BK99" s="304"/>
      <c r="BL99" s="304"/>
      <c r="BM99" s="304"/>
      <c r="BN99" s="304"/>
      <c r="BO99" s="304"/>
      <c r="BP99" s="304"/>
      <c r="BQ99" s="304"/>
      <c r="BR99" s="304"/>
      <c r="BS99" s="304"/>
      <c r="BT99" s="304"/>
      <c r="BU99" s="304"/>
      <c r="BV99" s="304"/>
      <c r="BW99" s="304"/>
      <c r="BX99" s="304"/>
      <c r="BY99" s="305"/>
      <c r="BZ99" s="306"/>
      <c r="CA99" s="307"/>
      <c r="CB99" s="307"/>
      <c r="CC99" s="307"/>
      <c r="CD99" s="307"/>
      <c r="CE99" s="307"/>
      <c r="CF99" s="307"/>
      <c r="CG99" s="332"/>
      <c r="CH99" s="328"/>
      <c r="CI99" s="328"/>
      <c r="CJ99" s="328"/>
      <c r="CK99" s="328"/>
      <c r="CL99" s="328"/>
      <c r="CM99" s="328">
        <v>2</v>
      </c>
      <c r="CN99" s="370"/>
      <c r="CO99" s="367"/>
      <c r="CP99" s="367"/>
      <c r="CQ99" s="367"/>
      <c r="CR99" s="367"/>
      <c r="CS99" s="387">
        <v>10</v>
      </c>
      <c r="CT99" s="398"/>
      <c r="CU99" s="399"/>
      <c r="CV99" s="399"/>
      <c r="CW99" s="399"/>
      <c r="CX99" s="399"/>
      <c r="CY99" s="399"/>
      <c r="CZ99" s="399"/>
      <c r="DA99" s="400">
        <v>1</v>
      </c>
      <c r="DB99" s="522">
        <v>1</v>
      </c>
    </row>
    <row r="100" spans="1:106" x14ac:dyDescent="0.25">
      <c r="A100" s="468" t="s">
        <v>1565</v>
      </c>
      <c r="B100" s="468">
        <v>810</v>
      </c>
      <c r="C100" s="468" t="s">
        <v>3688</v>
      </c>
      <c r="D100" s="468">
        <v>2538</v>
      </c>
      <c r="E100" s="468" t="s">
        <v>1583</v>
      </c>
      <c r="F100" s="468" t="s">
        <v>1584</v>
      </c>
      <c r="G100" s="468" t="s">
        <v>1585</v>
      </c>
      <c r="H100" s="468" t="s">
        <v>1586</v>
      </c>
      <c r="I100" s="468" t="s">
        <v>138</v>
      </c>
      <c r="J100" s="468" t="s">
        <v>3689</v>
      </c>
      <c r="K100" s="468" t="s">
        <v>1587</v>
      </c>
      <c r="L100" s="468" t="s">
        <v>3766</v>
      </c>
      <c r="M100" s="468" t="s">
        <v>4018</v>
      </c>
      <c r="N100" s="460">
        <v>1</v>
      </c>
      <c r="O100" s="294"/>
      <c r="P100" s="294"/>
      <c r="Q100" s="294"/>
      <c r="R100" s="294"/>
      <c r="S100" s="295"/>
      <c r="T100" s="296">
        <v>0</v>
      </c>
      <c r="U100" s="297"/>
      <c r="V100" s="297"/>
      <c r="W100" s="297"/>
      <c r="X100" s="297"/>
      <c r="Y100" s="297"/>
      <c r="Z100" s="297"/>
      <c r="AA100" s="297"/>
      <c r="AB100" s="293">
        <v>0</v>
      </c>
      <c r="AC100" s="294"/>
      <c r="AD100" s="295"/>
      <c r="AE100" s="298"/>
      <c r="AF100" s="296">
        <v>0</v>
      </c>
      <c r="AG100" s="297"/>
      <c r="AH100" s="297"/>
      <c r="AI100" s="297"/>
      <c r="AJ100" s="297"/>
      <c r="AK100" s="297"/>
      <c r="AL100" s="297"/>
      <c r="AM100" s="297"/>
      <c r="AN100" s="300"/>
      <c r="AO100" s="301">
        <v>1500</v>
      </c>
      <c r="AP100" s="301"/>
      <c r="AQ100" s="301"/>
      <c r="AR100" s="301"/>
      <c r="AS100" s="301"/>
      <c r="AT100" s="301"/>
      <c r="AU100" s="301"/>
      <c r="AV100" s="301"/>
      <c r="AW100" s="301"/>
      <c r="AX100" s="301"/>
      <c r="AY100" s="301"/>
      <c r="AZ100" s="301"/>
      <c r="BA100" s="301"/>
      <c r="BB100" s="301"/>
      <c r="BC100" s="301"/>
      <c r="BD100" s="301"/>
      <c r="BE100" s="301"/>
      <c r="BF100" s="302"/>
      <c r="BG100" s="303"/>
      <c r="BH100" s="304">
        <v>10</v>
      </c>
      <c r="BI100" s="304"/>
      <c r="BJ100" s="304"/>
      <c r="BK100" s="304"/>
      <c r="BL100" s="304"/>
      <c r="BM100" s="304"/>
      <c r="BN100" s="304"/>
      <c r="BO100" s="304"/>
      <c r="BP100" s="304"/>
      <c r="BQ100" s="304"/>
      <c r="BR100" s="304"/>
      <c r="BS100" s="304"/>
      <c r="BT100" s="304"/>
      <c r="BU100" s="304"/>
      <c r="BV100" s="304"/>
      <c r="BW100" s="304"/>
      <c r="BX100" s="304"/>
      <c r="BY100" s="305"/>
      <c r="BZ100" s="306"/>
      <c r="CA100" s="307"/>
      <c r="CB100" s="307"/>
      <c r="CC100" s="307"/>
      <c r="CD100" s="307"/>
      <c r="CE100" s="307"/>
      <c r="CF100" s="307"/>
      <c r="CG100" s="332"/>
      <c r="CH100" s="328"/>
      <c r="CI100" s="328"/>
      <c r="CJ100" s="328"/>
      <c r="CK100" s="328"/>
      <c r="CL100" s="328"/>
      <c r="CM100" s="328">
        <v>2</v>
      </c>
      <c r="CN100" s="370"/>
      <c r="CO100" s="367"/>
      <c r="CP100" s="367"/>
      <c r="CQ100" s="367"/>
      <c r="CR100" s="367"/>
      <c r="CS100" s="387">
        <v>10</v>
      </c>
      <c r="CT100" s="398"/>
      <c r="CU100" s="399"/>
      <c r="CV100" s="399"/>
      <c r="CW100" s="399"/>
      <c r="CX100" s="399"/>
      <c r="CY100" s="399"/>
      <c r="CZ100" s="399"/>
      <c r="DA100" s="400">
        <v>1</v>
      </c>
      <c r="DB100" s="522">
        <v>1</v>
      </c>
    </row>
    <row r="101" spans="1:106" x14ac:dyDescent="0.25">
      <c r="A101" s="468" t="s">
        <v>1565</v>
      </c>
      <c r="B101" s="468">
        <v>810</v>
      </c>
      <c r="C101" s="468" t="s">
        <v>3693</v>
      </c>
      <c r="D101" s="468">
        <v>2554</v>
      </c>
      <c r="E101" s="468" t="s">
        <v>2982</v>
      </c>
      <c r="F101" s="468" t="s">
        <v>2983</v>
      </c>
      <c r="G101" s="468" t="s">
        <v>2984</v>
      </c>
      <c r="H101" s="468" t="s">
        <v>2985</v>
      </c>
      <c r="I101" s="468" t="s">
        <v>138</v>
      </c>
      <c r="J101" s="468" t="s">
        <v>3694</v>
      </c>
      <c r="K101" s="468" t="s">
        <v>2986</v>
      </c>
      <c r="L101" s="468" t="s">
        <v>3766</v>
      </c>
      <c r="M101" s="468" t="s">
        <v>4018</v>
      </c>
      <c r="N101" s="460">
        <v>1</v>
      </c>
      <c r="O101" s="294"/>
      <c r="P101" s="294"/>
      <c r="Q101" s="294"/>
      <c r="R101" s="294"/>
      <c r="S101" s="295"/>
      <c r="T101" s="296"/>
      <c r="U101" s="297"/>
      <c r="V101" s="297"/>
      <c r="W101" s="297"/>
      <c r="X101" s="297"/>
      <c r="Y101" s="297"/>
      <c r="Z101" s="297"/>
      <c r="AA101" s="297"/>
      <c r="AB101" s="293"/>
      <c r="AC101" s="294"/>
      <c r="AD101" s="295"/>
      <c r="AE101" s="298"/>
      <c r="AF101" s="296"/>
      <c r="AG101" s="297"/>
      <c r="AH101" s="297"/>
      <c r="AI101" s="297"/>
      <c r="AJ101" s="297"/>
      <c r="AK101" s="297"/>
      <c r="AL101" s="297"/>
      <c r="AM101" s="297"/>
      <c r="AN101" s="300"/>
      <c r="AO101" s="301">
        <v>1500</v>
      </c>
      <c r="AP101" s="301"/>
      <c r="AQ101" s="301"/>
      <c r="AR101" s="301"/>
      <c r="AS101" s="301"/>
      <c r="AT101" s="301"/>
      <c r="AU101" s="301"/>
      <c r="AV101" s="301"/>
      <c r="AW101" s="301"/>
      <c r="AX101" s="301"/>
      <c r="AY101" s="301"/>
      <c r="AZ101" s="301"/>
      <c r="BA101" s="301"/>
      <c r="BB101" s="301"/>
      <c r="BC101" s="301"/>
      <c r="BD101" s="301"/>
      <c r="BE101" s="301"/>
      <c r="BF101" s="302"/>
      <c r="BG101" s="303"/>
      <c r="BH101" s="304">
        <v>10</v>
      </c>
      <c r="BI101" s="304"/>
      <c r="BJ101" s="304"/>
      <c r="BK101" s="304"/>
      <c r="BL101" s="304"/>
      <c r="BM101" s="304"/>
      <c r="BN101" s="304"/>
      <c r="BO101" s="304"/>
      <c r="BP101" s="304"/>
      <c r="BQ101" s="304"/>
      <c r="BR101" s="304"/>
      <c r="BS101" s="304"/>
      <c r="BT101" s="304"/>
      <c r="BU101" s="304"/>
      <c r="BV101" s="304"/>
      <c r="BW101" s="304"/>
      <c r="BX101" s="304"/>
      <c r="BY101" s="305"/>
      <c r="BZ101" s="306"/>
      <c r="CA101" s="307"/>
      <c r="CB101" s="307"/>
      <c r="CC101" s="307"/>
      <c r="CD101" s="307"/>
      <c r="CE101" s="307"/>
      <c r="CF101" s="307"/>
      <c r="CG101" s="332"/>
      <c r="CH101" s="328"/>
      <c r="CI101" s="328"/>
      <c r="CJ101" s="328"/>
      <c r="CK101" s="328"/>
      <c r="CL101" s="328"/>
      <c r="CM101" s="328">
        <v>2</v>
      </c>
      <c r="CN101" s="370"/>
      <c r="CO101" s="367"/>
      <c r="CP101" s="367"/>
      <c r="CQ101" s="367"/>
      <c r="CR101" s="367"/>
      <c r="CS101" s="387">
        <v>10</v>
      </c>
      <c r="CT101" s="398"/>
      <c r="CU101" s="399"/>
      <c r="CV101" s="399"/>
      <c r="CW101" s="399"/>
      <c r="CX101" s="399"/>
      <c r="CY101" s="399"/>
      <c r="CZ101" s="399"/>
      <c r="DA101" s="400">
        <v>1</v>
      </c>
      <c r="DB101" s="522">
        <v>1</v>
      </c>
    </row>
    <row r="102" spans="1:106" x14ac:dyDescent="0.25">
      <c r="A102" s="468" t="s">
        <v>1565</v>
      </c>
      <c r="B102" s="468">
        <v>810</v>
      </c>
      <c r="C102" s="468" t="s">
        <v>3701</v>
      </c>
      <c r="D102" s="468">
        <v>2567</v>
      </c>
      <c r="E102" s="468" t="s">
        <v>1588</v>
      </c>
      <c r="F102" s="468" t="s">
        <v>1589</v>
      </c>
      <c r="G102" s="468" t="s">
        <v>1590</v>
      </c>
      <c r="H102" s="468" t="s">
        <v>1591</v>
      </c>
      <c r="I102" s="468" t="s">
        <v>138</v>
      </c>
      <c r="J102" s="468" t="s">
        <v>3702</v>
      </c>
      <c r="K102" s="468" t="s">
        <v>1592</v>
      </c>
      <c r="L102" s="468" t="s">
        <v>3766</v>
      </c>
      <c r="M102" s="468" t="s">
        <v>4018</v>
      </c>
      <c r="N102" s="460">
        <v>1</v>
      </c>
      <c r="O102" s="294"/>
      <c r="P102" s="294"/>
      <c r="Q102" s="294"/>
      <c r="R102" s="294"/>
      <c r="S102" s="295"/>
      <c r="T102" s="296">
        <v>0</v>
      </c>
      <c r="U102" s="297"/>
      <c r="V102" s="297"/>
      <c r="W102" s="297"/>
      <c r="X102" s="297"/>
      <c r="Y102" s="297"/>
      <c r="Z102" s="297"/>
      <c r="AA102" s="297"/>
      <c r="AB102" s="293">
        <v>0</v>
      </c>
      <c r="AC102" s="294"/>
      <c r="AD102" s="295"/>
      <c r="AE102" s="298"/>
      <c r="AF102" s="296">
        <v>0</v>
      </c>
      <c r="AG102" s="297"/>
      <c r="AH102" s="297"/>
      <c r="AI102" s="297"/>
      <c r="AJ102" s="297"/>
      <c r="AK102" s="297"/>
      <c r="AL102" s="297"/>
      <c r="AM102" s="297"/>
      <c r="AN102" s="300"/>
      <c r="AO102" s="301">
        <v>1500</v>
      </c>
      <c r="AP102" s="301"/>
      <c r="AQ102" s="301"/>
      <c r="AR102" s="301"/>
      <c r="AS102" s="301"/>
      <c r="AT102" s="301"/>
      <c r="AU102" s="301"/>
      <c r="AV102" s="301"/>
      <c r="AW102" s="301"/>
      <c r="AX102" s="301"/>
      <c r="AY102" s="301"/>
      <c r="AZ102" s="301"/>
      <c r="BA102" s="301"/>
      <c r="BB102" s="301"/>
      <c r="BC102" s="301"/>
      <c r="BD102" s="301"/>
      <c r="BE102" s="301"/>
      <c r="BF102" s="302"/>
      <c r="BG102" s="303"/>
      <c r="BH102" s="304">
        <v>10</v>
      </c>
      <c r="BI102" s="304"/>
      <c r="BJ102" s="304"/>
      <c r="BK102" s="304"/>
      <c r="BL102" s="304"/>
      <c r="BM102" s="304"/>
      <c r="BN102" s="304"/>
      <c r="BO102" s="304"/>
      <c r="BP102" s="304"/>
      <c r="BQ102" s="304"/>
      <c r="BR102" s="304"/>
      <c r="BS102" s="304"/>
      <c r="BT102" s="304"/>
      <c r="BU102" s="304"/>
      <c r="BV102" s="304"/>
      <c r="BW102" s="304"/>
      <c r="BX102" s="304"/>
      <c r="BY102" s="305"/>
      <c r="BZ102" s="306"/>
      <c r="CA102" s="307"/>
      <c r="CB102" s="307"/>
      <c r="CC102" s="307"/>
      <c r="CD102" s="307"/>
      <c r="CE102" s="307"/>
      <c r="CF102" s="307"/>
      <c r="CG102" s="332"/>
      <c r="CH102" s="328"/>
      <c r="CI102" s="328"/>
      <c r="CJ102" s="328"/>
      <c r="CK102" s="328"/>
      <c r="CL102" s="328"/>
      <c r="CM102" s="328">
        <v>2</v>
      </c>
      <c r="CN102" s="370"/>
      <c r="CO102" s="367"/>
      <c r="CP102" s="367"/>
      <c r="CQ102" s="367"/>
      <c r="CR102" s="367"/>
      <c r="CS102" s="387">
        <v>10</v>
      </c>
      <c r="CT102" s="398"/>
      <c r="CU102" s="399"/>
      <c r="CV102" s="399"/>
      <c r="CW102" s="399"/>
      <c r="CX102" s="399"/>
      <c r="CY102" s="399"/>
      <c r="CZ102" s="399"/>
      <c r="DA102" s="400">
        <v>1</v>
      </c>
      <c r="DB102" s="522">
        <v>1</v>
      </c>
    </row>
    <row r="103" spans="1:106" x14ac:dyDescent="0.25">
      <c r="A103" s="468" t="s">
        <v>133</v>
      </c>
      <c r="B103" s="468">
        <v>810</v>
      </c>
      <c r="C103" s="468" t="s">
        <v>3524</v>
      </c>
      <c r="D103" s="468">
        <v>1473</v>
      </c>
      <c r="E103" s="468" t="s">
        <v>1601</v>
      </c>
      <c r="F103" s="468" t="s">
        <v>3002</v>
      </c>
      <c r="G103" s="468" t="s">
        <v>1602</v>
      </c>
      <c r="H103" s="468" t="s">
        <v>1603</v>
      </c>
      <c r="I103" s="468" t="s">
        <v>138</v>
      </c>
      <c r="J103" s="468" t="s">
        <v>3525</v>
      </c>
      <c r="K103" s="468" t="s">
        <v>1604</v>
      </c>
      <c r="L103" s="468" t="s">
        <v>3837</v>
      </c>
      <c r="M103" s="468" t="s">
        <v>3839</v>
      </c>
      <c r="N103" s="461"/>
      <c r="O103" s="294"/>
      <c r="P103" s="294">
        <v>2</v>
      </c>
      <c r="Q103" s="294"/>
      <c r="R103" s="294"/>
      <c r="S103" s="295"/>
      <c r="T103" s="296">
        <v>0</v>
      </c>
      <c r="U103" s="297"/>
      <c r="V103" s="297"/>
      <c r="W103" s="297"/>
      <c r="X103" s="297"/>
      <c r="Y103" s="297"/>
      <c r="Z103" s="297"/>
      <c r="AA103" s="297"/>
      <c r="AB103" s="293">
        <v>0</v>
      </c>
      <c r="AC103" s="294"/>
      <c r="AD103" s="295"/>
      <c r="AE103" s="298"/>
      <c r="AF103" s="296">
        <v>0</v>
      </c>
      <c r="AG103" s="297"/>
      <c r="AH103" s="297"/>
      <c r="AI103" s="297"/>
      <c r="AJ103" s="297"/>
      <c r="AK103" s="297"/>
      <c r="AL103" s="297"/>
      <c r="AM103" s="297"/>
      <c r="AN103" s="300"/>
      <c r="AO103" s="301"/>
      <c r="AP103" s="301"/>
      <c r="AQ103" s="301"/>
      <c r="AR103" s="301"/>
      <c r="AS103" s="301"/>
      <c r="AT103" s="301">
        <v>1500</v>
      </c>
      <c r="AU103" s="301"/>
      <c r="AV103" s="301"/>
      <c r="AW103" s="301"/>
      <c r="AX103" s="301"/>
      <c r="AY103" s="301"/>
      <c r="AZ103" s="301"/>
      <c r="BA103" s="301"/>
      <c r="BB103" s="301"/>
      <c r="BC103" s="301"/>
      <c r="BD103" s="301"/>
      <c r="BE103" s="301"/>
      <c r="BF103" s="302"/>
      <c r="BG103" s="303"/>
      <c r="BH103" s="304"/>
      <c r="BI103" s="304"/>
      <c r="BJ103" s="304"/>
      <c r="BK103" s="304"/>
      <c r="BL103" s="304"/>
      <c r="BM103" s="304">
        <v>10</v>
      </c>
      <c r="BN103" s="304"/>
      <c r="BO103" s="304"/>
      <c r="BP103" s="304"/>
      <c r="BQ103" s="304"/>
      <c r="BR103" s="304"/>
      <c r="BS103" s="304"/>
      <c r="BT103" s="304"/>
      <c r="BU103" s="304"/>
      <c r="BV103" s="304"/>
      <c r="BW103" s="304"/>
      <c r="BX103" s="304"/>
      <c r="BY103" s="305"/>
      <c r="BZ103" s="306"/>
      <c r="CA103" s="307"/>
      <c r="CB103" s="307"/>
      <c r="CC103" s="307"/>
      <c r="CD103" s="307"/>
      <c r="CE103" s="307"/>
      <c r="CF103" s="307"/>
      <c r="CG103" s="332">
        <v>2</v>
      </c>
      <c r="CH103" s="328"/>
      <c r="CI103" s="328"/>
      <c r="CJ103" s="328"/>
      <c r="CK103" s="328"/>
      <c r="CL103" s="328"/>
      <c r="CM103" s="328"/>
      <c r="CN103" s="370">
        <v>10</v>
      </c>
      <c r="CO103" s="367"/>
      <c r="CP103" s="367"/>
      <c r="CQ103" s="367"/>
      <c r="CR103" s="367"/>
      <c r="CS103" s="387"/>
      <c r="CT103" s="398">
        <v>1</v>
      </c>
      <c r="CU103" s="399"/>
      <c r="CV103" s="399"/>
      <c r="CW103" s="399"/>
      <c r="CX103" s="399"/>
      <c r="CY103" s="399"/>
      <c r="CZ103" s="399"/>
      <c r="DA103" s="400"/>
      <c r="DB103" s="522">
        <v>1</v>
      </c>
    </row>
    <row r="104" spans="1:106" x14ac:dyDescent="0.25">
      <c r="A104" s="468" t="s">
        <v>133</v>
      </c>
      <c r="B104" s="468">
        <v>810</v>
      </c>
      <c r="C104" s="468" t="s">
        <v>3704</v>
      </c>
      <c r="D104" s="468">
        <v>2570</v>
      </c>
      <c r="E104" s="468" t="s">
        <v>1593</v>
      </c>
      <c r="F104" s="468" t="s">
        <v>1594</v>
      </c>
      <c r="G104" s="468" t="s">
        <v>3007</v>
      </c>
      <c r="H104" s="468" t="s">
        <v>1595</v>
      </c>
      <c r="I104" s="468" t="s">
        <v>138</v>
      </c>
      <c r="J104" s="468" t="s">
        <v>3705</v>
      </c>
      <c r="K104" s="468" t="s">
        <v>1596</v>
      </c>
      <c r="L104" s="468" t="s">
        <v>3766</v>
      </c>
      <c r="M104" s="468" t="s">
        <v>4011</v>
      </c>
      <c r="N104" s="460">
        <v>2</v>
      </c>
      <c r="O104" s="294"/>
      <c r="P104" s="294"/>
      <c r="Q104" s="294"/>
      <c r="R104" s="294"/>
      <c r="S104" s="295"/>
      <c r="T104" s="296">
        <v>0</v>
      </c>
      <c r="U104" s="297"/>
      <c r="V104" s="297"/>
      <c r="W104" s="297"/>
      <c r="X104" s="297"/>
      <c r="Y104" s="297"/>
      <c r="Z104" s="297"/>
      <c r="AA104" s="297"/>
      <c r="AB104" s="293">
        <v>0</v>
      </c>
      <c r="AC104" s="294"/>
      <c r="AD104" s="295"/>
      <c r="AE104" s="298"/>
      <c r="AF104" s="296">
        <v>0</v>
      </c>
      <c r="AG104" s="297"/>
      <c r="AH104" s="297"/>
      <c r="AI104" s="297"/>
      <c r="AJ104" s="297"/>
      <c r="AK104" s="297"/>
      <c r="AL104" s="297"/>
      <c r="AM104" s="297"/>
      <c r="AN104" s="300">
        <v>1500</v>
      </c>
      <c r="AO104" s="301"/>
      <c r="AP104" s="301"/>
      <c r="AQ104" s="301"/>
      <c r="AR104" s="301"/>
      <c r="AS104" s="301"/>
      <c r="AT104" s="301"/>
      <c r="AU104" s="301"/>
      <c r="AV104" s="301"/>
      <c r="AW104" s="301"/>
      <c r="AX104" s="301"/>
      <c r="AY104" s="301"/>
      <c r="AZ104" s="301"/>
      <c r="BA104" s="301"/>
      <c r="BB104" s="301"/>
      <c r="BC104" s="301"/>
      <c r="BD104" s="301"/>
      <c r="BE104" s="301"/>
      <c r="BF104" s="302"/>
      <c r="BG104" s="303">
        <v>10</v>
      </c>
      <c r="BH104" s="304"/>
      <c r="BI104" s="304"/>
      <c r="BJ104" s="304"/>
      <c r="BK104" s="304"/>
      <c r="BL104" s="304"/>
      <c r="BM104" s="304"/>
      <c r="BN104" s="304"/>
      <c r="BO104" s="304"/>
      <c r="BP104" s="304"/>
      <c r="BQ104" s="304"/>
      <c r="BR104" s="304"/>
      <c r="BS104" s="304"/>
      <c r="BT104" s="304"/>
      <c r="BU104" s="304"/>
      <c r="BV104" s="304"/>
      <c r="BW104" s="304"/>
      <c r="BX104" s="304"/>
      <c r="BY104" s="305"/>
      <c r="BZ104" s="306"/>
      <c r="CA104" s="307"/>
      <c r="CB104" s="307"/>
      <c r="CC104" s="307"/>
      <c r="CD104" s="307"/>
      <c r="CE104" s="307"/>
      <c r="CF104" s="307"/>
      <c r="CG104" s="332"/>
      <c r="CH104" s="328"/>
      <c r="CI104" s="328"/>
      <c r="CJ104" s="328"/>
      <c r="CK104" s="328"/>
      <c r="CL104" s="328"/>
      <c r="CM104" s="328">
        <v>2</v>
      </c>
      <c r="CN104" s="370"/>
      <c r="CO104" s="367"/>
      <c r="CP104" s="367"/>
      <c r="CQ104" s="367"/>
      <c r="CR104" s="367"/>
      <c r="CS104" s="387">
        <v>10</v>
      </c>
      <c r="CT104" s="398"/>
      <c r="CU104" s="399"/>
      <c r="CV104" s="399"/>
      <c r="CW104" s="399"/>
      <c r="CX104" s="399"/>
      <c r="CY104" s="399"/>
      <c r="CZ104" s="399"/>
      <c r="DA104" s="400">
        <v>1</v>
      </c>
      <c r="DB104" s="522">
        <v>1</v>
      </c>
    </row>
    <row r="105" spans="1:106" x14ac:dyDescent="0.25">
      <c r="A105" s="468" t="s">
        <v>248</v>
      </c>
      <c r="B105" s="468">
        <v>810</v>
      </c>
      <c r="C105" s="468" t="s">
        <v>3513</v>
      </c>
      <c r="D105" s="468">
        <v>1464</v>
      </c>
      <c r="E105" s="468" t="s">
        <v>1715</v>
      </c>
      <c r="F105" s="468" t="s">
        <v>2958</v>
      </c>
      <c r="G105" s="468" t="s">
        <v>1716</v>
      </c>
      <c r="H105" s="468" t="s">
        <v>1717</v>
      </c>
      <c r="I105" s="468" t="s">
        <v>138</v>
      </c>
      <c r="J105" s="468" t="s">
        <v>3514</v>
      </c>
      <c r="K105" s="468" t="s">
        <v>1718</v>
      </c>
      <c r="L105" s="468" t="s">
        <v>3844</v>
      </c>
      <c r="M105" s="468" t="s">
        <v>3845</v>
      </c>
      <c r="N105" s="460">
        <v>0</v>
      </c>
      <c r="O105" s="294"/>
      <c r="P105" s="294"/>
      <c r="Q105" s="294"/>
      <c r="R105" s="294"/>
      <c r="S105" s="295"/>
      <c r="T105" s="299"/>
      <c r="U105" s="297"/>
      <c r="V105" s="297">
        <v>2</v>
      </c>
      <c r="W105" s="297"/>
      <c r="X105" s="297"/>
      <c r="Y105" s="297"/>
      <c r="Z105" s="297"/>
      <c r="AA105" s="297"/>
      <c r="AB105" s="293">
        <v>0</v>
      </c>
      <c r="AC105" s="294"/>
      <c r="AD105" s="295"/>
      <c r="AE105" s="298"/>
      <c r="AF105" s="296">
        <v>0</v>
      </c>
      <c r="AG105" s="297"/>
      <c r="AH105" s="297"/>
      <c r="AI105" s="297"/>
      <c r="AJ105" s="297"/>
      <c r="AK105" s="297"/>
      <c r="AL105" s="297"/>
      <c r="AM105" s="297"/>
      <c r="AN105" s="300"/>
      <c r="AO105" s="301"/>
      <c r="AP105" s="301"/>
      <c r="AQ105" s="301"/>
      <c r="AR105" s="301"/>
      <c r="AS105" s="301"/>
      <c r="AT105" s="301"/>
      <c r="AU105" s="301"/>
      <c r="AV105" s="301"/>
      <c r="AW105" s="301"/>
      <c r="AX105" s="301">
        <v>1500</v>
      </c>
      <c r="AY105" s="301"/>
      <c r="AZ105" s="301"/>
      <c r="BA105" s="301"/>
      <c r="BB105" s="301"/>
      <c r="BC105" s="301"/>
      <c r="BD105" s="301"/>
      <c r="BE105" s="301"/>
      <c r="BF105" s="302"/>
      <c r="BG105" s="303"/>
      <c r="BH105" s="304"/>
      <c r="BI105" s="304"/>
      <c r="BJ105" s="304"/>
      <c r="BK105" s="304"/>
      <c r="BL105" s="304"/>
      <c r="BM105" s="304"/>
      <c r="BN105" s="304"/>
      <c r="BO105" s="304"/>
      <c r="BP105" s="304"/>
      <c r="BQ105" s="304">
        <v>10</v>
      </c>
      <c r="BR105" s="304"/>
      <c r="BS105" s="304"/>
      <c r="BT105" s="304"/>
      <c r="BU105" s="304"/>
      <c r="BV105" s="304"/>
      <c r="BW105" s="304"/>
      <c r="BX105" s="304"/>
      <c r="BY105" s="305"/>
      <c r="BZ105" s="306"/>
      <c r="CA105" s="307"/>
      <c r="CB105" s="307"/>
      <c r="CC105" s="307"/>
      <c r="CD105" s="307"/>
      <c r="CE105" s="307"/>
      <c r="CF105" s="307"/>
      <c r="CG105" s="332"/>
      <c r="CH105" s="328"/>
      <c r="CI105" s="328">
        <v>2</v>
      </c>
      <c r="CJ105" s="328"/>
      <c r="CK105" s="328"/>
      <c r="CL105" s="328"/>
      <c r="CM105" s="328"/>
      <c r="CN105" s="370"/>
      <c r="CO105" s="367"/>
      <c r="CP105" s="367">
        <v>10</v>
      </c>
      <c r="CQ105" s="367"/>
      <c r="CR105" s="367"/>
      <c r="CS105" s="387"/>
      <c r="CT105" s="398"/>
      <c r="CU105" s="399"/>
      <c r="CV105" s="399">
        <v>1</v>
      </c>
      <c r="CW105" s="399"/>
      <c r="CX105" s="399"/>
      <c r="CY105" s="399"/>
      <c r="CZ105" s="399"/>
      <c r="DA105" s="400"/>
      <c r="DB105" s="522">
        <v>1</v>
      </c>
    </row>
    <row r="106" spans="1:106" x14ac:dyDescent="0.25">
      <c r="A106" s="468" t="s">
        <v>248</v>
      </c>
      <c r="B106" s="468">
        <v>810</v>
      </c>
      <c r="C106" s="468" t="s">
        <v>3518</v>
      </c>
      <c r="D106" s="468">
        <v>1467</v>
      </c>
      <c r="E106" s="468" t="s">
        <v>249</v>
      </c>
      <c r="F106" s="468" t="s">
        <v>1727</v>
      </c>
      <c r="G106" s="468" t="s">
        <v>250</v>
      </c>
      <c r="H106" s="468" t="s">
        <v>251</v>
      </c>
      <c r="I106" s="468" t="s">
        <v>138</v>
      </c>
      <c r="J106" s="468" t="s">
        <v>3519</v>
      </c>
      <c r="K106" s="468" t="s">
        <v>252</v>
      </c>
      <c r="L106" s="468" t="s">
        <v>3844</v>
      </c>
      <c r="M106" s="468" t="s">
        <v>3845</v>
      </c>
      <c r="N106" s="460">
        <v>0</v>
      </c>
      <c r="O106" s="294"/>
      <c r="P106" s="294"/>
      <c r="Q106" s="294"/>
      <c r="R106" s="294"/>
      <c r="S106" s="295"/>
      <c r="T106" s="299"/>
      <c r="U106" s="297"/>
      <c r="V106" s="297">
        <v>2</v>
      </c>
      <c r="W106" s="297"/>
      <c r="X106" s="297"/>
      <c r="Y106" s="297"/>
      <c r="Z106" s="297"/>
      <c r="AA106" s="297"/>
      <c r="AB106" s="293">
        <v>0</v>
      </c>
      <c r="AC106" s="294"/>
      <c r="AD106" s="295"/>
      <c r="AE106" s="298"/>
      <c r="AF106" s="296">
        <v>0</v>
      </c>
      <c r="AG106" s="297"/>
      <c r="AH106" s="297"/>
      <c r="AI106" s="297"/>
      <c r="AJ106" s="297"/>
      <c r="AK106" s="297"/>
      <c r="AL106" s="297"/>
      <c r="AM106" s="297"/>
      <c r="AN106" s="300"/>
      <c r="AO106" s="301"/>
      <c r="AP106" s="301"/>
      <c r="AQ106" s="301"/>
      <c r="AR106" s="301"/>
      <c r="AS106" s="301"/>
      <c r="AT106" s="301"/>
      <c r="AU106" s="301"/>
      <c r="AV106" s="301"/>
      <c r="AW106" s="301"/>
      <c r="AX106" s="301">
        <v>1500</v>
      </c>
      <c r="AY106" s="301"/>
      <c r="AZ106" s="301"/>
      <c r="BA106" s="301"/>
      <c r="BB106" s="301"/>
      <c r="BC106" s="301"/>
      <c r="BD106" s="301"/>
      <c r="BE106" s="301"/>
      <c r="BF106" s="302"/>
      <c r="BG106" s="303"/>
      <c r="BH106" s="304"/>
      <c r="BI106" s="304"/>
      <c r="BJ106" s="304"/>
      <c r="BK106" s="304"/>
      <c r="BL106" s="304"/>
      <c r="BM106" s="304"/>
      <c r="BN106" s="304"/>
      <c r="BO106" s="304"/>
      <c r="BP106" s="304"/>
      <c r="BQ106" s="304">
        <v>10</v>
      </c>
      <c r="BR106" s="304"/>
      <c r="BS106" s="304"/>
      <c r="BT106" s="304"/>
      <c r="BU106" s="304"/>
      <c r="BV106" s="304"/>
      <c r="BW106" s="304"/>
      <c r="BX106" s="304"/>
      <c r="BY106" s="305"/>
      <c r="BZ106" s="306"/>
      <c r="CA106" s="307"/>
      <c r="CB106" s="307"/>
      <c r="CC106" s="307"/>
      <c r="CD106" s="307"/>
      <c r="CE106" s="307"/>
      <c r="CF106" s="307"/>
      <c r="CG106" s="332"/>
      <c r="CH106" s="328"/>
      <c r="CI106" s="328">
        <v>2</v>
      </c>
      <c r="CJ106" s="328"/>
      <c r="CK106" s="328"/>
      <c r="CL106" s="328"/>
      <c r="CM106" s="328"/>
      <c r="CN106" s="370"/>
      <c r="CO106" s="367"/>
      <c r="CP106" s="367">
        <v>10</v>
      </c>
      <c r="CQ106" s="367"/>
      <c r="CR106" s="367"/>
      <c r="CS106" s="387"/>
      <c r="CT106" s="398"/>
      <c r="CU106" s="399"/>
      <c r="CV106" s="399">
        <v>1</v>
      </c>
      <c r="CW106" s="399"/>
      <c r="CX106" s="399"/>
      <c r="CY106" s="399"/>
      <c r="CZ106" s="399"/>
      <c r="DA106" s="400"/>
      <c r="DB106" s="522">
        <v>1</v>
      </c>
    </row>
    <row r="107" spans="1:106" x14ac:dyDescent="0.25">
      <c r="A107" s="468" t="s">
        <v>248</v>
      </c>
      <c r="B107" s="468">
        <v>810</v>
      </c>
      <c r="C107" s="468" t="s">
        <v>3520</v>
      </c>
      <c r="D107" s="468">
        <v>1468</v>
      </c>
      <c r="E107" s="468" t="s">
        <v>1728</v>
      </c>
      <c r="F107" s="468" t="s">
        <v>1729</v>
      </c>
      <c r="G107" s="468" t="s">
        <v>1730</v>
      </c>
      <c r="H107" s="468" t="s">
        <v>251</v>
      </c>
      <c r="I107" s="468" t="s">
        <v>138</v>
      </c>
      <c r="J107" s="468" t="s">
        <v>3519</v>
      </c>
      <c r="K107" s="468" t="s">
        <v>1731</v>
      </c>
      <c r="L107" s="468" t="s">
        <v>3844</v>
      </c>
      <c r="M107" s="468" t="s">
        <v>3845</v>
      </c>
      <c r="N107" s="460">
        <v>0</v>
      </c>
      <c r="O107" s="294"/>
      <c r="P107" s="294"/>
      <c r="Q107" s="294"/>
      <c r="R107" s="294"/>
      <c r="S107" s="295"/>
      <c r="T107" s="299"/>
      <c r="U107" s="297"/>
      <c r="V107" s="297">
        <v>2</v>
      </c>
      <c r="W107" s="297"/>
      <c r="X107" s="297"/>
      <c r="Y107" s="297"/>
      <c r="Z107" s="297"/>
      <c r="AA107" s="297"/>
      <c r="AB107" s="293">
        <v>0</v>
      </c>
      <c r="AC107" s="294"/>
      <c r="AD107" s="295"/>
      <c r="AE107" s="298"/>
      <c r="AF107" s="296">
        <v>0</v>
      </c>
      <c r="AG107" s="297"/>
      <c r="AH107" s="297"/>
      <c r="AI107" s="297"/>
      <c r="AJ107" s="297"/>
      <c r="AK107" s="297"/>
      <c r="AL107" s="297"/>
      <c r="AM107" s="297"/>
      <c r="AN107" s="300"/>
      <c r="AO107" s="301"/>
      <c r="AP107" s="301"/>
      <c r="AQ107" s="301"/>
      <c r="AR107" s="301"/>
      <c r="AS107" s="301"/>
      <c r="AT107" s="301"/>
      <c r="AU107" s="301"/>
      <c r="AV107" s="301"/>
      <c r="AW107" s="301"/>
      <c r="AX107" s="301">
        <v>1500</v>
      </c>
      <c r="AY107" s="301"/>
      <c r="AZ107" s="301"/>
      <c r="BA107" s="301"/>
      <c r="BB107" s="301"/>
      <c r="BC107" s="301"/>
      <c r="BD107" s="301"/>
      <c r="BE107" s="301"/>
      <c r="BF107" s="302"/>
      <c r="BG107" s="303"/>
      <c r="BH107" s="304"/>
      <c r="BI107" s="304"/>
      <c r="BJ107" s="304"/>
      <c r="BK107" s="304"/>
      <c r="BL107" s="304"/>
      <c r="BM107" s="304"/>
      <c r="BN107" s="304"/>
      <c r="BO107" s="304"/>
      <c r="BP107" s="304"/>
      <c r="BQ107" s="304">
        <v>10</v>
      </c>
      <c r="BR107" s="304"/>
      <c r="BS107" s="304"/>
      <c r="BT107" s="304"/>
      <c r="BU107" s="304"/>
      <c r="BV107" s="304"/>
      <c r="BW107" s="304"/>
      <c r="BX107" s="304"/>
      <c r="BY107" s="305"/>
      <c r="BZ107" s="306"/>
      <c r="CA107" s="307"/>
      <c r="CB107" s="307"/>
      <c r="CC107" s="307"/>
      <c r="CD107" s="307"/>
      <c r="CE107" s="307"/>
      <c r="CF107" s="307"/>
      <c r="CG107" s="332"/>
      <c r="CH107" s="328"/>
      <c r="CI107" s="328">
        <v>2</v>
      </c>
      <c r="CJ107" s="328"/>
      <c r="CK107" s="328"/>
      <c r="CL107" s="328"/>
      <c r="CM107" s="328"/>
      <c r="CN107" s="370"/>
      <c r="CO107" s="367"/>
      <c r="CP107" s="367">
        <v>10</v>
      </c>
      <c r="CQ107" s="367"/>
      <c r="CR107" s="367"/>
      <c r="CS107" s="387"/>
      <c r="CT107" s="398"/>
      <c r="CU107" s="399"/>
      <c r="CV107" s="399">
        <v>1</v>
      </c>
      <c r="CW107" s="399"/>
      <c r="CX107" s="399"/>
      <c r="CY107" s="399"/>
      <c r="CZ107" s="399"/>
      <c r="DA107" s="400"/>
      <c r="DB107" s="522">
        <v>1</v>
      </c>
    </row>
    <row r="108" spans="1:106" x14ac:dyDescent="0.25">
      <c r="A108" s="468" t="s">
        <v>174</v>
      </c>
      <c r="B108" s="468">
        <v>801</v>
      </c>
      <c r="C108" s="468" t="s">
        <v>1880</v>
      </c>
      <c r="D108" s="468">
        <v>609</v>
      </c>
      <c r="E108" s="468" t="s">
        <v>1881</v>
      </c>
      <c r="F108" s="468" t="s">
        <v>1886</v>
      </c>
      <c r="G108" s="468" t="s">
        <v>1882</v>
      </c>
      <c r="H108" s="468" t="s">
        <v>1773</v>
      </c>
      <c r="I108" s="468" t="s">
        <v>179</v>
      </c>
      <c r="J108" s="468" t="s">
        <v>3242</v>
      </c>
      <c r="K108" s="468" t="s">
        <v>1883</v>
      </c>
      <c r="L108" s="468" t="s">
        <v>3737</v>
      </c>
      <c r="M108" s="468" t="s">
        <v>3802</v>
      </c>
      <c r="N108" s="460">
        <v>0</v>
      </c>
      <c r="O108" s="294"/>
      <c r="P108" s="294"/>
      <c r="Q108" s="294"/>
      <c r="R108" s="294"/>
      <c r="S108" s="295"/>
      <c r="T108" s="296">
        <v>0</v>
      </c>
      <c r="U108" s="297"/>
      <c r="V108" s="297"/>
      <c r="W108" s="297"/>
      <c r="X108" s="297"/>
      <c r="Y108" s="297"/>
      <c r="Z108" s="297"/>
      <c r="AA108" s="297"/>
      <c r="AB108" s="293">
        <v>0</v>
      </c>
      <c r="AC108" s="294"/>
      <c r="AD108" s="295"/>
      <c r="AE108" s="298"/>
      <c r="AF108" s="296">
        <v>0</v>
      </c>
      <c r="AG108" s="297"/>
      <c r="AH108" s="297"/>
      <c r="AI108" s="297"/>
      <c r="AJ108" s="297"/>
      <c r="AK108" s="297"/>
      <c r="AL108" s="297"/>
      <c r="AM108" s="297"/>
      <c r="AN108" s="300"/>
      <c r="AO108" s="301"/>
      <c r="AP108" s="301"/>
      <c r="AQ108" s="301"/>
      <c r="AR108" s="301"/>
      <c r="AS108" s="301"/>
      <c r="AT108" s="301"/>
      <c r="AU108" s="301"/>
      <c r="AV108" s="301"/>
      <c r="AW108" s="301"/>
      <c r="AX108" s="301"/>
      <c r="AY108" s="301"/>
      <c r="AZ108" s="301"/>
      <c r="BA108" s="301">
        <v>1500</v>
      </c>
      <c r="BB108" s="301"/>
      <c r="BC108" s="301"/>
      <c r="BD108" s="301"/>
      <c r="BE108" s="301"/>
      <c r="BF108" s="302"/>
      <c r="BG108" s="303"/>
      <c r="BH108" s="304"/>
      <c r="BI108" s="304"/>
      <c r="BJ108" s="304"/>
      <c r="BK108" s="304"/>
      <c r="BL108" s="304"/>
      <c r="BM108" s="304"/>
      <c r="BN108" s="304"/>
      <c r="BO108" s="304"/>
      <c r="BP108" s="304"/>
      <c r="BQ108" s="304"/>
      <c r="BR108" s="304"/>
      <c r="BS108" s="304"/>
      <c r="BT108" s="304">
        <v>10</v>
      </c>
      <c r="BU108" s="304"/>
      <c r="BV108" s="304"/>
      <c r="BW108" s="304"/>
      <c r="BX108" s="304"/>
      <c r="BY108" s="305"/>
      <c r="BZ108" s="308"/>
      <c r="CA108" s="307"/>
      <c r="CB108" s="309">
        <v>1</v>
      </c>
      <c r="CC108" s="307"/>
      <c r="CD108" s="307"/>
      <c r="CE108" s="307"/>
      <c r="CF108" s="307"/>
      <c r="CG108" s="332"/>
      <c r="CH108" s="328"/>
      <c r="CI108" s="328"/>
      <c r="CJ108" s="328">
        <v>2</v>
      </c>
      <c r="CK108" s="328"/>
      <c r="CL108" s="328"/>
      <c r="CM108" s="328"/>
      <c r="CN108" s="370"/>
      <c r="CO108" s="367"/>
      <c r="CP108" s="367"/>
      <c r="CQ108" s="367">
        <v>10</v>
      </c>
      <c r="CR108" s="367"/>
      <c r="CS108" s="387"/>
      <c r="CT108" s="398"/>
      <c r="CU108" s="399"/>
      <c r="CV108" s="399"/>
      <c r="CW108" s="399"/>
      <c r="CX108" s="399">
        <v>1</v>
      </c>
      <c r="CY108" s="399"/>
      <c r="CZ108" s="399"/>
      <c r="DA108" s="400"/>
      <c r="DB108" s="522">
        <v>1</v>
      </c>
    </row>
    <row r="109" spans="1:106" x14ac:dyDescent="0.25">
      <c r="A109" s="468" t="s">
        <v>174</v>
      </c>
      <c r="B109" s="468">
        <v>801</v>
      </c>
      <c r="C109" s="468" t="s">
        <v>1911</v>
      </c>
      <c r="D109" s="468">
        <v>803</v>
      </c>
      <c r="E109" s="468" t="s">
        <v>1912</v>
      </c>
      <c r="F109" s="468" t="s">
        <v>3271</v>
      </c>
      <c r="G109" s="468" t="s">
        <v>1914</v>
      </c>
      <c r="H109" s="468" t="s">
        <v>1904</v>
      </c>
      <c r="I109" s="468" t="s">
        <v>179</v>
      </c>
      <c r="J109" s="468" t="s">
        <v>3269</v>
      </c>
      <c r="K109" s="468" t="s">
        <v>1915</v>
      </c>
      <c r="L109" s="468" t="s">
        <v>3737</v>
      </c>
      <c r="M109" s="468" t="s">
        <v>3739</v>
      </c>
      <c r="N109" s="460">
        <v>0</v>
      </c>
      <c r="O109" s="294"/>
      <c r="P109" s="294"/>
      <c r="Q109" s="294"/>
      <c r="R109" s="294"/>
      <c r="S109" s="295"/>
      <c r="T109" s="296">
        <v>0</v>
      </c>
      <c r="U109" s="297"/>
      <c r="V109" s="297"/>
      <c r="W109" s="297"/>
      <c r="X109" s="297"/>
      <c r="Y109" s="297"/>
      <c r="Z109" s="297"/>
      <c r="AA109" s="297"/>
      <c r="AB109" s="293">
        <v>0</v>
      </c>
      <c r="AC109" s="294"/>
      <c r="AD109" s="295"/>
      <c r="AE109" s="298"/>
      <c r="AF109" s="299"/>
      <c r="AG109" s="297"/>
      <c r="AH109" s="297">
        <v>1</v>
      </c>
      <c r="AI109" s="297"/>
      <c r="AJ109" s="297"/>
      <c r="AK109" s="297"/>
      <c r="AL109" s="297"/>
      <c r="AM109" s="297"/>
      <c r="AN109" s="300"/>
      <c r="AO109" s="301"/>
      <c r="AP109" s="301"/>
      <c r="AQ109" s="301"/>
      <c r="AR109" s="301"/>
      <c r="AS109" s="301"/>
      <c r="AT109" s="301"/>
      <c r="AU109" s="301"/>
      <c r="AV109" s="301"/>
      <c r="AW109" s="301"/>
      <c r="AX109" s="301"/>
      <c r="AY109" s="301"/>
      <c r="AZ109" s="301">
        <v>1500</v>
      </c>
      <c r="BA109" s="301"/>
      <c r="BB109" s="301"/>
      <c r="BC109" s="301"/>
      <c r="BD109" s="301"/>
      <c r="BE109" s="301"/>
      <c r="BF109" s="302"/>
      <c r="BG109" s="303"/>
      <c r="BH109" s="304"/>
      <c r="BI109" s="304"/>
      <c r="BJ109" s="304"/>
      <c r="BK109" s="304"/>
      <c r="BL109" s="304"/>
      <c r="BM109" s="304"/>
      <c r="BN109" s="304"/>
      <c r="BO109" s="304"/>
      <c r="BP109" s="304"/>
      <c r="BQ109" s="304"/>
      <c r="BR109" s="304"/>
      <c r="BS109" s="304">
        <v>10</v>
      </c>
      <c r="BT109" s="304"/>
      <c r="BU109" s="304"/>
      <c r="BV109" s="304"/>
      <c r="BW109" s="304"/>
      <c r="BX109" s="304"/>
      <c r="BY109" s="305"/>
      <c r="BZ109" s="308"/>
      <c r="CA109" s="307"/>
      <c r="CB109" s="309"/>
      <c r="CC109" s="307"/>
      <c r="CD109" s="307"/>
      <c r="CE109" s="307"/>
      <c r="CF109" s="307"/>
      <c r="CG109" s="332"/>
      <c r="CH109" s="328"/>
      <c r="CI109" s="328"/>
      <c r="CJ109" s="328">
        <v>2</v>
      </c>
      <c r="CK109" s="328"/>
      <c r="CL109" s="328"/>
      <c r="CM109" s="328"/>
      <c r="CN109" s="370"/>
      <c r="CO109" s="367"/>
      <c r="CP109" s="367"/>
      <c r="CQ109" s="367">
        <v>10</v>
      </c>
      <c r="CR109" s="367"/>
      <c r="CS109" s="387"/>
      <c r="CT109" s="398"/>
      <c r="CU109" s="399"/>
      <c r="CV109" s="399"/>
      <c r="CW109" s="399"/>
      <c r="CX109" s="399">
        <v>1</v>
      </c>
      <c r="CY109" s="399"/>
      <c r="CZ109" s="399"/>
      <c r="DA109" s="400"/>
      <c r="DB109" s="522">
        <v>1</v>
      </c>
    </row>
    <row r="110" spans="1:106" x14ac:dyDescent="0.25">
      <c r="A110" s="468" t="s">
        <v>174</v>
      </c>
      <c r="B110" s="468">
        <v>801</v>
      </c>
      <c r="C110" s="468" t="s">
        <v>3570</v>
      </c>
      <c r="D110" s="468">
        <v>1606</v>
      </c>
      <c r="E110" s="468" t="s">
        <v>1749</v>
      </c>
      <c r="F110" s="468" t="s">
        <v>1750</v>
      </c>
      <c r="G110" s="468" t="s">
        <v>1751</v>
      </c>
      <c r="H110" s="468" t="s">
        <v>240</v>
      </c>
      <c r="I110" s="468" t="s">
        <v>179</v>
      </c>
      <c r="J110" s="468" t="s">
        <v>3571</v>
      </c>
      <c r="K110" s="468" t="s">
        <v>1752</v>
      </c>
      <c r="L110" s="468" t="s">
        <v>3737</v>
      </c>
      <c r="M110" s="468" t="s">
        <v>3802</v>
      </c>
      <c r="N110" s="461"/>
      <c r="O110" s="294"/>
      <c r="P110" s="294"/>
      <c r="Q110" s="294"/>
      <c r="R110" s="294">
        <v>2</v>
      </c>
      <c r="S110" s="295"/>
      <c r="T110" s="296">
        <v>0</v>
      </c>
      <c r="U110" s="297"/>
      <c r="V110" s="297"/>
      <c r="W110" s="297"/>
      <c r="X110" s="297"/>
      <c r="Y110" s="297"/>
      <c r="Z110" s="297"/>
      <c r="AA110" s="297"/>
      <c r="AB110" s="293">
        <v>0</v>
      </c>
      <c r="AC110" s="294"/>
      <c r="AD110" s="295"/>
      <c r="AE110" s="298"/>
      <c r="AF110" s="296">
        <v>0</v>
      </c>
      <c r="AG110" s="297"/>
      <c r="AH110" s="297"/>
      <c r="AI110" s="297"/>
      <c r="AJ110" s="297"/>
      <c r="AK110" s="297"/>
      <c r="AL110" s="297"/>
      <c r="AM110" s="297"/>
      <c r="AN110" s="300"/>
      <c r="AO110" s="301"/>
      <c r="AP110" s="301"/>
      <c r="AQ110" s="301"/>
      <c r="AR110" s="301"/>
      <c r="AS110" s="301"/>
      <c r="AT110" s="301"/>
      <c r="AU110" s="301"/>
      <c r="AV110" s="301"/>
      <c r="AW110" s="301"/>
      <c r="AX110" s="301"/>
      <c r="AY110" s="301"/>
      <c r="AZ110" s="301"/>
      <c r="BA110" s="301">
        <v>1500</v>
      </c>
      <c r="BB110" s="301"/>
      <c r="BC110" s="301"/>
      <c r="BD110" s="301"/>
      <c r="BE110" s="301"/>
      <c r="BF110" s="302"/>
      <c r="BG110" s="303"/>
      <c r="BH110" s="304"/>
      <c r="BI110" s="304"/>
      <c r="BJ110" s="304"/>
      <c r="BK110" s="304"/>
      <c r="BL110" s="304"/>
      <c r="BM110" s="304"/>
      <c r="BN110" s="304"/>
      <c r="BO110" s="304"/>
      <c r="BP110" s="304"/>
      <c r="BQ110" s="304"/>
      <c r="BR110" s="304"/>
      <c r="BS110" s="304"/>
      <c r="BT110" s="304">
        <v>10</v>
      </c>
      <c r="BU110" s="304"/>
      <c r="BV110" s="304"/>
      <c r="BW110" s="304"/>
      <c r="BX110" s="304"/>
      <c r="BY110" s="305"/>
      <c r="BZ110" s="308"/>
      <c r="CA110" s="307"/>
      <c r="CB110" s="309"/>
      <c r="CC110" s="307"/>
      <c r="CD110" s="307"/>
      <c r="CE110" s="307"/>
      <c r="CF110" s="307"/>
      <c r="CG110" s="332"/>
      <c r="CH110" s="328"/>
      <c r="CI110" s="328"/>
      <c r="CJ110" s="328">
        <v>2</v>
      </c>
      <c r="CK110" s="328"/>
      <c r="CL110" s="328"/>
      <c r="CM110" s="328"/>
      <c r="CN110" s="370"/>
      <c r="CO110" s="367"/>
      <c r="CP110" s="367"/>
      <c r="CQ110" s="367">
        <v>10</v>
      </c>
      <c r="CR110" s="367"/>
      <c r="CS110" s="387"/>
      <c r="CT110" s="398"/>
      <c r="CU110" s="399"/>
      <c r="CV110" s="399"/>
      <c r="CW110" s="399"/>
      <c r="CX110" s="399">
        <v>1</v>
      </c>
      <c r="CY110" s="399"/>
      <c r="CZ110" s="399"/>
      <c r="DA110" s="400"/>
      <c r="DB110" s="522">
        <v>1</v>
      </c>
    </row>
    <row r="111" spans="1:106" x14ac:dyDescent="0.25">
      <c r="A111" s="468" t="s">
        <v>174</v>
      </c>
      <c r="B111" s="468">
        <v>800</v>
      </c>
      <c r="C111" s="468" t="s">
        <v>3572</v>
      </c>
      <c r="D111" s="468">
        <v>1607</v>
      </c>
      <c r="E111" s="468" t="s">
        <v>1753</v>
      </c>
      <c r="F111" s="468" t="s">
        <v>3045</v>
      </c>
      <c r="G111" s="468" t="s">
        <v>1755</v>
      </c>
      <c r="H111" s="468" t="s">
        <v>1019</v>
      </c>
      <c r="I111" s="468" t="s">
        <v>179</v>
      </c>
      <c r="J111" s="468" t="s">
        <v>3573</v>
      </c>
      <c r="K111" s="468" t="s">
        <v>1756</v>
      </c>
      <c r="L111" s="468" t="s">
        <v>3737</v>
      </c>
      <c r="M111" s="468" t="s">
        <v>3802</v>
      </c>
      <c r="N111" s="461"/>
      <c r="O111" s="294"/>
      <c r="P111" s="294"/>
      <c r="Q111" s="294"/>
      <c r="R111" s="294">
        <v>0</v>
      </c>
      <c r="S111" s="295"/>
      <c r="T111" s="299"/>
      <c r="U111" s="297"/>
      <c r="V111" s="297"/>
      <c r="W111" s="297">
        <v>1</v>
      </c>
      <c r="X111" s="297"/>
      <c r="Y111" s="297"/>
      <c r="Z111" s="297"/>
      <c r="AA111" s="297"/>
      <c r="AB111" s="293">
        <v>0</v>
      </c>
      <c r="AC111" s="294"/>
      <c r="AD111" s="295"/>
      <c r="AE111" s="298"/>
      <c r="AF111" s="296">
        <v>0</v>
      </c>
      <c r="AG111" s="297"/>
      <c r="AH111" s="297"/>
      <c r="AI111" s="297"/>
      <c r="AJ111" s="297"/>
      <c r="AK111" s="297"/>
      <c r="AL111" s="297"/>
      <c r="AM111" s="297"/>
      <c r="AN111" s="300"/>
      <c r="AO111" s="301"/>
      <c r="AP111" s="301"/>
      <c r="AQ111" s="301"/>
      <c r="AR111" s="301"/>
      <c r="AS111" s="301"/>
      <c r="AT111" s="301"/>
      <c r="AU111" s="301"/>
      <c r="AV111" s="301"/>
      <c r="AW111" s="301"/>
      <c r="AX111" s="301"/>
      <c r="AY111" s="301"/>
      <c r="AZ111" s="301"/>
      <c r="BA111" s="301">
        <v>1500</v>
      </c>
      <c r="BB111" s="301"/>
      <c r="BC111" s="301"/>
      <c r="BD111" s="301"/>
      <c r="BE111" s="301"/>
      <c r="BF111" s="302"/>
      <c r="BG111" s="303"/>
      <c r="BH111" s="304"/>
      <c r="BI111" s="304"/>
      <c r="BJ111" s="304"/>
      <c r="BK111" s="304"/>
      <c r="BL111" s="304"/>
      <c r="BM111" s="304"/>
      <c r="BN111" s="304"/>
      <c r="BO111" s="304"/>
      <c r="BP111" s="304"/>
      <c r="BQ111" s="304"/>
      <c r="BR111" s="304"/>
      <c r="BS111" s="304"/>
      <c r="BT111" s="304">
        <v>10</v>
      </c>
      <c r="BU111" s="304"/>
      <c r="BV111" s="304"/>
      <c r="BW111" s="304"/>
      <c r="BX111" s="304"/>
      <c r="BY111" s="305"/>
      <c r="BZ111" s="308"/>
      <c r="CA111" s="307"/>
      <c r="CB111" s="309"/>
      <c r="CC111" s="307"/>
      <c r="CD111" s="307"/>
      <c r="CE111" s="307"/>
      <c r="CF111" s="307"/>
      <c r="CG111" s="332"/>
      <c r="CH111" s="328"/>
      <c r="CI111" s="328"/>
      <c r="CJ111" s="328">
        <v>2</v>
      </c>
      <c r="CK111" s="328"/>
      <c r="CL111" s="328"/>
      <c r="CM111" s="328"/>
      <c r="CN111" s="370"/>
      <c r="CO111" s="367"/>
      <c r="CP111" s="367"/>
      <c r="CQ111" s="367">
        <v>10</v>
      </c>
      <c r="CR111" s="367"/>
      <c r="CS111" s="387"/>
      <c r="CT111" s="398"/>
      <c r="CU111" s="399"/>
      <c r="CV111" s="399"/>
      <c r="CW111" s="399"/>
      <c r="CX111" s="399">
        <v>1</v>
      </c>
      <c r="CY111" s="399"/>
      <c r="CZ111" s="399"/>
      <c r="DA111" s="400"/>
      <c r="DB111" s="522">
        <v>1</v>
      </c>
    </row>
    <row r="112" spans="1:106" x14ac:dyDescent="0.25">
      <c r="A112" s="468" t="s">
        <v>174</v>
      </c>
      <c r="B112" s="468">
        <v>801</v>
      </c>
      <c r="C112" s="468" t="s">
        <v>3574</v>
      </c>
      <c r="D112" s="468">
        <v>1609</v>
      </c>
      <c r="E112" s="468" t="s">
        <v>1757</v>
      </c>
      <c r="F112" s="468" t="s">
        <v>1800</v>
      </c>
      <c r="G112" s="468" t="s">
        <v>1758</v>
      </c>
      <c r="H112" s="468" t="s">
        <v>1759</v>
      </c>
      <c r="I112" s="468" t="s">
        <v>179</v>
      </c>
      <c r="J112" s="468" t="s">
        <v>3575</v>
      </c>
      <c r="K112" s="468" t="s">
        <v>1760</v>
      </c>
      <c r="L112" s="468" t="s">
        <v>3737</v>
      </c>
      <c r="M112" s="468" t="s">
        <v>3802</v>
      </c>
      <c r="N112" s="461"/>
      <c r="O112" s="294"/>
      <c r="P112" s="294"/>
      <c r="Q112" s="294"/>
      <c r="R112" s="294">
        <v>1</v>
      </c>
      <c r="S112" s="295"/>
      <c r="T112" s="299"/>
      <c r="U112" s="297"/>
      <c r="V112" s="297"/>
      <c r="W112" s="297">
        <v>0</v>
      </c>
      <c r="X112" s="297"/>
      <c r="Y112" s="297"/>
      <c r="Z112" s="297"/>
      <c r="AA112" s="297"/>
      <c r="AB112" s="293">
        <v>0</v>
      </c>
      <c r="AC112" s="294"/>
      <c r="AD112" s="295"/>
      <c r="AE112" s="298"/>
      <c r="AF112" s="296">
        <v>0</v>
      </c>
      <c r="AG112" s="297"/>
      <c r="AH112" s="297"/>
      <c r="AI112" s="297"/>
      <c r="AJ112" s="297"/>
      <c r="AK112" s="297"/>
      <c r="AL112" s="297"/>
      <c r="AM112" s="297"/>
      <c r="AN112" s="300"/>
      <c r="AO112" s="301"/>
      <c r="AP112" s="301"/>
      <c r="AQ112" s="301"/>
      <c r="AR112" s="301"/>
      <c r="AS112" s="301"/>
      <c r="AT112" s="301"/>
      <c r="AU112" s="301"/>
      <c r="AV112" s="301"/>
      <c r="AW112" s="301"/>
      <c r="AX112" s="301"/>
      <c r="AY112" s="301"/>
      <c r="AZ112" s="301"/>
      <c r="BA112" s="301">
        <v>1500</v>
      </c>
      <c r="BB112" s="301"/>
      <c r="BC112" s="301"/>
      <c r="BD112" s="301"/>
      <c r="BE112" s="301"/>
      <c r="BF112" s="302"/>
      <c r="BG112" s="303"/>
      <c r="BH112" s="304"/>
      <c r="BI112" s="304"/>
      <c r="BJ112" s="304"/>
      <c r="BK112" s="304"/>
      <c r="BL112" s="304"/>
      <c r="BM112" s="304"/>
      <c r="BN112" s="304"/>
      <c r="BO112" s="304"/>
      <c r="BP112" s="304"/>
      <c r="BQ112" s="304"/>
      <c r="BR112" s="304"/>
      <c r="BS112" s="304"/>
      <c r="BT112" s="304">
        <v>10</v>
      </c>
      <c r="BU112" s="304"/>
      <c r="BV112" s="304"/>
      <c r="BW112" s="304"/>
      <c r="BX112" s="304"/>
      <c r="BY112" s="305"/>
      <c r="BZ112" s="308"/>
      <c r="CA112" s="307"/>
      <c r="CB112" s="309"/>
      <c r="CC112" s="307"/>
      <c r="CD112" s="307"/>
      <c r="CE112" s="307"/>
      <c r="CF112" s="307"/>
      <c r="CG112" s="332"/>
      <c r="CH112" s="328"/>
      <c r="CI112" s="328"/>
      <c r="CJ112" s="328">
        <v>2</v>
      </c>
      <c r="CK112" s="328"/>
      <c r="CL112" s="328"/>
      <c r="CM112" s="328"/>
      <c r="CN112" s="370"/>
      <c r="CO112" s="367"/>
      <c r="CP112" s="367"/>
      <c r="CQ112" s="367">
        <v>10</v>
      </c>
      <c r="CR112" s="367"/>
      <c r="CS112" s="387"/>
      <c r="CT112" s="398"/>
      <c r="CU112" s="399"/>
      <c r="CV112" s="399"/>
      <c r="CW112" s="399"/>
      <c r="CX112" s="399">
        <v>1</v>
      </c>
      <c r="CY112" s="399"/>
      <c r="CZ112" s="399"/>
      <c r="DA112" s="400"/>
      <c r="DB112" s="522">
        <v>1</v>
      </c>
    </row>
    <row r="113" spans="1:106" x14ac:dyDescent="0.25">
      <c r="A113" s="468" t="s">
        <v>174</v>
      </c>
      <c r="B113" s="468">
        <v>801</v>
      </c>
      <c r="C113" s="468" t="s">
        <v>3581</v>
      </c>
      <c r="D113" s="468">
        <v>1613</v>
      </c>
      <c r="E113" s="468" t="s">
        <v>1775</v>
      </c>
      <c r="F113" s="468" t="s">
        <v>1776</v>
      </c>
      <c r="G113" s="468" t="s">
        <v>1777</v>
      </c>
      <c r="H113" s="468" t="s">
        <v>1778</v>
      </c>
      <c r="I113" s="468" t="s">
        <v>179</v>
      </c>
      <c r="J113" s="468" t="s">
        <v>3582</v>
      </c>
      <c r="K113" s="468" t="s">
        <v>1779</v>
      </c>
      <c r="L113" s="468" t="s">
        <v>3737</v>
      </c>
      <c r="M113" s="468" t="s">
        <v>3802</v>
      </c>
      <c r="N113" s="461"/>
      <c r="O113" s="294"/>
      <c r="P113" s="294"/>
      <c r="Q113" s="294"/>
      <c r="R113" s="294"/>
      <c r="S113" s="295"/>
      <c r="T113" s="299"/>
      <c r="U113" s="297"/>
      <c r="V113" s="297"/>
      <c r="W113" s="297">
        <v>1</v>
      </c>
      <c r="X113" s="297"/>
      <c r="Y113" s="297"/>
      <c r="Z113" s="297"/>
      <c r="AA113" s="297"/>
      <c r="AB113" s="293"/>
      <c r="AC113" s="294"/>
      <c r="AD113" s="295"/>
      <c r="AE113" s="298"/>
      <c r="AF113" s="296"/>
      <c r="AG113" s="297"/>
      <c r="AH113" s="297"/>
      <c r="AI113" s="297"/>
      <c r="AJ113" s="297"/>
      <c r="AK113" s="297"/>
      <c r="AL113" s="297"/>
      <c r="AM113" s="297"/>
      <c r="AN113" s="300"/>
      <c r="AO113" s="301"/>
      <c r="AP113" s="301"/>
      <c r="AQ113" s="301"/>
      <c r="AR113" s="301"/>
      <c r="AS113" s="301"/>
      <c r="AT113" s="301"/>
      <c r="AU113" s="301"/>
      <c r="AV113" s="301"/>
      <c r="AW113" s="301"/>
      <c r="AX113" s="301"/>
      <c r="AY113" s="301"/>
      <c r="AZ113" s="301"/>
      <c r="BA113" s="301">
        <v>1500</v>
      </c>
      <c r="BB113" s="301"/>
      <c r="BC113" s="301"/>
      <c r="BD113" s="301"/>
      <c r="BE113" s="301"/>
      <c r="BF113" s="302"/>
      <c r="BG113" s="303"/>
      <c r="BH113" s="304"/>
      <c r="BI113" s="304"/>
      <c r="BJ113" s="304"/>
      <c r="BK113" s="304"/>
      <c r="BL113" s="304"/>
      <c r="BM113" s="304"/>
      <c r="BN113" s="304"/>
      <c r="BO113" s="304"/>
      <c r="BP113" s="304"/>
      <c r="BQ113" s="304"/>
      <c r="BR113" s="304"/>
      <c r="BS113" s="304"/>
      <c r="BT113" s="304">
        <v>10</v>
      </c>
      <c r="BU113" s="304"/>
      <c r="BV113" s="304"/>
      <c r="BW113" s="304"/>
      <c r="BX113" s="304"/>
      <c r="BY113" s="305"/>
      <c r="BZ113" s="308"/>
      <c r="CA113" s="307"/>
      <c r="CB113" s="309"/>
      <c r="CC113" s="307"/>
      <c r="CD113" s="307"/>
      <c r="CE113" s="307"/>
      <c r="CF113" s="307"/>
      <c r="CG113" s="332"/>
      <c r="CH113" s="328"/>
      <c r="CI113" s="328"/>
      <c r="CJ113" s="328">
        <v>2</v>
      </c>
      <c r="CK113" s="328"/>
      <c r="CL113" s="328"/>
      <c r="CM113" s="328"/>
      <c r="CN113" s="370"/>
      <c r="CO113" s="367"/>
      <c r="CP113" s="367"/>
      <c r="CQ113" s="367">
        <v>10</v>
      </c>
      <c r="CR113" s="367"/>
      <c r="CS113" s="387"/>
      <c r="CT113" s="398"/>
      <c r="CU113" s="399"/>
      <c r="CV113" s="399"/>
      <c r="CW113" s="399"/>
      <c r="CX113" s="399">
        <v>1</v>
      </c>
      <c r="CY113" s="399"/>
      <c r="CZ113" s="399"/>
      <c r="DA113" s="400"/>
      <c r="DB113" s="522">
        <v>1</v>
      </c>
    </row>
    <row r="114" spans="1:106" x14ac:dyDescent="0.25">
      <c r="A114" s="468" t="s">
        <v>174</v>
      </c>
      <c r="B114" s="468">
        <v>801</v>
      </c>
      <c r="C114" s="468" t="s">
        <v>3583</v>
      </c>
      <c r="D114" s="468">
        <v>1614</v>
      </c>
      <c r="E114" s="468" t="s">
        <v>1780</v>
      </c>
      <c r="F114" s="468" t="s">
        <v>2979</v>
      </c>
      <c r="G114" s="468" t="s">
        <v>1782</v>
      </c>
      <c r="H114" s="468" t="s">
        <v>1783</v>
      </c>
      <c r="I114" s="468" t="s">
        <v>179</v>
      </c>
      <c r="J114" s="468" t="s">
        <v>3584</v>
      </c>
      <c r="K114" s="468" t="s">
        <v>1784</v>
      </c>
      <c r="L114" s="468" t="s">
        <v>3737</v>
      </c>
      <c r="M114" s="468" t="s">
        <v>3802</v>
      </c>
      <c r="N114" s="461"/>
      <c r="O114" s="294"/>
      <c r="P114" s="294"/>
      <c r="Q114" s="294"/>
      <c r="R114" s="294">
        <v>2</v>
      </c>
      <c r="S114" s="295"/>
      <c r="T114" s="299"/>
      <c r="U114" s="297"/>
      <c r="V114" s="297"/>
      <c r="W114" s="297">
        <v>0</v>
      </c>
      <c r="X114" s="297"/>
      <c r="Y114" s="297"/>
      <c r="Z114" s="297"/>
      <c r="AA114" s="297"/>
      <c r="AB114" s="293">
        <v>0</v>
      </c>
      <c r="AC114" s="294"/>
      <c r="AD114" s="295"/>
      <c r="AE114" s="298"/>
      <c r="AF114" s="296">
        <v>0</v>
      </c>
      <c r="AG114" s="297"/>
      <c r="AH114" s="297"/>
      <c r="AI114" s="297"/>
      <c r="AJ114" s="297"/>
      <c r="AK114" s="297"/>
      <c r="AL114" s="297"/>
      <c r="AM114" s="297"/>
      <c r="AN114" s="300"/>
      <c r="AO114" s="301"/>
      <c r="AP114" s="301"/>
      <c r="AQ114" s="301"/>
      <c r="AR114" s="301"/>
      <c r="AS114" s="301"/>
      <c r="AT114" s="301"/>
      <c r="AU114" s="301"/>
      <c r="AV114" s="301"/>
      <c r="AW114" s="301"/>
      <c r="AX114" s="301"/>
      <c r="AY114" s="301"/>
      <c r="AZ114" s="301"/>
      <c r="BA114" s="301">
        <v>1500</v>
      </c>
      <c r="BB114" s="301"/>
      <c r="BC114" s="301"/>
      <c r="BD114" s="301"/>
      <c r="BE114" s="301"/>
      <c r="BF114" s="302"/>
      <c r="BG114" s="303"/>
      <c r="BH114" s="304"/>
      <c r="BI114" s="304"/>
      <c r="BJ114" s="304"/>
      <c r="BK114" s="304"/>
      <c r="BL114" s="304"/>
      <c r="BM114" s="304"/>
      <c r="BN114" s="304"/>
      <c r="BO114" s="304"/>
      <c r="BP114" s="304"/>
      <c r="BQ114" s="304"/>
      <c r="BR114" s="304"/>
      <c r="BS114" s="304"/>
      <c r="BT114" s="304">
        <v>10</v>
      </c>
      <c r="BU114" s="304"/>
      <c r="BV114" s="304"/>
      <c r="BW114" s="304"/>
      <c r="BX114" s="304"/>
      <c r="BY114" s="305"/>
      <c r="BZ114" s="308"/>
      <c r="CA114" s="307"/>
      <c r="CB114" s="309"/>
      <c r="CC114" s="307"/>
      <c r="CD114" s="307"/>
      <c r="CE114" s="307"/>
      <c r="CF114" s="307"/>
      <c r="CG114" s="332"/>
      <c r="CH114" s="328"/>
      <c r="CI114" s="328"/>
      <c r="CJ114" s="328">
        <v>2</v>
      </c>
      <c r="CK114" s="328"/>
      <c r="CL114" s="328"/>
      <c r="CM114" s="328"/>
      <c r="CN114" s="370"/>
      <c r="CO114" s="367"/>
      <c r="CP114" s="367"/>
      <c r="CQ114" s="367">
        <v>10</v>
      </c>
      <c r="CR114" s="367"/>
      <c r="CS114" s="387"/>
      <c r="CT114" s="398"/>
      <c r="CU114" s="399"/>
      <c r="CV114" s="399"/>
      <c r="CW114" s="399"/>
      <c r="CX114" s="399">
        <v>1</v>
      </c>
      <c r="CY114" s="399"/>
      <c r="CZ114" s="399"/>
      <c r="DA114" s="400"/>
      <c r="DB114" s="522">
        <v>1</v>
      </c>
    </row>
    <row r="115" spans="1:106" x14ac:dyDescent="0.25">
      <c r="A115" s="468" t="s">
        <v>174</v>
      </c>
      <c r="B115" s="468">
        <v>801</v>
      </c>
      <c r="C115" s="468" t="s">
        <v>3585</v>
      </c>
      <c r="D115" s="468">
        <v>1615</v>
      </c>
      <c r="E115" s="468" t="s">
        <v>1785</v>
      </c>
      <c r="F115" s="468" t="s">
        <v>1786</v>
      </c>
      <c r="G115" s="468" t="s">
        <v>1787</v>
      </c>
      <c r="H115" s="468" t="s">
        <v>1019</v>
      </c>
      <c r="I115" s="468" t="s">
        <v>179</v>
      </c>
      <c r="J115" s="468" t="s">
        <v>3586</v>
      </c>
      <c r="K115" s="468" t="s">
        <v>1788</v>
      </c>
      <c r="L115" s="468" t="s">
        <v>3737</v>
      </c>
      <c r="M115" s="468" t="s">
        <v>3802</v>
      </c>
      <c r="N115" s="461"/>
      <c r="O115" s="294"/>
      <c r="P115" s="294"/>
      <c r="Q115" s="294"/>
      <c r="R115" s="294">
        <v>0</v>
      </c>
      <c r="S115" s="295"/>
      <c r="T115" s="299"/>
      <c r="U115" s="297"/>
      <c r="V115" s="297"/>
      <c r="W115" s="297">
        <v>2</v>
      </c>
      <c r="X115" s="297"/>
      <c r="Y115" s="297"/>
      <c r="Z115" s="297"/>
      <c r="AA115" s="297"/>
      <c r="AB115" s="293">
        <v>0</v>
      </c>
      <c r="AC115" s="294"/>
      <c r="AD115" s="295"/>
      <c r="AE115" s="298"/>
      <c r="AF115" s="296">
        <v>0</v>
      </c>
      <c r="AG115" s="297"/>
      <c r="AH115" s="297"/>
      <c r="AI115" s="297"/>
      <c r="AJ115" s="297"/>
      <c r="AK115" s="297"/>
      <c r="AL115" s="297"/>
      <c r="AM115" s="297"/>
      <c r="AN115" s="300"/>
      <c r="AO115" s="301"/>
      <c r="AP115" s="301"/>
      <c r="AQ115" s="301"/>
      <c r="AR115" s="301"/>
      <c r="AS115" s="301"/>
      <c r="AT115" s="301"/>
      <c r="AU115" s="301"/>
      <c r="AV115" s="301"/>
      <c r="AW115" s="301"/>
      <c r="AX115" s="301"/>
      <c r="AY115" s="301"/>
      <c r="AZ115" s="301"/>
      <c r="BA115" s="301">
        <v>1500</v>
      </c>
      <c r="BB115" s="301"/>
      <c r="BC115" s="301"/>
      <c r="BD115" s="301"/>
      <c r="BE115" s="301"/>
      <c r="BF115" s="302"/>
      <c r="BG115" s="303"/>
      <c r="BH115" s="304"/>
      <c r="BI115" s="304"/>
      <c r="BJ115" s="304"/>
      <c r="BK115" s="304"/>
      <c r="BL115" s="304"/>
      <c r="BM115" s="304"/>
      <c r="BN115" s="304"/>
      <c r="BO115" s="304"/>
      <c r="BP115" s="304"/>
      <c r="BQ115" s="304"/>
      <c r="BR115" s="304"/>
      <c r="BS115" s="304"/>
      <c r="BT115" s="304">
        <v>10</v>
      </c>
      <c r="BU115" s="304"/>
      <c r="BV115" s="304"/>
      <c r="BW115" s="304"/>
      <c r="BX115" s="304"/>
      <c r="BY115" s="305"/>
      <c r="BZ115" s="308"/>
      <c r="CA115" s="307"/>
      <c r="CB115" s="309"/>
      <c r="CC115" s="307"/>
      <c r="CD115" s="307"/>
      <c r="CE115" s="307"/>
      <c r="CF115" s="307"/>
      <c r="CG115" s="332"/>
      <c r="CH115" s="328"/>
      <c r="CI115" s="328"/>
      <c r="CJ115" s="328">
        <v>2</v>
      </c>
      <c r="CK115" s="328"/>
      <c r="CL115" s="328"/>
      <c r="CM115" s="328"/>
      <c r="CN115" s="370"/>
      <c r="CO115" s="367"/>
      <c r="CP115" s="367"/>
      <c r="CQ115" s="367">
        <v>10</v>
      </c>
      <c r="CR115" s="367"/>
      <c r="CS115" s="387"/>
      <c r="CT115" s="398"/>
      <c r="CU115" s="399"/>
      <c r="CV115" s="399"/>
      <c r="CW115" s="399"/>
      <c r="CX115" s="399">
        <v>1</v>
      </c>
      <c r="CY115" s="399"/>
      <c r="CZ115" s="399"/>
      <c r="DA115" s="400"/>
      <c r="DB115" s="522">
        <v>1</v>
      </c>
    </row>
    <row r="116" spans="1:106" x14ac:dyDescent="0.25">
      <c r="A116" s="468" t="s">
        <v>174</v>
      </c>
      <c r="B116" s="468">
        <v>801</v>
      </c>
      <c r="C116" s="468" t="s">
        <v>3589</v>
      </c>
      <c r="D116" s="468">
        <v>1619</v>
      </c>
      <c r="E116" s="468" t="s">
        <v>1794</v>
      </c>
      <c r="F116" s="468" t="s">
        <v>1795</v>
      </c>
      <c r="G116" s="468" t="s">
        <v>1796</v>
      </c>
      <c r="H116" s="468" t="s">
        <v>1797</v>
      </c>
      <c r="I116" s="468" t="s">
        <v>179</v>
      </c>
      <c r="J116" s="468" t="s">
        <v>3590</v>
      </c>
      <c r="K116" s="468" t="s">
        <v>1798</v>
      </c>
      <c r="L116" s="468" t="s">
        <v>3737</v>
      </c>
      <c r="M116" s="468" t="s">
        <v>3802</v>
      </c>
      <c r="N116" s="461"/>
      <c r="O116" s="294"/>
      <c r="P116" s="294"/>
      <c r="Q116" s="294"/>
      <c r="R116" s="294">
        <v>0</v>
      </c>
      <c r="S116" s="295"/>
      <c r="T116" s="299"/>
      <c r="U116" s="297"/>
      <c r="V116" s="297"/>
      <c r="W116" s="297">
        <v>2</v>
      </c>
      <c r="X116" s="297"/>
      <c r="Y116" s="297"/>
      <c r="Z116" s="297"/>
      <c r="AA116" s="297"/>
      <c r="AB116" s="293">
        <v>0</v>
      </c>
      <c r="AC116" s="294"/>
      <c r="AD116" s="295"/>
      <c r="AE116" s="298"/>
      <c r="AF116" s="296">
        <v>0</v>
      </c>
      <c r="AG116" s="297"/>
      <c r="AH116" s="297"/>
      <c r="AI116" s="297"/>
      <c r="AJ116" s="297"/>
      <c r="AK116" s="297"/>
      <c r="AL116" s="297"/>
      <c r="AM116" s="297"/>
      <c r="AN116" s="300"/>
      <c r="AO116" s="301"/>
      <c r="AP116" s="301"/>
      <c r="AQ116" s="301"/>
      <c r="AR116" s="301"/>
      <c r="AS116" s="301"/>
      <c r="AT116" s="301"/>
      <c r="AU116" s="301"/>
      <c r="AV116" s="301"/>
      <c r="AW116" s="301"/>
      <c r="AX116" s="301"/>
      <c r="AY116" s="301"/>
      <c r="AZ116" s="301"/>
      <c r="BA116" s="301">
        <v>1500</v>
      </c>
      <c r="BB116" s="301"/>
      <c r="BC116" s="301"/>
      <c r="BD116" s="301"/>
      <c r="BE116" s="301"/>
      <c r="BF116" s="302"/>
      <c r="BG116" s="303"/>
      <c r="BH116" s="304"/>
      <c r="BI116" s="304"/>
      <c r="BJ116" s="304"/>
      <c r="BK116" s="304"/>
      <c r="BL116" s="304"/>
      <c r="BM116" s="304"/>
      <c r="BN116" s="304"/>
      <c r="BO116" s="304"/>
      <c r="BP116" s="304"/>
      <c r="BQ116" s="304"/>
      <c r="BR116" s="304"/>
      <c r="BS116" s="304"/>
      <c r="BT116" s="304">
        <v>10</v>
      </c>
      <c r="BU116" s="304"/>
      <c r="BV116" s="304"/>
      <c r="BW116" s="304"/>
      <c r="BX116" s="304"/>
      <c r="BY116" s="305"/>
      <c r="BZ116" s="308"/>
      <c r="CA116" s="307"/>
      <c r="CB116" s="309"/>
      <c r="CC116" s="307"/>
      <c r="CD116" s="307"/>
      <c r="CE116" s="307"/>
      <c r="CF116" s="307"/>
      <c r="CG116" s="332"/>
      <c r="CH116" s="328"/>
      <c r="CI116" s="328"/>
      <c r="CJ116" s="328">
        <v>2</v>
      </c>
      <c r="CK116" s="328"/>
      <c r="CL116" s="328"/>
      <c r="CM116" s="328"/>
      <c r="CN116" s="370"/>
      <c r="CO116" s="367"/>
      <c r="CP116" s="367"/>
      <c r="CQ116" s="367">
        <v>10</v>
      </c>
      <c r="CR116" s="367"/>
      <c r="CS116" s="387"/>
      <c r="CT116" s="398"/>
      <c r="CU116" s="399"/>
      <c r="CV116" s="399"/>
      <c r="CW116" s="399"/>
      <c r="CX116" s="399">
        <v>1</v>
      </c>
      <c r="CY116" s="399"/>
      <c r="CZ116" s="399"/>
      <c r="DA116" s="400"/>
      <c r="DB116" s="522">
        <v>1</v>
      </c>
    </row>
    <row r="117" spans="1:106" x14ac:dyDescent="0.25">
      <c r="A117" s="468" t="s">
        <v>174</v>
      </c>
      <c r="B117" s="468">
        <v>801</v>
      </c>
      <c r="C117" s="468" t="s">
        <v>3591</v>
      </c>
      <c r="D117" s="468">
        <v>1622</v>
      </c>
      <c r="E117" s="468" t="s">
        <v>1799</v>
      </c>
      <c r="F117" s="468" t="s">
        <v>3046</v>
      </c>
      <c r="G117" s="468" t="s">
        <v>1801</v>
      </c>
      <c r="H117" s="468" t="s">
        <v>1802</v>
      </c>
      <c r="I117" s="468" t="s">
        <v>179</v>
      </c>
      <c r="J117" s="468" t="s">
        <v>3592</v>
      </c>
      <c r="K117" s="468" t="s">
        <v>1803</v>
      </c>
      <c r="L117" s="468" t="s">
        <v>3737</v>
      </c>
      <c r="M117" s="468" t="s">
        <v>3802</v>
      </c>
      <c r="N117" s="461"/>
      <c r="O117" s="294"/>
      <c r="P117" s="294"/>
      <c r="Q117" s="294"/>
      <c r="R117" s="294">
        <v>0</v>
      </c>
      <c r="S117" s="295"/>
      <c r="T117" s="299"/>
      <c r="U117" s="297"/>
      <c r="V117" s="297"/>
      <c r="W117" s="297">
        <v>2</v>
      </c>
      <c r="X117" s="297"/>
      <c r="Y117" s="297"/>
      <c r="Z117" s="297"/>
      <c r="AA117" s="297"/>
      <c r="AB117" s="293">
        <v>0</v>
      </c>
      <c r="AC117" s="294"/>
      <c r="AD117" s="295"/>
      <c r="AE117" s="298"/>
      <c r="AF117" s="296">
        <v>0</v>
      </c>
      <c r="AG117" s="297"/>
      <c r="AH117" s="297"/>
      <c r="AI117" s="297"/>
      <c r="AJ117" s="297"/>
      <c r="AK117" s="297"/>
      <c r="AL117" s="297"/>
      <c r="AM117" s="297"/>
      <c r="AN117" s="300"/>
      <c r="AO117" s="301"/>
      <c r="AP117" s="301"/>
      <c r="AQ117" s="301"/>
      <c r="AR117" s="301"/>
      <c r="AS117" s="301"/>
      <c r="AT117" s="301"/>
      <c r="AU117" s="301"/>
      <c r="AV117" s="301"/>
      <c r="AW117" s="301"/>
      <c r="AX117" s="301"/>
      <c r="AY117" s="301"/>
      <c r="AZ117" s="301"/>
      <c r="BA117" s="301">
        <v>1500</v>
      </c>
      <c r="BB117" s="301"/>
      <c r="BC117" s="301"/>
      <c r="BD117" s="301"/>
      <c r="BE117" s="301"/>
      <c r="BF117" s="302"/>
      <c r="BG117" s="303"/>
      <c r="BH117" s="304"/>
      <c r="BI117" s="304"/>
      <c r="BJ117" s="304"/>
      <c r="BK117" s="304"/>
      <c r="BL117" s="304"/>
      <c r="BM117" s="304"/>
      <c r="BN117" s="304"/>
      <c r="BO117" s="304"/>
      <c r="BP117" s="304"/>
      <c r="BQ117" s="304"/>
      <c r="BR117" s="304"/>
      <c r="BS117" s="304"/>
      <c r="BT117" s="304">
        <v>10</v>
      </c>
      <c r="BU117" s="304"/>
      <c r="BV117" s="304"/>
      <c r="BW117" s="304"/>
      <c r="BX117" s="304"/>
      <c r="BY117" s="305"/>
      <c r="BZ117" s="308"/>
      <c r="CA117" s="307"/>
      <c r="CB117" s="309"/>
      <c r="CC117" s="307"/>
      <c r="CD117" s="307"/>
      <c r="CE117" s="307"/>
      <c r="CF117" s="307"/>
      <c r="CG117" s="332"/>
      <c r="CH117" s="328"/>
      <c r="CI117" s="328"/>
      <c r="CJ117" s="328">
        <v>2</v>
      </c>
      <c r="CK117" s="328"/>
      <c r="CL117" s="328"/>
      <c r="CM117" s="328"/>
      <c r="CN117" s="370"/>
      <c r="CO117" s="367"/>
      <c r="CP117" s="367"/>
      <c r="CQ117" s="367">
        <v>10</v>
      </c>
      <c r="CR117" s="367"/>
      <c r="CS117" s="387"/>
      <c r="CT117" s="398"/>
      <c r="CU117" s="399"/>
      <c r="CV117" s="399"/>
      <c r="CW117" s="399"/>
      <c r="CX117" s="399">
        <v>1</v>
      </c>
      <c r="CY117" s="399"/>
      <c r="CZ117" s="399"/>
      <c r="DA117" s="400"/>
      <c r="DB117" s="522">
        <v>1</v>
      </c>
    </row>
    <row r="118" spans="1:106" x14ac:dyDescent="0.25">
      <c r="A118" s="468" t="s">
        <v>174</v>
      </c>
      <c r="B118" s="468">
        <v>801</v>
      </c>
      <c r="C118" s="468" t="s">
        <v>3698</v>
      </c>
      <c r="D118" s="468">
        <v>2561</v>
      </c>
      <c r="E118" s="468" t="s">
        <v>1804</v>
      </c>
      <c r="F118" s="468" t="s">
        <v>1805</v>
      </c>
      <c r="G118" s="468" t="s">
        <v>1806</v>
      </c>
      <c r="H118" s="468" t="s">
        <v>1807</v>
      </c>
      <c r="I118" s="468" t="s">
        <v>179</v>
      </c>
      <c r="J118" s="468" t="s">
        <v>3699</v>
      </c>
      <c r="K118" s="468" t="s">
        <v>1808</v>
      </c>
      <c r="L118" s="468" t="s">
        <v>3737</v>
      </c>
      <c r="M118" s="468" t="s">
        <v>3802</v>
      </c>
      <c r="N118" s="461"/>
      <c r="O118" s="294"/>
      <c r="P118" s="294"/>
      <c r="Q118" s="294"/>
      <c r="R118" s="294">
        <v>0</v>
      </c>
      <c r="S118" s="295"/>
      <c r="T118" s="296">
        <v>0</v>
      </c>
      <c r="U118" s="297"/>
      <c r="V118" s="297"/>
      <c r="W118" s="297"/>
      <c r="X118" s="297"/>
      <c r="Y118" s="297"/>
      <c r="Z118" s="297"/>
      <c r="AA118" s="297"/>
      <c r="AB118" s="293">
        <v>0</v>
      </c>
      <c r="AC118" s="294"/>
      <c r="AD118" s="295"/>
      <c r="AE118" s="298"/>
      <c r="AF118" s="296">
        <v>0</v>
      </c>
      <c r="AG118" s="297"/>
      <c r="AH118" s="297"/>
      <c r="AI118" s="297"/>
      <c r="AJ118" s="297"/>
      <c r="AK118" s="297"/>
      <c r="AL118" s="297"/>
      <c r="AM118" s="297"/>
      <c r="AN118" s="300"/>
      <c r="AO118" s="301"/>
      <c r="AP118" s="301"/>
      <c r="AQ118" s="301"/>
      <c r="AR118" s="301"/>
      <c r="AS118" s="301"/>
      <c r="AT118" s="301"/>
      <c r="AU118" s="301"/>
      <c r="AV118" s="301"/>
      <c r="AW118" s="301"/>
      <c r="AX118" s="301"/>
      <c r="AY118" s="301"/>
      <c r="AZ118" s="301"/>
      <c r="BA118" s="301">
        <v>1500</v>
      </c>
      <c r="BB118" s="301"/>
      <c r="BC118" s="301"/>
      <c r="BD118" s="301"/>
      <c r="BE118" s="301"/>
      <c r="BF118" s="302"/>
      <c r="BG118" s="303"/>
      <c r="BH118" s="304"/>
      <c r="BI118" s="304"/>
      <c r="BJ118" s="304"/>
      <c r="BK118" s="304"/>
      <c r="BL118" s="304"/>
      <c r="BM118" s="304"/>
      <c r="BN118" s="304"/>
      <c r="BO118" s="304"/>
      <c r="BP118" s="304"/>
      <c r="BQ118" s="304"/>
      <c r="BR118" s="304"/>
      <c r="BS118" s="304"/>
      <c r="BT118" s="304">
        <v>10</v>
      </c>
      <c r="BU118" s="304"/>
      <c r="BV118" s="304"/>
      <c r="BW118" s="304"/>
      <c r="BX118" s="304"/>
      <c r="BY118" s="305"/>
      <c r="BZ118" s="308"/>
      <c r="CA118" s="307"/>
      <c r="CB118" s="309">
        <v>1</v>
      </c>
      <c r="CC118" s="307"/>
      <c r="CD118" s="307"/>
      <c r="CE118" s="307"/>
      <c r="CF118" s="307"/>
      <c r="CG118" s="332"/>
      <c r="CH118" s="328"/>
      <c r="CI118" s="328"/>
      <c r="CJ118" s="328">
        <v>2</v>
      </c>
      <c r="CK118" s="328"/>
      <c r="CL118" s="328"/>
      <c r="CM118" s="328"/>
      <c r="CN118" s="370"/>
      <c r="CO118" s="367"/>
      <c r="CP118" s="367"/>
      <c r="CQ118" s="367">
        <v>10</v>
      </c>
      <c r="CR118" s="367"/>
      <c r="CS118" s="387"/>
      <c r="CT118" s="398"/>
      <c r="CU118" s="399"/>
      <c r="CV118" s="399"/>
      <c r="CW118" s="399"/>
      <c r="CX118" s="399">
        <v>1</v>
      </c>
      <c r="CY118" s="399"/>
      <c r="CZ118" s="399"/>
      <c r="DA118" s="400"/>
      <c r="DB118" s="522">
        <v>1</v>
      </c>
    </row>
    <row r="119" spans="1:106" x14ac:dyDescent="0.25">
      <c r="A119" s="468" t="s">
        <v>174</v>
      </c>
      <c r="B119" s="468">
        <v>801</v>
      </c>
      <c r="C119" s="468" t="s">
        <v>3703</v>
      </c>
      <c r="D119" s="468">
        <v>2568</v>
      </c>
      <c r="E119" s="468" t="s">
        <v>1809</v>
      </c>
      <c r="F119" s="468" t="s">
        <v>1810</v>
      </c>
      <c r="G119" s="468" t="s">
        <v>1811</v>
      </c>
      <c r="H119" s="468" t="s">
        <v>1812</v>
      </c>
      <c r="I119" s="468" t="s">
        <v>179</v>
      </c>
      <c r="J119" s="468" t="s">
        <v>3187</v>
      </c>
      <c r="K119" s="468" t="s">
        <v>1813</v>
      </c>
      <c r="L119" s="468" t="s">
        <v>3737</v>
      </c>
      <c r="M119" s="468" t="s">
        <v>3802</v>
      </c>
      <c r="N119" s="461"/>
      <c r="O119" s="294"/>
      <c r="P119" s="294"/>
      <c r="Q119" s="294"/>
      <c r="R119" s="294">
        <v>1</v>
      </c>
      <c r="S119" s="295"/>
      <c r="T119" s="296">
        <v>0</v>
      </c>
      <c r="U119" s="297"/>
      <c r="V119" s="297"/>
      <c r="W119" s="297"/>
      <c r="X119" s="297"/>
      <c r="Y119" s="297"/>
      <c r="Z119" s="297"/>
      <c r="AA119" s="297"/>
      <c r="AB119" s="293">
        <v>0</v>
      </c>
      <c r="AC119" s="294"/>
      <c r="AD119" s="295"/>
      <c r="AE119" s="298"/>
      <c r="AF119" s="296">
        <v>0</v>
      </c>
      <c r="AG119" s="297"/>
      <c r="AH119" s="297"/>
      <c r="AI119" s="297"/>
      <c r="AJ119" s="297"/>
      <c r="AK119" s="297"/>
      <c r="AL119" s="297"/>
      <c r="AM119" s="297"/>
      <c r="AN119" s="300"/>
      <c r="AO119" s="301"/>
      <c r="AP119" s="301"/>
      <c r="AQ119" s="301"/>
      <c r="AR119" s="301"/>
      <c r="AS119" s="301"/>
      <c r="AT119" s="301"/>
      <c r="AU119" s="301"/>
      <c r="AV119" s="301"/>
      <c r="AW119" s="301"/>
      <c r="AX119" s="301"/>
      <c r="AY119" s="301"/>
      <c r="AZ119" s="301"/>
      <c r="BA119" s="301">
        <v>1500</v>
      </c>
      <c r="BB119" s="301"/>
      <c r="BC119" s="301"/>
      <c r="BD119" s="301"/>
      <c r="BE119" s="301"/>
      <c r="BF119" s="302"/>
      <c r="BG119" s="303"/>
      <c r="BH119" s="304"/>
      <c r="BI119" s="304"/>
      <c r="BJ119" s="304"/>
      <c r="BK119" s="304"/>
      <c r="BL119" s="304"/>
      <c r="BM119" s="304"/>
      <c r="BN119" s="304"/>
      <c r="BO119" s="304"/>
      <c r="BP119" s="304"/>
      <c r="BQ119" s="304"/>
      <c r="BR119" s="304"/>
      <c r="BS119" s="304"/>
      <c r="BT119" s="304">
        <v>10</v>
      </c>
      <c r="BU119" s="304"/>
      <c r="BV119" s="304"/>
      <c r="BW119" s="304"/>
      <c r="BX119" s="304"/>
      <c r="BY119" s="305"/>
      <c r="BZ119" s="308"/>
      <c r="CA119" s="307"/>
      <c r="CB119" s="309"/>
      <c r="CC119" s="307"/>
      <c r="CD119" s="307"/>
      <c r="CE119" s="307"/>
      <c r="CF119" s="307"/>
      <c r="CG119" s="332"/>
      <c r="CH119" s="328"/>
      <c r="CI119" s="328"/>
      <c r="CJ119" s="328">
        <v>2</v>
      </c>
      <c r="CK119" s="328"/>
      <c r="CL119" s="328"/>
      <c r="CM119" s="328"/>
      <c r="CN119" s="370"/>
      <c r="CO119" s="367"/>
      <c r="CP119" s="367"/>
      <c r="CQ119" s="367">
        <v>10</v>
      </c>
      <c r="CR119" s="367"/>
      <c r="CS119" s="387"/>
      <c r="CT119" s="398"/>
      <c r="CU119" s="399"/>
      <c r="CV119" s="399"/>
      <c r="CW119" s="399"/>
      <c r="CX119" s="399">
        <v>1</v>
      </c>
      <c r="CY119" s="399"/>
      <c r="CZ119" s="399"/>
      <c r="DA119" s="400"/>
      <c r="DB119" s="522">
        <v>1</v>
      </c>
    </row>
    <row r="120" spans="1:106" x14ac:dyDescent="0.25">
      <c r="A120" s="468" t="s">
        <v>174</v>
      </c>
      <c r="B120" s="468">
        <v>801</v>
      </c>
      <c r="C120" s="468" t="s">
        <v>3706</v>
      </c>
      <c r="D120" s="468">
        <v>2580</v>
      </c>
      <c r="E120" s="468" t="s">
        <v>1814</v>
      </c>
      <c r="F120" s="468" t="s">
        <v>1815</v>
      </c>
      <c r="G120" s="468" t="s">
        <v>1816</v>
      </c>
      <c r="H120" s="468" t="s">
        <v>1817</v>
      </c>
      <c r="I120" s="468" t="s">
        <v>145</v>
      </c>
      <c r="J120" s="468" t="s">
        <v>3707</v>
      </c>
      <c r="K120" s="468" t="s">
        <v>1818</v>
      </c>
      <c r="L120" s="468" t="s">
        <v>3737</v>
      </c>
      <c r="M120" s="468" t="s">
        <v>3802</v>
      </c>
      <c r="N120" s="460">
        <v>0</v>
      </c>
      <c r="O120" s="294"/>
      <c r="P120" s="294"/>
      <c r="Q120" s="294"/>
      <c r="R120" s="294"/>
      <c r="S120" s="295"/>
      <c r="T120" s="296">
        <v>0</v>
      </c>
      <c r="U120" s="297"/>
      <c r="V120" s="297"/>
      <c r="W120" s="297"/>
      <c r="X120" s="297"/>
      <c r="Y120" s="297"/>
      <c r="Z120" s="297"/>
      <c r="AA120" s="297"/>
      <c r="AB120" s="293">
        <v>0</v>
      </c>
      <c r="AC120" s="294"/>
      <c r="AD120" s="295"/>
      <c r="AE120" s="298"/>
      <c r="AF120" s="296">
        <v>0</v>
      </c>
      <c r="AG120" s="297"/>
      <c r="AH120" s="297"/>
      <c r="AI120" s="297"/>
      <c r="AJ120" s="297"/>
      <c r="AK120" s="297"/>
      <c r="AL120" s="297"/>
      <c r="AM120" s="297"/>
      <c r="AN120" s="300"/>
      <c r="AO120" s="301"/>
      <c r="AP120" s="301"/>
      <c r="AQ120" s="301"/>
      <c r="AR120" s="301"/>
      <c r="AS120" s="301"/>
      <c r="AT120" s="301"/>
      <c r="AU120" s="301"/>
      <c r="AV120" s="301"/>
      <c r="AW120" s="301"/>
      <c r="AX120" s="301"/>
      <c r="AY120" s="301"/>
      <c r="AZ120" s="301"/>
      <c r="BA120" s="301">
        <v>1500</v>
      </c>
      <c r="BB120" s="301"/>
      <c r="BC120" s="301"/>
      <c r="BD120" s="301"/>
      <c r="BE120" s="301"/>
      <c r="BF120" s="302"/>
      <c r="BG120" s="303"/>
      <c r="BH120" s="304"/>
      <c r="BI120" s="304"/>
      <c r="BJ120" s="304"/>
      <c r="BK120" s="304"/>
      <c r="BL120" s="304"/>
      <c r="BM120" s="304"/>
      <c r="BN120" s="304"/>
      <c r="BO120" s="304"/>
      <c r="BP120" s="304"/>
      <c r="BQ120" s="304"/>
      <c r="BR120" s="304"/>
      <c r="BS120" s="304"/>
      <c r="BT120" s="304">
        <v>10</v>
      </c>
      <c r="BU120" s="304"/>
      <c r="BV120" s="304"/>
      <c r="BW120" s="304"/>
      <c r="BX120" s="304"/>
      <c r="BY120" s="305"/>
      <c r="BZ120" s="308"/>
      <c r="CA120" s="307"/>
      <c r="CB120" s="309">
        <v>1</v>
      </c>
      <c r="CC120" s="307"/>
      <c r="CD120" s="307"/>
      <c r="CE120" s="307"/>
      <c r="CF120" s="307"/>
      <c r="CG120" s="332"/>
      <c r="CH120" s="328"/>
      <c r="CI120" s="328"/>
      <c r="CJ120" s="328">
        <v>2</v>
      </c>
      <c r="CK120" s="328"/>
      <c r="CL120" s="328"/>
      <c r="CM120" s="328"/>
      <c r="CN120" s="370"/>
      <c r="CO120" s="367"/>
      <c r="CP120" s="367"/>
      <c r="CQ120" s="367">
        <v>10</v>
      </c>
      <c r="CR120" s="367"/>
      <c r="CS120" s="387"/>
      <c r="CT120" s="398"/>
      <c r="CU120" s="399"/>
      <c r="CV120" s="399"/>
      <c r="CW120" s="399"/>
      <c r="CX120" s="399">
        <v>1</v>
      </c>
      <c r="CY120" s="399"/>
      <c r="CZ120" s="399"/>
      <c r="DA120" s="400"/>
      <c r="DB120" s="522">
        <v>1</v>
      </c>
    </row>
    <row r="121" spans="1:106" x14ac:dyDescent="0.25">
      <c r="A121" s="468" t="s">
        <v>194</v>
      </c>
      <c r="B121" s="468">
        <v>801</v>
      </c>
      <c r="C121" s="468" t="s">
        <v>1929</v>
      </c>
      <c r="D121" s="468">
        <v>751</v>
      </c>
      <c r="E121" s="468" t="s">
        <v>1930</v>
      </c>
      <c r="F121" s="468" t="s">
        <v>1931</v>
      </c>
      <c r="G121" s="468" t="s">
        <v>1932</v>
      </c>
      <c r="H121" s="468" t="s">
        <v>198</v>
      </c>
      <c r="I121" s="468" t="s">
        <v>199</v>
      </c>
      <c r="J121" s="468" t="s">
        <v>3267</v>
      </c>
      <c r="K121" s="468" t="s">
        <v>1933</v>
      </c>
      <c r="L121" s="468" t="s">
        <v>3766</v>
      </c>
      <c r="M121" s="468" t="s">
        <v>4016</v>
      </c>
      <c r="N121" s="460">
        <v>0</v>
      </c>
      <c r="O121" s="294"/>
      <c r="P121" s="294"/>
      <c r="Q121" s="294"/>
      <c r="R121" s="294"/>
      <c r="S121" s="295"/>
      <c r="T121" s="299"/>
      <c r="U121" s="297"/>
      <c r="V121" s="297"/>
      <c r="W121" s="297"/>
      <c r="X121" s="297"/>
      <c r="Y121" s="297"/>
      <c r="Z121" s="297">
        <v>1</v>
      </c>
      <c r="AA121" s="297"/>
      <c r="AB121" s="293">
        <v>0</v>
      </c>
      <c r="AC121" s="294"/>
      <c r="AD121" s="295"/>
      <c r="AE121" s="298"/>
      <c r="AF121" s="296">
        <v>0</v>
      </c>
      <c r="AG121" s="297"/>
      <c r="AH121" s="297"/>
      <c r="AI121" s="297"/>
      <c r="AJ121" s="297"/>
      <c r="AK121" s="297"/>
      <c r="AL121" s="297"/>
      <c r="AM121" s="297"/>
      <c r="AN121" s="300"/>
      <c r="AO121" s="301"/>
      <c r="AP121" s="301"/>
      <c r="AQ121" s="301"/>
      <c r="AR121" s="301"/>
      <c r="AS121" s="301">
        <v>1500</v>
      </c>
      <c r="AT121" s="301"/>
      <c r="AU121" s="301"/>
      <c r="AV121" s="301"/>
      <c r="AW121" s="301"/>
      <c r="AX121" s="301"/>
      <c r="AY121" s="301"/>
      <c r="AZ121" s="301"/>
      <c r="BA121" s="301"/>
      <c r="BB121" s="301"/>
      <c r="BC121" s="301"/>
      <c r="BD121" s="301"/>
      <c r="BE121" s="301"/>
      <c r="BF121" s="302"/>
      <c r="BG121" s="303"/>
      <c r="BH121" s="304"/>
      <c r="BI121" s="304"/>
      <c r="BJ121" s="304"/>
      <c r="BK121" s="304"/>
      <c r="BL121" s="304">
        <v>10</v>
      </c>
      <c r="BM121" s="304"/>
      <c r="BN121" s="304"/>
      <c r="BO121" s="304"/>
      <c r="BP121" s="304"/>
      <c r="BQ121" s="304"/>
      <c r="BR121" s="304"/>
      <c r="BS121" s="304"/>
      <c r="BT121" s="304"/>
      <c r="BU121" s="304"/>
      <c r="BV121" s="304"/>
      <c r="BW121" s="304"/>
      <c r="BX121" s="304"/>
      <c r="BY121" s="305"/>
      <c r="BZ121" s="306"/>
      <c r="CA121" s="307"/>
      <c r="CB121" s="307"/>
      <c r="CC121" s="307"/>
      <c r="CD121" s="307"/>
      <c r="CE121" s="307"/>
      <c r="CF121" s="307"/>
      <c r="CG121" s="332"/>
      <c r="CH121" s="328"/>
      <c r="CI121" s="328"/>
      <c r="CJ121" s="328"/>
      <c r="CK121" s="328"/>
      <c r="CL121" s="328">
        <v>2</v>
      </c>
      <c r="CM121" s="328"/>
      <c r="CN121" s="370"/>
      <c r="CO121" s="367"/>
      <c r="CP121" s="367"/>
      <c r="CQ121" s="367"/>
      <c r="CR121" s="367"/>
      <c r="CS121" s="387">
        <v>10</v>
      </c>
      <c r="CT121" s="398"/>
      <c r="CU121" s="399"/>
      <c r="CV121" s="399"/>
      <c r="CW121" s="399"/>
      <c r="CX121" s="399"/>
      <c r="CY121" s="399"/>
      <c r="CZ121" s="399">
        <v>1</v>
      </c>
      <c r="DA121" s="400"/>
      <c r="DB121" s="522">
        <v>1</v>
      </c>
    </row>
    <row r="122" spans="1:106" x14ac:dyDescent="0.25">
      <c r="A122" s="468" t="s">
        <v>194</v>
      </c>
      <c r="B122" s="468">
        <v>801</v>
      </c>
      <c r="C122" s="468" t="s">
        <v>195</v>
      </c>
      <c r="D122" s="468">
        <v>752</v>
      </c>
      <c r="E122" s="468" t="s">
        <v>196</v>
      </c>
      <c r="F122" s="468" t="s">
        <v>1934</v>
      </c>
      <c r="G122" s="468" t="s">
        <v>197</v>
      </c>
      <c r="H122" s="468" t="s">
        <v>198</v>
      </c>
      <c r="I122" s="468" t="s">
        <v>199</v>
      </c>
      <c r="J122" s="468" t="s">
        <v>3267</v>
      </c>
      <c r="K122" s="468" t="s">
        <v>200</v>
      </c>
      <c r="L122" s="468" t="s">
        <v>3766</v>
      </c>
      <c r="M122" s="468" t="s">
        <v>4016</v>
      </c>
      <c r="N122" s="460">
        <v>0</v>
      </c>
      <c r="O122" s="294"/>
      <c r="P122" s="294"/>
      <c r="Q122" s="294"/>
      <c r="R122" s="294"/>
      <c r="S122" s="295"/>
      <c r="T122" s="299"/>
      <c r="U122" s="297"/>
      <c r="V122" s="297"/>
      <c r="W122" s="297"/>
      <c r="X122" s="297"/>
      <c r="Y122" s="297"/>
      <c r="Z122" s="297">
        <v>0</v>
      </c>
      <c r="AA122" s="297"/>
      <c r="AB122" s="293">
        <v>0</v>
      </c>
      <c r="AC122" s="294"/>
      <c r="AD122" s="295"/>
      <c r="AE122" s="298"/>
      <c r="AF122" s="299"/>
      <c r="AG122" s="297"/>
      <c r="AH122" s="297"/>
      <c r="AI122" s="297"/>
      <c r="AJ122" s="297"/>
      <c r="AK122" s="297">
        <v>1</v>
      </c>
      <c r="AL122" s="297"/>
      <c r="AM122" s="297"/>
      <c r="AN122" s="300"/>
      <c r="AO122" s="301"/>
      <c r="AP122" s="301"/>
      <c r="AQ122" s="301"/>
      <c r="AR122" s="301"/>
      <c r="AS122" s="301">
        <v>1500</v>
      </c>
      <c r="AT122" s="301"/>
      <c r="AU122" s="301"/>
      <c r="AV122" s="301"/>
      <c r="AW122" s="301"/>
      <c r="AX122" s="301"/>
      <c r="AY122" s="301"/>
      <c r="AZ122" s="301"/>
      <c r="BA122" s="301"/>
      <c r="BB122" s="301"/>
      <c r="BC122" s="301"/>
      <c r="BD122" s="301"/>
      <c r="BE122" s="301"/>
      <c r="BF122" s="302"/>
      <c r="BG122" s="303"/>
      <c r="BH122" s="304"/>
      <c r="BI122" s="304"/>
      <c r="BJ122" s="304"/>
      <c r="BK122" s="304"/>
      <c r="BL122" s="304">
        <v>10</v>
      </c>
      <c r="BM122" s="304"/>
      <c r="BN122" s="304"/>
      <c r="BO122" s="304"/>
      <c r="BP122" s="304"/>
      <c r="BQ122" s="304"/>
      <c r="BR122" s="304"/>
      <c r="BS122" s="304"/>
      <c r="BT122" s="304"/>
      <c r="BU122" s="304"/>
      <c r="BV122" s="304"/>
      <c r="BW122" s="304"/>
      <c r="BX122" s="304"/>
      <c r="BY122" s="305"/>
      <c r="BZ122" s="306"/>
      <c r="CA122" s="307"/>
      <c r="CB122" s="307"/>
      <c r="CC122" s="307"/>
      <c r="CD122" s="307"/>
      <c r="CE122" s="307"/>
      <c r="CF122" s="307"/>
      <c r="CG122" s="332"/>
      <c r="CH122" s="328"/>
      <c r="CI122" s="328"/>
      <c r="CJ122" s="328"/>
      <c r="CK122" s="328"/>
      <c r="CL122" s="328">
        <v>2</v>
      </c>
      <c r="CM122" s="328"/>
      <c r="CN122" s="370"/>
      <c r="CO122" s="367"/>
      <c r="CP122" s="367"/>
      <c r="CQ122" s="367"/>
      <c r="CR122" s="367"/>
      <c r="CS122" s="387">
        <v>10</v>
      </c>
      <c r="CT122" s="398"/>
      <c r="CU122" s="399"/>
      <c r="CV122" s="399"/>
      <c r="CW122" s="399"/>
      <c r="CX122" s="399"/>
      <c r="CY122" s="399"/>
      <c r="CZ122" s="399">
        <v>1</v>
      </c>
      <c r="DA122" s="400"/>
      <c r="DB122" s="522">
        <v>1</v>
      </c>
    </row>
    <row r="123" spans="1:106" x14ac:dyDescent="0.25">
      <c r="A123" s="468" t="s">
        <v>194</v>
      </c>
      <c r="B123" s="468">
        <v>801</v>
      </c>
      <c r="C123" s="468" t="s">
        <v>1935</v>
      </c>
      <c r="D123" s="468">
        <v>753</v>
      </c>
      <c r="E123" s="468" t="s">
        <v>1936</v>
      </c>
      <c r="F123" s="468" t="s">
        <v>1937</v>
      </c>
      <c r="G123" s="468" t="s">
        <v>1938</v>
      </c>
      <c r="H123" s="468" t="s">
        <v>198</v>
      </c>
      <c r="I123" s="468" t="s">
        <v>199</v>
      </c>
      <c r="J123" s="468" t="s">
        <v>3268</v>
      </c>
      <c r="K123" s="468" t="s">
        <v>1939</v>
      </c>
      <c r="L123" s="468" t="s">
        <v>3766</v>
      </c>
      <c r="M123" s="468" t="s">
        <v>4016</v>
      </c>
      <c r="N123" s="460">
        <v>0</v>
      </c>
      <c r="O123" s="294"/>
      <c r="P123" s="294"/>
      <c r="Q123" s="294"/>
      <c r="R123" s="294"/>
      <c r="S123" s="295"/>
      <c r="T123" s="299"/>
      <c r="U123" s="297"/>
      <c r="V123" s="297"/>
      <c r="W123" s="297"/>
      <c r="X123" s="297"/>
      <c r="Y123" s="297"/>
      <c r="Z123" s="297">
        <v>0</v>
      </c>
      <c r="AA123" s="297"/>
      <c r="AB123" s="293">
        <v>0</v>
      </c>
      <c r="AC123" s="294"/>
      <c r="AD123" s="295"/>
      <c r="AE123" s="298"/>
      <c r="AF123" s="299"/>
      <c r="AG123" s="297"/>
      <c r="AH123" s="297"/>
      <c r="AI123" s="297"/>
      <c r="AJ123" s="297"/>
      <c r="AK123" s="297">
        <v>0</v>
      </c>
      <c r="AL123" s="297"/>
      <c r="AM123" s="297"/>
      <c r="AN123" s="300"/>
      <c r="AO123" s="301"/>
      <c r="AP123" s="301"/>
      <c r="AQ123" s="301"/>
      <c r="AR123" s="301"/>
      <c r="AS123" s="301">
        <v>1500</v>
      </c>
      <c r="AT123" s="301"/>
      <c r="AU123" s="301"/>
      <c r="AV123" s="301"/>
      <c r="AW123" s="301"/>
      <c r="AX123" s="301"/>
      <c r="AY123" s="301"/>
      <c r="AZ123" s="301"/>
      <c r="BA123" s="301"/>
      <c r="BB123" s="301"/>
      <c r="BC123" s="301"/>
      <c r="BD123" s="301"/>
      <c r="BE123" s="301"/>
      <c r="BF123" s="302"/>
      <c r="BG123" s="303"/>
      <c r="BH123" s="304"/>
      <c r="BI123" s="304"/>
      <c r="BJ123" s="304"/>
      <c r="BK123" s="304"/>
      <c r="BL123" s="304">
        <v>10</v>
      </c>
      <c r="BM123" s="304"/>
      <c r="BN123" s="304"/>
      <c r="BO123" s="304"/>
      <c r="BP123" s="304"/>
      <c r="BQ123" s="304"/>
      <c r="BR123" s="304"/>
      <c r="BS123" s="304"/>
      <c r="BT123" s="304"/>
      <c r="BU123" s="304"/>
      <c r="BV123" s="304"/>
      <c r="BW123" s="304"/>
      <c r="BX123" s="304"/>
      <c r="BY123" s="305"/>
      <c r="BZ123" s="308"/>
      <c r="CA123" s="307"/>
      <c r="CB123" s="307"/>
      <c r="CC123" s="307"/>
      <c r="CD123" s="307"/>
      <c r="CE123" s="309">
        <v>1</v>
      </c>
      <c r="CF123" s="307"/>
      <c r="CG123" s="332"/>
      <c r="CH123" s="328"/>
      <c r="CI123" s="328"/>
      <c r="CJ123" s="328"/>
      <c r="CK123" s="328"/>
      <c r="CL123" s="328">
        <v>2</v>
      </c>
      <c r="CM123" s="328"/>
      <c r="CN123" s="370"/>
      <c r="CO123" s="367"/>
      <c r="CP123" s="367"/>
      <c r="CQ123" s="367"/>
      <c r="CR123" s="367"/>
      <c r="CS123" s="387">
        <v>10</v>
      </c>
      <c r="CT123" s="398"/>
      <c r="CU123" s="399"/>
      <c r="CV123" s="399"/>
      <c r="CW123" s="399"/>
      <c r="CX123" s="399"/>
      <c r="CY123" s="399"/>
      <c r="CZ123" s="399">
        <v>1</v>
      </c>
      <c r="DA123" s="400"/>
      <c r="DB123" s="522">
        <v>1</v>
      </c>
    </row>
    <row r="124" spans="1:106" x14ac:dyDescent="0.25">
      <c r="A124" s="468" t="s">
        <v>194</v>
      </c>
      <c r="B124" s="468">
        <v>801</v>
      </c>
      <c r="C124" s="468" t="s">
        <v>1940</v>
      </c>
      <c r="D124" s="468">
        <v>754</v>
      </c>
      <c r="E124" s="468" t="s">
        <v>1941</v>
      </c>
      <c r="F124" s="468" t="s">
        <v>1942</v>
      </c>
      <c r="G124" s="468" t="s">
        <v>1943</v>
      </c>
      <c r="H124" s="468" t="s">
        <v>198</v>
      </c>
      <c r="I124" s="468" t="s">
        <v>199</v>
      </c>
      <c r="J124" s="468" t="s">
        <v>1944</v>
      </c>
      <c r="K124" s="468" t="s">
        <v>1945</v>
      </c>
      <c r="L124" s="468" t="s">
        <v>3766</v>
      </c>
      <c r="M124" s="468" t="s">
        <v>4016</v>
      </c>
      <c r="N124" s="460">
        <v>0</v>
      </c>
      <c r="O124" s="294"/>
      <c r="P124" s="294"/>
      <c r="Q124" s="294"/>
      <c r="R124" s="294"/>
      <c r="S124" s="295"/>
      <c r="T124" s="299"/>
      <c r="U124" s="297"/>
      <c r="V124" s="297"/>
      <c r="W124" s="297"/>
      <c r="X124" s="297"/>
      <c r="Y124" s="297"/>
      <c r="Z124" s="297">
        <v>0</v>
      </c>
      <c r="AA124" s="297"/>
      <c r="AB124" s="293">
        <v>0</v>
      </c>
      <c r="AC124" s="294"/>
      <c r="AD124" s="295"/>
      <c r="AE124" s="298"/>
      <c r="AF124" s="299"/>
      <c r="AG124" s="297"/>
      <c r="AH124" s="297"/>
      <c r="AI124" s="297"/>
      <c r="AJ124" s="297"/>
      <c r="AK124" s="297">
        <v>1</v>
      </c>
      <c r="AL124" s="297"/>
      <c r="AM124" s="297"/>
      <c r="AN124" s="300"/>
      <c r="AO124" s="301"/>
      <c r="AP124" s="301"/>
      <c r="AQ124" s="301"/>
      <c r="AR124" s="301"/>
      <c r="AS124" s="301">
        <v>1500</v>
      </c>
      <c r="AT124" s="301"/>
      <c r="AU124" s="301"/>
      <c r="AV124" s="301"/>
      <c r="AW124" s="301"/>
      <c r="AX124" s="301"/>
      <c r="AY124" s="301"/>
      <c r="AZ124" s="301"/>
      <c r="BA124" s="301"/>
      <c r="BB124" s="301"/>
      <c r="BC124" s="301"/>
      <c r="BD124" s="301"/>
      <c r="BE124" s="301"/>
      <c r="BF124" s="302"/>
      <c r="BG124" s="303"/>
      <c r="BH124" s="304"/>
      <c r="BI124" s="304"/>
      <c r="BJ124" s="304"/>
      <c r="BK124" s="304"/>
      <c r="BL124" s="304">
        <v>10</v>
      </c>
      <c r="BM124" s="304"/>
      <c r="BN124" s="304"/>
      <c r="BO124" s="304"/>
      <c r="BP124" s="304"/>
      <c r="BQ124" s="304"/>
      <c r="BR124" s="304"/>
      <c r="BS124" s="304"/>
      <c r="BT124" s="304"/>
      <c r="BU124" s="304"/>
      <c r="BV124" s="304"/>
      <c r="BW124" s="304"/>
      <c r="BX124" s="304"/>
      <c r="BY124" s="305"/>
      <c r="BZ124" s="308"/>
      <c r="CA124" s="307"/>
      <c r="CB124" s="307"/>
      <c r="CC124" s="307"/>
      <c r="CD124" s="307"/>
      <c r="CE124" s="309"/>
      <c r="CF124" s="307"/>
      <c r="CG124" s="332"/>
      <c r="CH124" s="328"/>
      <c r="CI124" s="328"/>
      <c r="CJ124" s="328"/>
      <c r="CK124" s="328"/>
      <c r="CL124" s="328">
        <v>2</v>
      </c>
      <c r="CM124" s="328"/>
      <c r="CN124" s="370"/>
      <c r="CO124" s="367"/>
      <c r="CP124" s="367"/>
      <c r="CQ124" s="367"/>
      <c r="CR124" s="367"/>
      <c r="CS124" s="387">
        <v>10</v>
      </c>
      <c r="CT124" s="398"/>
      <c r="CU124" s="399"/>
      <c r="CV124" s="399"/>
      <c r="CW124" s="399"/>
      <c r="CX124" s="399"/>
      <c r="CY124" s="399"/>
      <c r="CZ124" s="399">
        <v>1</v>
      </c>
      <c r="DA124" s="400"/>
      <c r="DB124" s="522">
        <v>1</v>
      </c>
    </row>
    <row r="125" spans="1:106" x14ac:dyDescent="0.25">
      <c r="A125" s="468" t="s">
        <v>194</v>
      </c>
      <c r="B125" s="468">
        <v>801</v>
      </c>
      <c r="C125" s="468" t="s">
        <v>1946</v>
      </c>
      <c r="D125" s="468">
        <v>755</v>
      </c>
      <c r="E125" s="468" t="s">
        <v>1947</v>
      </c>
      <c r="F125" s="468" t="s">
        <v>1948</v>
      </c>
      <c r="G125" s="468" t="s">
        <v>1949</v>
      </c>
      <c r="H125" s="468" t="s">
        <v>198</v>
      </c>
      <c r="I125" s="468" t="s">
        <v>199</v>
      </c>
      <c r="J125" s="468" t="s">
        <v>1950</v>
      </c>
      <c r="K125" s="468" t="s">
        <v>1951</v>
      </c>
      <c r="L125" s="468" t="s">
        <v>3766</v>
      </c>
      <c r="M125" s="468" t="s">
        <v>4016</v>
      </c>
      <c r="N125" s="460">
        <v>0</v>
      </c>
      <c r="O125" s="294"/>
      <c r="P125" s="294"/>
      <c r="Q125" s="294"/>
      <c r="R125" s="294"/>
      <c r="S125" s="295"/>
      <c r="T125" s="299"/>
      <c r="U125" s="297"/>
      <c r="V125" s="297"/>
      <c r="W125" s="297"/>
      <c r="X125" s="297"/>
      <c r="Y125" s="297"/>
      <c r="Z125" s="297">
        <v>0</v>
      </c>
      <c r="AA125" s="297"/>
      <c r="AB125" s="293">
        <v>0</v>
      </c>
      <c r="AC125" s="294"/>
      <c r="AD125" s="295"/>
      <c r="AE125" s="298"/>
      <c r="AF125" s="299"/>
      <c r="AG125" s="297"/>
      <c r="AH125" s="297"/>
      <c r="AI125" s="297"/>
      <c r="AJ125" s="297"/>
      <c r="AK125" s="297">
        <v>1</v>
      </c>
      <c r="AL125" s="297"/>
      <c r="AM125" s="297"/>
      <c r="AN125" s="300"/>
      <c r="AO125" s="301"/>
      <c r="AP125" s="301"/>
      <c r="AQ125" s="301"/>
      <c r="AR125" s="301"/>
      <c r="AS125" s="301">
        <v>1500</v>
      </c>
      <c r="AT125" s="301"/>
      <c r="AU125" s="301"/>
      <c r="AV125" s="301"/>
      <c r="AW125" s="301"/>
      <c r="AX125" s="301"/>
      <c r="AY125" s="301"/>
      <c r="AZ125" s="301"/>
      <c r="BA125" s="301"/>
      <c r="BB125" s="301"/>
      <c r="BC125" s="301"/>
      <c r="BD125" s="301"/>
      <c r="BE125" s="301"/>
      <c r="BF125" s="302"/>
      <c r="BG125" s="303"/>
      <c r="BH125" s="304"/>
      <c r="BI125" s="304"/>
      <c r="BJ125" s="304"/>
      <c r="BK125" s="304"/>
      <c r="BL125" s="304">
        <v>10</v>
      </c>
      <c r="BM125" s="304"/>
      <c r="BN125" s="304"/>
      <c r="BO125" s="304"/>
      <c r="BP125" s="304"/>
      <c r="BQ125" s="304"/>
      <c r="BR125" s="304"/>
      <c r="BS125" s="304"/>
      <c r="BT125" s="304"/>
      <c r="BU125" s="304"/>
      <c r="BV125" s="304"/>
      <c r="BW125" s="304"/>
      <c r="BX125" s="304"/>
      <c r="BY125" s="305"/>
      <c r="BZ125" s="308"/>
      <c r="CA125" s="307"/>
      <c r="CB125" s="307"/>
      <c r="CC125" s="307"/>
      <c r="CD125" s="307"/>
      <c r="CE125" s="309"/>
      <c r="CF125" s="307"/>
      <c r="CG125" s="332"/>
      <c r="CH125" s="328"/>
      <c r="CI125" s="328"/>
      <c r="CJ125" s="328"/>
      <c r="CK125" s="328"/>
      <c r="CL125" s="328">
        <v>2</v>
      </c>
      <c r="CM125" s="328"/>
      <c r="CN125" s="370"/>
      <c r="CO125" s="367"/>
      <c r="CP125" s="367"/>
      <c r="CQ125" s="367"/>
      <c r="CR125" s="367"/>
      <c r="CS125" s="387">
        <v>10</v>
      </c>
      <c r="CT125" s="398"/>
      <c r="CU125" s="399"/>
      <c r="CV125" s="399"/>
      <c r="CW125" s="399"/>
      <c r="CX125" s="399"/>
      <c r="CY125" s="399"/>
      <c r="CZ125" s="399">
        <v>1</v>
      </c>
      <c r="DA125" s="400"/>
      <c r="DB125" s="522">
        <v>1</v>
      </c>
    </row>
    <row r="126" spans="1:106" x14ac:dyDescent="0.25">
      <c r="A126" s="468" t="s">
        <v>194</v>
      </c>
      <c r="B126" s="468">
        <v>801</v>
      </c>
      <c r="C126" s="468" t="s">
        <v>1952</v>
      </c>
      <c r="D126" s="468">
        <v>757</v>
      </c>
      <c r="E126" s="468" t="s">
        <v>1953</v>
      </c>
      <c r="F126" s="468" t="s">
        <v>1954</v>
      </c>
      <c r="G126" s="468" t="s">
        <v>1955</v>
      </c>
      <c r="H126" s="468" t="s">
        <v>198</v>
      </c>
      <c r="I126" s="468" t="s">
        <v>199</v>
      </c>
      <c r="J126" s="468" t="s">
        <v>3268</v>
      </c>
      <c r="K126" s="468" t="s">
        <v>1956</v>
      </c>
      <c r="L126" s="468" t="s">
        <v>3766</v>
      </c>
      <c r="M126" s="468" t="s">
        <v>4016</v>
      </c>
      <c r="N126" s="460">
        <v>0</v>
      </c>
      <c r="O126" s="294"/>
      <c r="P126" s="294"/>
      <c r="Q126" s="294"/>
      <c r="R126" s="294"/>
      <c r="S126" s="295"/>
      <c r="T126" s="299"/>
      <c r="U126" s="297"/>
      <c r="V126" s="297"/>
      <c r="W126" s="297"/>
      <c r="X126" s="297"/>
      <c r="Y126" s="297"/>
      <c r="Z126" s="297">
        <v>0</v>
      </c>
      <c r="AA126" s="297"/>
      <c r="AB126" s="293">
        <v>0</v>
      </c>
      <c r="AC126" s="294"/>
      <c r="AD126" s="295"/>
      <c r="AE126" s="298"/>
      <c r="AF126" s="296">
        <v>0</v>
      </c>
      <c r="AG126" s="297"/>
      <c r="AH126" s="297"/>
      <c r="AI126" s="297"/>
      <c r="AJ126" s="297"/>
      <c r="AK126" s="297"/>
      <c r="AL126" s="297"/>
      <c r="AM126" s="297"/>
      <c r="AN126" s="300"/>
      <c r="AO126" s="301"/>
      <c r="AP126" s="301"/>
      <c r="AQ126" s="301"/>
      <c r="AR126" s="301"/>
      <c r="AS126" s="301">
        <v>1500</v>
      </c>
      <c r="AT126" s="301"/>
      <c r="AU126" s="301"/>
      <c r="AV126" s="301"/>
      <c r="AW126" s="301"/>
      <c r="AX126" s="301"/>
      <c r="AY126" s="301"/>
      <c r="AZ126" s="301"/>
      <c r="BA126" s="301"/>
      <c r="BB126" s="301"/>
      <c r="BC126" s="301"/>
      <c r="BD126" s="301"/>
      <c r="BE126" s="301"/>
      <c r="BF126" s="302"/>
      <c r="BG126" s="303"/>
      <c r="BH126" s="304"/>
      <c r="BI126" s="304"/>
      <c r="BJ126" s="304"/>
      <c r="BK126" s="304"/>
      <c r="BL126" s="304">
        <v>10</v>
      </c>
      <c r="BM126" s="304"/>
      <c r="BN126" s="304"/>
      <c r="BO126" s="304"/>
      <c r="BP126" s="304"/>
      <c r="BQ126" s="304"/>
      <c r="BR126" s="304"/>
      <c r="BS126" s="304"/>
      <c r="BT126" s="304"/>
      <c r="BU126" s="304"/>
      <c r="BV126" s="304"/>
      <c r="BW126" s="304"/>
      <c r="BX126" s="304"/>
      <c r="BY126" s="305"/>
      <c r="BZ126" s="308"/>
      <c r="CA126" s="307"/>
      <c r="CB126" s="307"/>
      <c r="CC126" s="307"/>
      <c r="CD126" s="307"/>
      <c r="CE126" s="309">
        <v>1</v>
      </c>
      <c r="CF126" s="307"/>
      <c r="CG126" s="332"/>
      <c r="CH126" s="328"/>
      <c r="CI126" s="328"/>
      <c r="CJ126" s="328"/>
      <c r="CK126" s="328"/>
      <c r="CL126" s="328">
        <v>2</v>
      </c>
      <c r="CM126" s="328"/>
      <c r="CN126" s="370"/>
      <c r="CO126" s="367"/>
      <c r="CP126" s="367"/>
      <c r="CQ126" s="367"/>
      <c r="CR126" s="367"/>
      <c r="CS126" s="387">
        <v>10</v>
      </c>
      <c r="CT126" s="398"/>
      <c r="CU126" s="399"/>
      <c r="CV126" s="399"/>
      <c r="CW126" s="399"/>
      <c r="CX126" s="399"/>
      <c r="CY126" s="399"/>
      <c r="CZ126" s="399">
        <v>1</v>
      </c>
      <c r="DA126" s="400"/>
      <c r="DB126" s="522">
        <v>1</v>
      </c>
    </row>
    <row r="127" spans="1:106" x14ac:dyDescent="0.25">
      <c r="A127" s="468" t="s">
        <v>194</v>
      </c>
      <c r="B127" s="468">
        <v>801</v>
      </c>
      <c r="C127" s="468" t="s">
        <v>3605</v>
      </c>
      <c r="D127" s="468">
        <v>1751</v>
      </c>
      <c r="E127" s="468" t="s">
        <v>1916</v>
      </c>
      <c r="F127" s="468" t="s">
        <v>1917</v>
      </c>
      <c r="G127" s="468" t="s">
        <v>1918</v>
      </c>
      <c r="H127" s="468" t="s">
        <v>198</v>
      </c>
      <c r="I127" s="468" t="s">
        <v>199</v>
      </c>
      <c r="J127" s="468" t="s">
        <v>3606</v>
      </c>
      <c r="K127" s="468" t="s">
        <v>1919</v>
      </c>
      <c r="L127" s="468" t="s">
        <v>3766</v>
      </c>
      <c r="M127" s="468" t="s">
        <v>4016</v>
      </c>
      <c r="N127" s="460">
        <v>0</v>
      </c>
      <c r="O127" s="294"/>
      <c r="P127" s="294"/>
      <c r="Q127" s="294"/>
      <c r="R127" s="294"/>
      <c r="S127" s="295"/>
      <c r="T127" s="299"/>
      <c r="U127" s="297"/>
      <c r="V127" s="297"/>
      <c r="W127" s="297"/>
      <c r="X127" s="297"/>
      <c r="Y127" s="297"/>
      <c r="Z127" s="297">
        <v>2</v>
      </c>
      <c r="AA127" s="297"/>
      <c r="AB127" s="293">
        <v>0</v>
      </c>
      <c r="AC127" s="294"/>
      <c r="AD127" s="295"/>
      <c r="AE127" s="298"/>
      <c r="AF127" s="296">
        <v>0</v>
      </c>
      <c r="AG127" s="297"/>
      <c r="AH127" s="297"/>
      <c r="AI127" s="297"/>
      <c r="AJ127" s="297"/>
      <c r="AK127" s="297"/>
      <c r="AL127" s="297"/>
      <c r="AM127" s="297"/>
      <c r="AN127" s="300"/>
      <c r="AO127" s="301"/>
      <c r="AP127" s="301"/>
      <c r="AQ127" s="301"/>
      <c r="AR127" s="301"/>
      <c r="AS127" s="301">
        <v>1500</v>
      </c>
      <c r="AT127" s="301"/>
      <c r="AU127" s="301"/>
      <c r="AV127" s="301"/>
      <c r="AW127" s="301"/>
      <c r="AX127" s="301"/>
      <c r="AY127" s="301"/>
      <c r="AZ127" s="301"/>
      <c r="BA127" s="301"/>
      <c r="BB127" s="301"/>
      <c r="BC127" s="301"/>
      <c r="BD127" s="301"/>
      <c r="BE127" s="301"/>
      <c r="BF127" s="302"/>
      <c r="BG127" s="303"/>
      <c r="BH127" s="304"/>
      <c r="BI127" s="304"/>
      <c r="BJ127" s="304"/>
      <c r="BK127" s="304"/>
      <c r="BL127" s="304">
        <v>10</v>
      </c>
      <c r="BM127" s="304"/>
      <c r="BN127" s="304"/>
      <c r="BO127" s="304"/>
      <c r="BP127" s="304"/>
      <c r="BQ127" s="304"/>
      <c r="BR127" s="304"/>
      <c r="BS127" s="304"/>
      <c r="BT127" s="304"/>
      <c r="BU127" s="304"/>
      <c r="BV127" s="304"/>
      <c r="BW127" s="304"/>
      <c r="BX127" s="304"/>
      <c r="BY127" s="305"/>
      <c r="BZ127" s="306"/>
      <c r="CA127" s="307"/>
      <c r="CB127" s="307"/>
      <c r="CC127" s="307"/>
      <c r="CD127" s="307"/>
      <c r="CE127" s="307"/>
      <c r="CF127" s="307"/>
      <c r="CG127" s="332"/>
      <c r="CH127" s="328"/>
      <c r="CI127" s="328"/>
      <c r="CJ127" s="328"/>
      <c r="CK127" s="328"/>
      <c r="CL127" s="328">
        <v>2</v>
      </c>
      <c r="CM127" s="328"/>
      <c r="CN127" s="370"/>
      <c r="CO127" s="367"/>
      <c r="CP127" s="367"/>
      <c r="CQ127" s="367"/>
      <c r="CR127" s="367"/>
      <c r="CS127" s="387">
        <v>10</v>
      </c>
      <c r="CT127" s="398"/>
      <c r="CU127" s="399"/>
      <c r="CV127" s="399"/>
      <c r="CW127" s="399"/>
      <c r="CX127" s="399"/>
      <c r="CY127" s="399"/>
      <c r="CZ127" s="399">
        <v>1</v>
      </c>
      <c r="DA127" s="400"/>
      <c r="DB127" s="522">
        <v>1</v>
      </c>
    </row>
    <row r="128" spans="1:106" x14ac:dyDescent="0.25">
      <c r="A128" s="468" t="s">
        <v>194</v>
      </c>
      <c r="B128" s="468">
        <v>801</v>
      </c>
      <c r="C128" s="468" t="s">
        <v>3607</v>
      </c>
      <c r="D128" s="468">
        <v>1752</v>
      </c>
      <c r="E128" s="468" t="s">
        <v>1920</v>
      </c>
      <c r="F128" s="468" t="s">
        <v>1921</v>
      </c>
      <c r="G128" s="468" t="s">
        <v>1922</v>
      </c>
      <c r="H128" s="468" t="s">
        <v>198</v>
      </c>
      <c r="I128" s="468" t="s">
        <v>199</v>
      </c>
      <c r="J128" s="468" t="s">
        <v>3267</v>
      </c>
      <c r="K128" s="468" t="s">
        <v>1923</v>
      </c>
      <c r="L128" s="468" t="s">
        <v>3766</v>
      </c>
      <c r="M128" s="468" t="s">
        <v>4016</v>
      </c>
      <c r="N128" s="460">
        <v>0</v>
      </c>
      <c r="O128" s="294"/>
      <c r="P128" s="294"/>
      <c r="Q128" s="294"/>
      <c r="R128" s="294"/>
      <c r="S128" s="295"/>
      <c r="T128" s="299"/>
      <c r="U128" s="297"/>
      <c r="V128" s="297"/>
      <c r="W128" s="297"/>
      <c r="X128" s="297"/>
      <c r="Y128" s="297"/>
      <c r="Z128" s="297">
        <v>2</v>
      </c>
      <c r="AA128" s="297"/>
      <c r="AB128" s="293">
        <v>0</v>
      </c>
      <c r="AC128" s="294"/>
      <c r="AD128" s="295"/>
      <c r="AE128" s="298"/>
      <c r="AF128" s="296">
        <v>0</v>
      </c>
      <c r="AG128" s="297"/>
      <c r="AH128" s="297"/>
      <c r="AI128" s="297"/>
      <c r="AJ128" s="297"/>
      <c r="AK128" s="297"/>
      <c r="AL128" s="297"/>
      <c r="AM128" s="297"/>
      <c r="AN128" s="300"/>
      <c r="AO128" s="301"/>
      <c r="AP128" s="301"/>
      <c r="AQ128" s="301"/>
      <c r="AR128" s="301"/>
      <c r="AS128" s="301">
        <v>1500</v>
      </c>
      <c r="AT128" s="301"/>
      <c r="AU128" s="301"/>
      <c r="AV128" s="301"/>
      <c r="AW128" s="301"/>
      <c r="AX128" s="301"/>
      <c r="AY128" s="301"/>
      <c r="AZ128" s="301"/>
      <c r="BA128" s="301"/>
      <c r="BB128" s="301"/>
      <c r="BC128" s="301"/>
      <c r="BD128" s="301"/>
      <c r="BE128" s="301"/>
      <c r="BF128" s="302"/>
      <c r="BG128" s="303"/>
      <c r="BH128" s="304"/>
      <c r="BI128" s="304"/>
      <c r="BJ128" s="304"/>
      <c r="BK128" s="304"/>
      <c r="BL128" s="304">
        <v>10</v>
      </c>
      <c r="BM128" s="304"/>
      <c r="BN128" s="304"/>
      <c r="BO128" s="304"/>
      <c r="BP128" s="304"/>
      <c r="BQ128" s="304"/>
      <c r="BR128" s="304"/>
      <c r="BS128" s="304"/>
      <c r="BT128" s="304"/>
      <c r="BU128" s="304"/>
      <c r="BV128" s="304"/>
      <c r="BW128" s="304"/>
      <c r="BX128" s="304"/>
      <c r="BY128" s="305"/>
      <c r="BZ128" s="306"/>
      <c r="CA128" s="307"/>
      <c r="CB128" s="307"/>
      <c r="CC128" s="307"/>
      <c r="CD128" s="307"/>
      <c r="CE128" s="307"/>
      <c r="CF128" s="307"/>
      <c r="CG128" s="332"/>
      <c r="CH128" s="328"/>
      <c r="CI128" s="328"/>
      <c r="CJ128" s="328"/>
      <c r="CK128" s="328"/>
      <c r="CL128" s="328">
        <v>2</v>
      </c>
      <c r="CM128" s="328"/>
      <c r="CN128" s="370"/>
      <c r="CO128" s="367"/>
      <c r="CP128" s="367"/>
      <c r="CQ128" s="367"/>
      <c r="CR128" s="367"/>
      <c r="CS128" s="387">
        <v>10</v>
      </c>
      <c r="CT128" s="398"/>
      <c r="CU128" s="399"/>
      <c r="CV128" s="399"/>
      <c r="CW128" s="399"/>
      <c r="CX128" s="399"/>
      <c r="CY128" s="399"/>
      <c r="CZ128" s="399">
        <v>1</v>
      </c>
      <c r="DA128" s="400"/>
      <c r="DB128" s="522">
        <v>1</v>
      </c>
    </row>
    <row r="129" spans="1:106" x14ac:dyDescent="0.25">
      <c r="A129" s="468" t="s">
        <v>194</v>
      </c>
      <c r="B129" s="468">
        <v>801</v>
      </c>
      <c r="C129" s="468" t="s">
        <v>3674</v>
      </c>
      <c r="D129" s="468">
        <v>2518</v>
      </c>
      <c r="E129" s="468" t="s">
        <v>1924</v>
      </c>
      <c r="F129" s="468" t="s">
        <v>1925</v>
      </c>
      <c r="G129" s="468" t="s">
        <v>1926</v>
      </c>
      <c r="H129" s="468" t="s">
        <v>1927</v>
      </c>
      <c r="I129" s="468" t="s">
        <v>199</v>
      </c>
      <c r="J129" s="468" t="s">
        <v>3675</v>
      </c>
      <c r="K129" s="468" t="s">
        <v>1928</v>
      </c>
      <c r="L129" s="468" t="s">
        <v>3766</v>
      </c>
      <c r="M129" s="468" t="s">
        <v>4016</v>
      </c>
      <c r="N129" s="461"/>
      <c r="O129" s="294">
        <v>1</v>
      </c>
      <c r="P129" s="294"/>
      <c r="Q129" s="294"/>
      <c r="R129" s="294"/>
      <c r="S129" s="295"/>
      <c r="T129" s="296">
        <v>0</v>
      </c>
      <c r="U129" s="297"/>
      <c r="V129" s="297"/>
      <c r="W129" s="297"/>
      <c r="X129" s="297"/>
      <c r="Y129" s="297"/>
      <c r="Z129" s="297"/>
      <c r="AA129" s="297"/>
      <c r="AB129" s="293">
        <v>0</v>
      </c>
      <c r="AC129" s="294"/>
      <c r="AD129" s="295"/>
      <c r="AE129" s="298"/>
      <c r="AF129" s="296">
        <v>0</v>
      </c>
      <c r="AG129" s="297"/>
      <c r="AH129" s="297"/>
      <c r="AI129" s="297"/>
      <c r="AJ129" s="297"/>
      <c r="AK129" s="297"/>
      <c r="AL129" s="297"/>
      <c r="AM129" s="297"/>
      <c r="AN129" s="300"/>
      <c r="AO129" s="301"/>
      <c r="AP129" s="301"/>
      <c r="AQ129" s="301"/>
      <c r="AR129" s="301"/>
      <c r="AS129" s="301">
        <v>1500</v>
      </c>
      <c r="AT129" s="301"/>
      <c r="AU129" s="301"/>
      <c r="AV129" s="301"/>
      <c r="AW129" s="301"/>
      <c r="AX129" s="301"/>
      <c r="AY129" s="301"/>
      <c r="AZ129" s="301"/>
      <c r="BA129" s="301"/>
      <c r="BB129" s="301"/>
      <c r="BC129" s="301"/>
      <c r="BD129" s="301"/>
      <c r="BE129" s="301"/>
      <c r="BF129" s="302"/>
      <c r="BG129" s="303"/>
      <c r="BH129" s="304"/>
      <c r="BI129" s="304"/>
      <c r="BJ129" s="304"/>
      <c r="BK129" s="304"/>
      <c r="BL129" s="304">
        <v>10</v>
      </c>
      <c r="BM129" s="304"/>
      <c r="BN129" s="304"/>
      <c r="BO129" s="304"/>
      <c r="BP129" s="304"/>
      <c r="BQ129" s="304"/>
      <c r="BR129" s="304"/>
      <c r="BS129" s="304"/>
      <c r="BT129" s="304"/>
      <c r="BU129" s="304"/>
      <c r="BV129" s="304"/>
      <c r="BW129" s="304"/>
      <c r="BX129" s="304"/>
      <c r="BY129" s="305"/>
      <c r="BZ129" s="306"/>
      <c r="CA129" s="307"/>
      <c r="CB129" s="307"/>
      <c r="CC129" s="307"/>
      <c r="CD129" s="307"/>
      <c r="CE129" s="307"/>
      <c r="CF129" s="307"/>
      <c r="CG129" s="332"/>
      <c r="CH129" s="328"/>
      <c r="CI129" s="328"/>
      <c r="CJ129" s="328"/>
      <c r="CK129" s="328"/>
      <c r="CL129" s="328">
        <v>2</v>
      </c>
      <c r="CM129" s="328"/>
      <c r="CN129" s="370"/>
      <c r="CO129" s="367"/>
      <c r="CP129" s="367"/>
      <c r="CQ129" s="367"/>
      <c r="CR129" s="367"/>
      <c r="CS129" s="387">
        <v>10</v>
      </c>
      <c r="CT129" s="398"/>
      <c r="CU129" s="399"/>
      <c r="CV129" s="399"/>
      <c r="CW129" s="399"/>
      <c r="CX129" s="399"/>
      <c r="CY129" s="399"/>
      <c r="CZ129" s="399">
        <v>1</v>
      </c>
      <c r="DA129" s="400"/>
      <c r="DB129" s="522">
        <v>1</v>
      </c>
    </row>
    <row r="130" spans="1:106" x14ac:dyDescent="0.25">
      <c r="A130" s="468" t="s">
        <v>208</v>
      </c>
      <c r="B130" s="468">
        <v>815</v>
      </c>
      <c r="C130" s="468" t="s">
        <v>1957</v>
      </c>
      <c r="D130" s="468">
        <v>861</v>
      </c>
      <c r="E130" s="468" t="s">
        <v>1958</v>
      </c>
      <c r="F130" s="468" t="s">
        <v>1959</v>
      </c>
      <c r="G130" s="468" t="s">
        <v>1960</v>
      </c>
      <c r="H130" s="468" t="s">
        <v>1961</v>
      </c>
      <c r="I130" s="468" t="s">
        <v>213</v>
      </c>
      <c r="J130" s="468" t="s">
        <v>3285</v>
      </c>
      <c r="K130" s="468" t="s">
        <v>1962</v>
      </c>
      <c r="L130" s="468" t="s">
        <v>3737</v>
      </c>
      <c r="M130" s="468" t="s">
        <v>4022</v>
      </c>
      <c r="N130" s="460"/>
      <c r="O130" s="294"/>
      <c r="P130" s="294"/>
      <c r="Q130" s="294"/>
      <c r="R130" s="294"/>
      <c r="S130" s="295"/>
      <c r="T130" s="296"/>
      <c r="U130" s="297"/>
      <c r="V130" s="297"/>
      <c r="W130" s="297"/>
      <c r="X130" s="297"/>
      <c r="Y130" s="297"/>
      <c r="Z130" s="297"/>
      <c r="AA130" s="297"/>
      <c r="AB130" s="293"/>
      <c r="AC130" s="294"/>
      <c r="AD130" s="295"/>
      <c r="AE130" s="298"/>
      <c r="AF130" s="296"/>
      <c r="AG130" s="297"/>
      <c r="AH130" s="297"/>
      <c r="AI130" s="297"/>
      <c r="AJ130" s="297"/>
      <c r="AK130" s="297"/>
      <c r="AL130" s="297"/>
      <c r="AM130" s="297"/>
      <c r="AN130" s="300"/>
      <c r="AO130" s="301"/>
      <c r="AP130" s="301"/>
      <c r="AQ130" s="301"/>
      <c r="AR130" s="301">
        <v>1500</v>
      </c>
      <c r="AS130" s="301"/>
      <c r="AT130" s="301"/>
      <c r="AU130" s="301"/>
      <c r="AV130" s="301"/>
      <c r="AW130" s="301"/>
      <c r="AX130" s="301"/>
      <c r="AY130" s="301"/>
      <c r="AZ130" s="301"/>
      <c r="BA130" s="301"/>
      <c r="BB130" s="301"/>
      <c r="BC130" s="301"/>
      <c r="BD130" s="301"/>
      <c r="BE130" s="301"/>
      <c r="BF130" s="302"/>
      <c r="BG130" s="303"/>
      <c r="BH130" s="304"/>
      <c r="BI130" s="304"/>
      <c r="BJ130" s="304"/>
      <c r="BK130" s="304">
        <v>10</v>
      </c>
      <c r="BL130" s="304"/>
      <c r="BM130" s="304"/>
      <c r="BN130" s="304"/>
      <c r="BO130" s="304"/>
      <c r="BP130" s="304"/>
      <c r="BQ130" s="304"/>
      <c r="BR130" s="304"/>
      <c r="BS130" s="304"/>
      <c r="BT130" s="304"/>
      <c r="BU130" s="304"/>
      <c r="BV130" s="304"/>
      <c r="BW130" s="304"/>
      <c r="BX130" s="304"/>
      <c r="BY130" s="305"/>
      <c r="BZ130" s="308"/>
      <c r="CA130" s="307"/>
      <c r="CB130" s="307"/>
      <c r="CC130" s="309">
        <v>1</v>
      </c>
      <c r="CD130" s="307"/>
      <c r="CE130" s="307"/>
      <c r="CF130" s="307"/>
      <c r="CG130" s="332"/>
      <c r="CH130" s="328"/>
      <c r="CI130" s="328"/>
      <c r="CJ130" s="328">
        <v>2</v>
      </c>
      <c r="CK130" s="328"/>
      <c r="CL130" s="328"/>
      <c r="CM130" s="328"/>
      <c r="CN130" s="370"/>
      <c r="CO130" s="367"/>
      <c r="CP130" s="367"/>
      <c r="CQ130" s="367">
        <v>10</v>
      </c>
      <c r="CR130" s="367"/>
      <c r="CS130" s="387"/>
      <c r="CT130" s="398"/>
      <c r="CU130" s="399"/>
      <c r="CV130" s="399"/>
      <c r="CW130" s="399">
        <v>1</v>
      </c>
      <c r="CX130" s="399"/>
      <c r="CY130" s="399"/>
      <c r="CZ130" s="399"/>
      <c r="DA130" s="400"/>
      <c r="DB130" s="522">
        <v>1</v>
      </c>
    </row>
    <row r="131" spans="1:106" x14ac:dyDescent="0.25">
      <c r="A131" s="468" t="s">
        <v>208</v>
      </c>
      <c r="B131" s="468">
        <v>815</v>
      </c>
      <c r="C131" s="468" t="s">
        <v>1974</v>
      </c>
      <c r="D131" s="468">
        <v>864</v>
      </c>
      <c r="E131" s="468" t="s">
        <v>1975</v>
      </c>
      <c r="F131" s="468" t="s">
        <v>1976</v>
      </c>
      <c r="G131" s="468" t="s">
        <v>1977</v>
      </c>
      <c r="H131" s="468" t="s">
        <v>1523</v>
      </c>
      <c r="I131" s="468" t="s">
        <v>213</v>
      </c>
      <c r="J131" s="468" t="s">
        <v>3288</v>
      </c>
      <c r="K131" s="468" t="s">
        <v>1978</v>
      </c>
      <c r="L131" s="468" t="s">
        <v>3737</v>
      </c>
      <c r="M131" s="468" t="s">
        <v>4022</v>
      </c>
      <c r="N131" s="460">
        <v>0</v>
      </c>
      <c r="O131" s="294"/>
      <c r="P131" s="294"/>
      <c r="Q131" s="294"/>
      <c r="R131" s="294"/>
      <c r="S131" s="295"/>
      <c r="T131" s="299"/>
      <c r="U131" s="297"/>
      <c r="V131" s="297"/>
      <c r="W131" s="297"/>
      <c r="X131" s="297">
        <v>1</v>
      </c>
      <c r="Y131" s="297"/>
      <c r="Z131" s="297"/>
      <c r="AA131" s="297"/>
      <c r="AB131" s="293">
        <v>0</v>
      </c>
      <c r="AC131" s="294"/>
      <c r="AD131" s="295"/>
      <c r="AE131" s="298"/>
      <c r="AF131" s="296">
        <v>0</v>
      </c>
      <c r="AG131" s="297"/>
      <c r="AH131" s="297"/>
      <c r="AI131" s="297"/>
      <c r="AJ131" s="297"/>
      <c r="AK131" s="297"/>
      <c r="AL131" s="297"/>
      <c r="AM131" s="297"/>
      <c r="AN131" s="300"/>
      <c r="AO131" s="301"/>
      <c r="AP131" s="301"/>
      <c r="AQ131" s="301"/>
      <c r="AR131" s="301">
        <v>1500</v>
      </c>
      <c r="AS131" s="301"/>
      <c r="AT131" s="301"/>
      <c r="AU131" s="301"/>
      <c r="AV131" s="301"/>
      <c r="AW131" s="301"/>
      <c r="AX131" s="301"/>
      <c r="AY131" s="301"/>
      <c r="AZ131" s="301"/>
      <c r="BA131" s="301"/>
      <c r="BB131" s="301"/>
      <c r="BC131" s="301"/>
      <c r="BD131" s="301"/>
      <c r="BE131" s="301"/>
      <c r="BF131" s="302"/>
      <c r="BG131" s="303"/>
      <c r="BH131" s="304"/>
      <c r="BI131" s="304"/>
      <c r="BJ131" s="304"/>
      <c r="BK131" s="304">
        <v>10</v>
      </c>
      <c r="BL131" s="304"/>
      <c r="BM131" s="304"/>
      <c r="BN131" s="304"/>
      <c r="BO131" s="304"/>
      <c r="BP131" s="304"/>
      <c r="BQ131" s="304"/>
      <c r="BR131" s="304"/>
      <c r="BS131" s="304"/>
      <c r="BT131" s="304"/>
      <c r="BU131" s="304"/>
      <c r="BV131" s="304"/>
      <c r="BW131" s="304"/>
      <c r="BX131" s="304"/>
      <c r="BY131" s="305"/>
      <c r="BZ131" s="306"/>
      <c r="CA131" s="307"/>
      <c r="CB131" s="307"/>
      <c r="CC131" s="307"/>
      <c r="CD131" s="307"/>
      <c r="CE131" s="307"/>
      <c r="CF131" s="307"/>
      <c r="CG131" s="332"/>
      <c r="CH131" s="328"/>
      <c r="CI131" s="328"/>
      <c r="CJ131" s="328">
        <v>2</v>
      </c>
      <c r="CK131" s="328"/>
      <c r="CL131" s="328"/>
      <c r="CM131" s="328"/>
      <c r="CN131" s="370"/>
      <c r="CO131" s="367"/>
      <c r="CP131" s="367"/>
      <c r="CQ131" s="367">
        <v>10</v>
      </c>
      <c r="CR131" s="367"/>
      <c r="CS131" s="387"/>
      <c r="CT131" s="398"/>
      <c r="CU131" s="399"/>
      <c r="CV131" s="399"/>
      <c r="CW131" s="399">
        <v>1</v>
      </c>
      <c r="CX131" s="399"/>
      <c r="CY131" s="399"/>
      <c r="CZ131" s="399"/>
      <c r="DA131" s="400"/>
      <c r="DB131" s="522">
        <v>1</v>
      </c>
    </row>
    <row r="132" spans="1:106" x14ac:dyDescent="0.25">
      <c r="A132" s="468" t="s">
        <v>208</v>
      </c>
      <c r="B132" s="468">
        <v>815</v>
      </c>
      <c r="C132" s="468" t="s">
        <v>209</v>
      </c>
      <c r="D132" s="468">
        <v>865</v>
      </c>
      <c r="E132" s="468" t="s">
        <v>210</v>
      </c>
      <c r="F132" s="468" t="s">
        <v>1979</v>
      </c>
      <c r="G132" s="468" t="s">
        <v>211</v>
      </c>
      <c r="H132" s="468" t="s">
        <v>212</v>
      </c>
      <c r="I132" s="468" t="s">
        <v>213</v>
      </c>
      <c r="J132" s="468" t="s">
        <v>3289</v>
      </c>
      <c r="K132" s="468" t="s">
        <v>214</v>
      </c>
      <c r="L132" s="468" t="s">
        <v>3737</v>
      </c>
      <c r="M132" s="468" t="s">
        <v>4022</v>
      </c>
      <c r="N132" s="460">
        <v>0</v>
      </c>
      <c r="O132" s="294"/>
      <c r="P132" s="294"/>
      <c r="Q132" s="294"/>
      <c r="R132" s="294"/>
      <c r="S132" s="295"/>
      <c r="T132" s="299"/>
      <c r="U132" s="297"/>
      <c r="V132" s="297"/>
      <c r="W132" s="297"/>
      <c r="X132" s="297">
        <v>0</v>
      </c>
      <c r="Y132" s="297"/>
      <c r="Z132" s="297"/>
      <c r="AA132" s="297"/>
      <c r="AB132" s="293">
        <v>0</v>
      </c>
      <c r="AC132" s="294"/>
      <c r="AD132" s="295"/>
      <c r="AE132" s="298"/>
      <c r="AF132" s="299"/>
      <c r="AG132" s="297"/>
      <c r="AH132" s="297"/>
      <c r="AI132" s="297">
        <v>1</v>
      </c>
      <c r="AJ132" s="297"/>
      <c r="AK132" s="297"/>
      <c r="AL132" s="297"/>
      <c r="AM132" s="297"/>
      <c r="AN132" s="300"/>
      <c r="AO132" s="301"/>
      <c r="AP132" s="301"/>
      <c r="AQ132" s="301"/>
      <c r="AR132" s="301">
        <v>1500</v>
      </c>
      <c r="AS132" s="301"/>
      <c r="AT132" s="301"/>
      <c r="AU132" s="301"/>
      <c r="AV132" s="301"/>
      <c r="AW132" s="301"/>
      <c r="AX132" s="301"/>
      <c r="AY132" s="301"/>
      <c r="AZ132" s="301"/>
      <c r="BA132" s="301"/>
      <c r="BB132" s="301"/>
      <c r="BC132" s="301"/>
      <c r="BD132" s="301"/>
      <c r="BE132" s="301"/>
      <c r="BF132" s="302"/>
      <c r="BG132" s="303"/>
      <c r="BH132" s="304"/>
      <c r="BI132" s="304"/>
      <c r="BJ132" s="304"/>
      <c r="BK132" s="304">
        <v>10</v>
      </c>
      <c r="BL132" s="304"/>
      <c r="BM132" s="304"/>
      <c r="BN132" s="304"/>
      <c r="BO132" s="304"/>
      <c r="BP132" s="304"/>
      <c r="BQ132" s="304"/>
      <c r="BR132" s="304"/>
      <c r="BS132" s="304"/>
      <c r="BT132" s="304"/>
      <c r="BU132" s="304"/>
      <c r="BV132" s="304"/>
      <c r="BW132" s="304"/>
      <c r="BX132" s="304"/>
      <c r="BY132" s="305"/>
      <c r="BZ132" s="306"/>
      <c r="CA132" s="307"/>
      <c r="CB132" s="307"/>
      <c r="CC132" s="307"/>
      <c r="CD132" s="307"/>
      <c r="CE132" s="307"/>
      <c r="CF132" s="307"/>
      <c r="CG132" s="332"/>
      <c r="CH132" s="328"/>
      <c r="CI132" s="328"/>
      <c r="CJ132" s="328">
        <v>2</v>
      </c>
      <c r="CK132" s="328"/>
      <c r="CL132" s="328"/>
      <c r="CM132" s="328"/>
      <c r="CN132" s="370"/>
      <c r="CO132" s="367"/>
      <c r="CP132" s="367"/>
      <c r="CQ132" s="367">
        <v>10</v>
      </c>
      <c r="CR132" s="367"/>
      <c r="CS132" s="387"/>
      <c r="CT132" s="398"/>
      <c r="CU132" s="399"/>
      <c r="CV132" s="399"/>
      <c r="CW132" s="399">
        <v>1</v>
      </c>
      <c r="CX132" s="399"/>
      <c r="CY132" s="399"/>
      <c r="CZ132" s="399"/>
      <c r="DA132" s="400"/>
      <c r="DB132" s="522">
        <v>1</v>
      </c>
    </row>
    <row r="133" spans="1:106" x14ac:dyDescent="0.25">
      <c r="A133" s="468" t="s">
        <v>208</v>
      </c>
      <c r="B133" s="468">
        <v>815</v>
      </c>
      <c r="C133" s="468" t="s">
        <v>1980</v>
      </c>
      <c r="D133" s="468">
        <v>866</v>
      </c>
      <c r="E133" s="468" t="s">
        <v>1981</v>
      </c>
      <c r="F133" s="468" t="s">
        <v>1982</v>
      </c>
      <c r="G133" s="468" t="s">
        <v>1983</v>
      </c>
      <c r="H133" s="468" t="s">
        <v>1595</v>
      </c>
      <c r="I133" s="468" t="s">
        <v>213</v>
      </c>
      <c r="J133" s="468" t="s">
        <v>3290</v>
      </c>
      <c r="K133" s="468" t="s">
        <v>1984</v>
      </c>
      <c r="L133" s="468" t="s">
        <v>3737</v>
      </c>
      <c r="M133" s="468" t="s">
        <v>4022</v>
      </c>
      <c r="N133" s="460">
        <v>0</v>
      </c>
      <c r="O133" s="294"/>
      <c r="P133" s="294"/>
      <c r="Q133" s="294"/>
      <c r="R133" s="294"/>
      <c r="S133" s="295"/>
      <c r="T133" s="299"/>
      <c r="U133" s="297"/>
      <c r="V133" s="297"/>
      <c r="W133" s="297"/>
      <c r="X133" s="297">
        <v>0</v>
      </c>
      <c r="Y133" s="297"/>
      <c r="Z133" s="297"/>
      <c r="AA133" s="297"/>
      <c r="AB133" s="293">
        <v>0</v>
      </c>
      <c r="AC133" s="294"/>
      <c r="AD133" s="295"/>
      <c r="AE133" s="298"/>
      <c r="AF133" s="299"/>
      <c r="AG133" s="297"/>
      <c r="AH133" s="297"/>
      <c r="AI133" s="297">
        <v>1</v>
      </c>
      <c r="AJ133" s="297"/>
      <c r="AK133" s="297"/>
      <c r="AL133" s="297"/>
      <c r="AM133" s="297"/>
      <c r="AN133" s="300"/>
      <c r="AO133" s="301"/>
      <c r="AP133" s="301"/>
      <c r="AQ133" s="301"/>
      <c r="AR133" s="301">
        <v>1500</v>
      </c>
      <c r="AS133" s="301"/>
      <c r="AT133" s="301"/>
      <c r="AU133" s="301"/>
      <c r="AV133" s="301"/>
      <c r="AW133" s="301"/>
      <c r="AX133" s="301"/>
      <c r="AY133" s="301"/>
      <c r="AZ133" s="301"/>
      <c r="BA133" s="301"/>
      <c r="BB133" s="301"/>
      <c r="BC133" s="301"/>
      <c r="BD133" s="301"/>
      <c r="BE133" s="301"/>
      <c r="BF133" s="302"/>
      <c r="BG133" s="303"/>
      <c r="BH133" s="304"/>
      <c r="BI133" s="304"/>
      <c r="BJ133" s="304"/>
      <c r="BK133" s="304">
        <v>10</v>
      </c>
      <c r="BL133" s="304"/>
      <c r="BM133" s="304"/>
      <c r="BN133" s="304"/>
      <c r="BO133" s="304"/>
      <c r="BP133" s="304"/>
      <c r="BQ133" s="304"/>
      <c r="BR133" s="304"/>
      <c r="BS133" s="304"/>
      <c r="BT133" s="304"/>
      <c r="BU133" s="304"/>
      <c r="BV133" s="304"/>
      <c r="BW133" s="304"/>
      <c r="BX133" s="304"/>
      <c r="BY133" s="305"/>
      <c r="BZ133" s="306"/>
      <c r="CA133" s="307"/>
      <c r="CB133" s="307"/>
      <c r="CC133" s="307"/>
      <c r="CD133" s="307"/>
      <c r="CE133" s="307"/>
      <c r="CF133" s="307"/>
      <c r="CG133" s="332"/>
      <c r="CH133" s="328"/>
      <c r="CI133" s="328"/>
      <c r="CJ133" s="328">
        <v>2</v>
      </c>
      <c r="CK133" s="328"/>
      <c r="CL133" s="328"/>
      <c r="CM133" s="328"/>
      <c r="CN133" s="370"/>
      <c r="CO133" s="367"/>
      <c r="CP133" s="367"/>
      <c r="CQ133" s="367">
        <v>10</v>
      </c>
      <c r="CR133" s="367"/>
      <c r="CS133" s="387"/>
      <c r="CT133" s="398"/>
      <c r="CU133" s="399"/>
      <c r="CV133" s="399"/>
      <c r="CW133" s="399">
        <v>1</v>
      </c>
      <c r="CX133" s="399"/>
      <c r="CY133" s="399"/>
      <c r="CZ133" s="399"/>
      <c r="DA133" s="400"/>
      <c r="DB133" s="522">
        <v>1</v>
      </c>
    </row>
    <row r="134" spans="1:106" x14ac:dyDescent="0.25">
      <c r="A134" s="468" t="s">
        <v>208</v>
      </c>
      <c r="B134" s="468">
        <v>815</v>
      </c>
      <c r="C134" s="468" t="s">
        <v>1990</v>
      </c>
      <c r="D134" s="468">
        <v>868</v>
      </c>
      <c r="E134" s="468" t="s">
        <v>1991</v>
      </c>
      <c r="F134" s="468" t="s">
        <v>1992</v>
      </c>
      <c r="G134" s="468" t="s">
        <v>1993</v>
      </c>
      <c r="H134" s="468" t="s">
        <v>333</v>
      </c>
      <c r="I134" s="468" t="s">
        <v>213</v>
      </c>
      <c r="J134" s="468" t="s">
        <v>3292</v>
      </c>
      <c r="K134" s="468" t="s">
        <v>1994</v>
      </c>
      <c r="L134" s="468" t="s">
        <v>3737</v>
      </c>
      <c r="M134" s="468" t="s">
        <v>4022</v>
      </c>
      <c r="N134" s="460">
        <v>0</v>
      </c>
      <c r="O134" s="294"/>
      <c r="P134" s="294"/>
      <c r="Q134" s="294"/>
      <c r="R134" s="294"/>
      <c r="S134" s="295"/>
      <c r="T134" s="299"/>
      <c r="U134" s="297"/>
      <c r="V134" s="297"/>
      <c r="W134" s="297"/>
      <c r="X134" s="297">
        <v>2</v>
      </c>
      <c r="Y134" s="297"/>
      <c r="Z134" s="297"/>
      <c r="AA134" s="297"/>
      <c r="AB134" s="293">
        <v>0</v>
      </c>
      <c r="AC134" s="294"/>
      <c r="AD134" s="295"/>
      <c r="AE134" s="298"/>
      <c r="AF134" s="296">
        <v>0</v>
      </c>
      <c r="AG134" s="297"/>
      <c r="AH134" s="297"/>
      <c r="AI134" s="297"/>
      <c r="AJ134" s="297"/>
      <c r="AK134" s="297"/>
      <c r="AL134" s="297"/>
      <c r="AM134" s="297"/>
      <c r="AN134" s="300"/>
      <c r="AO134" s="301"/>
      <c r="AP134" s="301"/>
      <c r="AQ134" s="301"/>
      <c r="AR134" s="301">
        <v>1500</v>
      </c>
      <c r="AS134" s="301"/>
      <c r="AT134" s="301"/>
      <c r="AU134" s="301"/>
      <c r="AV134" s="301"/>
      <c r="AW134" s="301"/>
      <c r="AX134" s="301"/>
      <c r="AY134" s="301"/>
      <c r="AZ134" s="301"/>
      <c r="BA134" s="301"/>
      <c r="BB134" s="301"/>
      <c r="BC134" s="301"/>
      <c r="BD134" s="301"/>
      <c r="BE134" s="301"/>
      <c r="BF134" s="302"/>
      <c r="BG134" s="303"/>
      <c r="BH134" s="304"/>
      <c r="BI134" s="304"/>
      <c r="BJ134" s="304"/>
      <c r="BK134" s="304">
        <v>10</v>
      </c>
      <c r="BL134" s="304"/>
      <c r="BM134" s="304"/>
      <c r="BN134" s="304"/>
      <c r="BO134" s="304"/>
      <c r="BP134" s="304"/>
      <c r="BQ134" s="304"/>
      <c r="BR134" s="304"/>
      <c r="BS134" s="304"/>
      <c r="BT134" s="304"/>
      <c r="BU134" s="304"/>
      <c r="BV134" s="304"/>
      <c r="BW134" s="304"/>
      <c r="BX134" s="304"/>
      <c r="BY134" s="305"/>
      <c r="BZ134" s="306"/>
      <c r="CA134" s="307"/>
      <c r="CB134" s="307"/>
      <c r="CC134" s="307"/>
      <c r="CD134" s="307"/>
      <c r="CE134" s="307"/>
      <c r="CF134" s="307"/>
      <c r="CG134" s="332"/>
      <c r="CH134" s="328"/>
      <c r="CI134" s="328"/>
      <c r="CJ134" s="328">
        <v>2</v>
      </c>
      <c r="CK134" s="328"/>
      <c r="CL134" s="328"/>
      <c r="CM134" s="328"/>
      <c r="CN134" s="370"/>
      <c r="CO134" s="367"/>
      <c r="CP134" s="367"/>
      <c r="CQ134" s="367">
        <v>10</v>
      </c>
      <c r="CR134" s="367"/>
      <c r="CS134" s="387"/>
      <c r="CT134" s="398"/>
      <c r="CU134" s="399"/>
      <c r="CV134" s="399"/>
      <c r="CW134" s="399">
        <v>1</v>
      </c>
      <c r="CX134" s="399"/>
      <c r="CY134" s="399"/>
      <c r="CZ134" s="399"/>
      <c r="DA134" s="400"/>
      <c r="DB134" s="522">
        <v>1</v>
      </c>
    </row>
    <row r="135" spans="1:106" x14ac:dyDescent="0.25">
      <c r="A135" s="468" t="s">
        <v>120</v>
      </c>
      <c r="B135" s="468">
        <v>806</v>
      </c>
      <c r="C135" s="468" t="s">
        <v>2066</v>
      </c>
      <c r="D135" s="468">
        <v>398</v>
      </c>
      <c r="E135" s="468" t="s">
        <v>2067</v>
      </c>
      <c r="F135" s="468" t="s">
        <v>2068</v>
      </c>
      <c r="G135" s="468" t="s">
        <v>2069</v>
      </c>
      <c r="H135" s="468" t="s">
        <v>124</v>
      </c>
      <c r="I135" s="468" t="s">
        <v>39</v>
      </c>
      <c r="J135" s="468" t="s">
        <v>3174</v>
      </c>
      <c r="K135" s="468" t="s">
        <v>2070</v>
      </c>
      <c r="L135" s="468" t="s">
        <v>3775</v>
      </c>
      <c r="M135" s="468" t="s">
        <v>3776</v>
      </c>
      <c r="N135" s="460">
        <v>0</v>
      </c>
      <c r="O135" s="294"/>
      <c r="P135" s="294"/>
      <c r="Q135" s="294"/>
      <c r="R135" s="294"/>
      <c r="S135" s="295"/>
      <c r="T135" s="296">
        <v>0</v>
      </c>
      <c r="U135" s="297"/>
      <c r="V135" s="297"/>
      <c r="W135" s="297"/>
      <c r="X135" s="297"/>
      <c r="Y135" s="297"/>
      <c r="Z135" s="297"/>
      <c r="AA135" s="297"/>
      <c r="AB135" s="293">
        <v>0</v>
      </c>
      <c r="AC135" s="294"/>
      <c r="AD135" s="295"/>
      <c r="AE135" s="298"/>
      <c r="AF135" s="296">
        <v>0</v>
      </c>
      <c r="AG135" s="297"/>
      <c r="AH135" s="297"/>
      <c r="AI135" s="297"/>
      <c r="AJ135" s="297"/>
      <c r="AK135" s="297"/>
      <c r="AL135" s="297"/>
      <c r="AM135" s="297"/>
      <c r="AN135" s="300"/>
      <c r="AO135" s="301"/>
      <c r="AP135" s="301"/>
      <c r="AQ135" s="301"/>
      <c r="AR135" s="301"/>
      <c r="AS135" s="301"/>
      <c r="AT135" s="301"/>
      <c r="AU135" s="301"/>
      <c r="AV135" s="301"/>
      <c r="AW135" s="301"/>
      <c r="AX135" s="301"/>
      <c r="AY135" s="301"/>
      <c r="AZ135" s="301"/>
      <c r="BA135" s="301"/>
      <c r="BB135" s="301"/>
      <c r="BC135" s="301"/>
      <c r="BD135" s="301">
        <v>1500</v>
      </c>
      <c r="BE135" s="301"/>
      <c r="BF135" s="302"/>
      <c r="BG135" s="303"/>
      <c r="BH135" s="304"/>
      <c r="BI135" s="304"/>
      <c r="BJ135" s="304"/>
      <c r="BK135" s="304"/>
      <c r="BL135" s="304"/>
      <c r="BM135" s="304"/>
      <c r="BN135" s="304"/>
      <c r="BO135" s="304"/>
      <c r="BP135" s="304"/>
      <c r="BQ135" s="304"/>
      <c r="BR135" s="304"/>
      <c r="BS135" s="304"/>
      <c r="BT135" s="304"/>
      <c r="BU135" s="304"/>
      <c r="BV135" s="304"/>
      <c r="BW135" s="304">
        <v>10</v>
      </c>
      <c r="BX135" s="304"/>
      <c r="BY135" s="305"/>
      <c r="BZ135" s="308"/>
      <c r="CA135" s="307"/>
      <c r="CB135" s="307"/>
      <c r="CC135" s="307"/>
      <c r="CD135" s="309">
        <v>1</v>
      </c>
      <c r="CE135" s="307"/>
      <c r="CF135" s="307"/>
      <c r="CG135" s="332"/>
      <c r="CH135" s="328"/>
      <c r="CI135" s="328"/>
      <c r="CJ135" s="328"/>
      <c r="CK135" s="328">
        <v>2</v>
      </c>
      <c r="CL135" s="328"/>
      <c r="CM135" s="328"/>
      <c r="CN135" s="370"/>
      <c r="CO135" s="367"/>
      <c r="CP135" s="367"/>
      <c r="CQ135" s="367"/>
      <c r="CR135" s="378">
        <v>10</v>
      </c>
      <c r="CS135" s="387"/>
      <c r="CT135" s="398"/>
      <c r="CU135" s="399"/>
      <c r="CV135" s="399"/>
      <c r="CW135" s="399"/>
      <c r="CX135" s="399"/>
      <c r="CY135" s="399">
        <v>1</v>
      </c>
      <c r="CZ135" s="399"/>
      <c r="DA135" s="400"/>
      <c r="DB135" s="522">
        <v>1</v>
      </c>
    </row>
    <row r="136" spans="1:106" x14ac:dyDescent="0.25">
      <c r="A136" s="468" t="s">
        <v>120</v>
      </c>
      <c r="B136" s="468">
        <v>806</v>
      </c>
      <c r="C136" s="468" t="s">
        <v>2071</v>
      </c>
      <c r="D136" s="468">
        <v>399</v>
      </c>
      <c r="E136" s="468" t="s">
        <v>2072</v>
      </c>
      <c r="F136" s="468" t="s">
        <v>2073</v>
      </c>
      <c r="G136" s="468" t="s">
        <v>2074</v>
      </c>
      <c r="H136" s="468" t="s">
        <v>124</v>
      </c>
      <c r="I136" s="468" t="s">
        <v>39</v>
      </c>
      <c r="J136" s="468" t="s">
        <v>3172</v>
      </c>
      <c r="K136" s="468" t="s">
        <v>2075</v>
      </c>
      <c r="L136" s="468" t="s">
        <v>3775</v>
      </c>
      <c r="M136" s="468" t="s">
        <v>3776</v>
      </c>
      <c r="N136" s="460">
        <v>0</v>
      </c>
      <c r="O136" s="294"/>
      <c r="P136" s="294"/>
      <c r="Q136" s="294"/>
      <c r="R136" s="294"/>
      <c r="S136" s="295"/>
      <c r="T136" s="299"/>
      <c r="U136" s="297"/>
      <c r="V136" s="297"/>
      <c r="W136" s="297"/>
      <c r="X136" s="297"/>
      <c r="Y136" s="297">
        <v>2</v>
      </c>
      <c r="Z136" s="297"/>
      <c r="AA136" s="297"/>
      <c r="AB136" s="293">
        <v>0</v>
      </c>
      <c r="AC136" s="294"/>
      <c r="AD136" s="295"/>
      <c r="AE136" s="298"/>
      <c r="AF136" s="296">
        <v>0</v>
      </c>
      <c r="AG136" s="297"/>
      <c r="AH136" s="297"/>
      <c r="AI136" s="297"/>
      <c r="AJ136" s="297"/>
      <c r="AK136" s="297"/>
      <c r="AL136" s="297"/>
      <c r="AM136" s="297"/>
      <c r="AN136" s="300"/>
      <c r="AO136" s="301"/>
      <c r="AP136" s="301"/>
      <c r="AQ136" s="301"/>
      <c r="AR136" s="301"/>
      <c r="AS136" s="301"/>
      <c r="AT136" s="301"/>
      <c r="AU136" s="301"/>
      <c r="AV136" s="301"/>
      <c r="AW136" s="301"/>
      <c r="AX136" s="301"/>
      <c r="AY136" s="301"/>
      <c r="AZ136" s="301"/>
      <c r="BA136" s="301"/>
      <c r="BB136" s="301"/>
      <c r="BC136" s="301"/>
      <c r="BD136" s="301">
        <v>1500</v>
      </c>
      <c r="BE136" s="301"/>
      <c r="BF136" s="302"/>
      <c r="BG136" s="303"/>
      <c r="BH136" s="304"/>
      <c r="BI136" s="304"/>
      <c r="BJ136" s="304"/>
      <c r="BK136" s="304"/>
      <c r="BL136" s="304"/>
      <c r="BM136" s="304"/>
      <c r="BN136" s="304"/>
      <c r="BO136" s="304"/>
      <c r="BP136" s="304"/>
      <c r="BQ136" s="304"/>
      <c r="BR136" s="304"/>
      <c r="BS136" s="304"/>
      <c r="BT136" s="304"/>
      <c r="BU136" s="304"/>
      <c r="BV136" s="304"/>
      <c r="BW136" s="304">
        <v>10</v>
      </c>
      <c r="BX136" s="304"/>
      <c r="BY136" s="305"/>
      <c r="BZ136" s="306"/>
      <c r="CA136" s="307"/>
      <c r="CB136" s="307"/>
      <c r="CC136" s="307"/>
      <c r="CD136" s="307"/>
      <c r="CE136" s="307"/>
      <c r="CF136" s="307"/>
      <c r="CG136" s="332"/>
      <c r="CH136" s="328"/>
      <c r="CI136" s="328"/>
      <c r="CJ136" s="328"/>
      <c r="CK136" s="328">
        <v>2</v>
      </c>
      <c r="CL136" s="328"/>
      <c r="CM136" s="328"/>
      <c r="CN136" s="370"/>
      <c r="CO136" s="367"/>
      <c r="CP136" s="367"/>
      <c r="CQ136" s="367"/>
      <c r="CR136" s="378">
        <v>10</v>
      </c>
      <c r="CS136" s="387"/>
      <c r="CT136" s="398"/>
      <c r="CU136" s="399"/>
      <c r="CV136" s="399"/>
      <c r="CW136" s="399"/>
      <c r="CX136" s="399"/>
      <c r="CY136" s="399">
        <v>1</v>
      </c>
      <c r="CZ136" s="399"/>
      <c r="DA136" s="400"/>
      <c r="DB136" s="522">
        <v>1</v>
      </c>
    </row>
    <row r="137" spans="1:106" x14ac:dyDescent="0.25">
      <c r="A137" s="468" t="s">
        <v>120</v>
      </c>
      <c r="B137" s="468">
        <v>806</v>
      </c>
      <c r="C137" s="468" t="s">
        <v>3498</v>
      </c>
      <c r="D137" s="468">
        <v>1394</v>
      </c>
      <c r="E137" s="468" t="s">
        <v>2008</v>
      </c>
      <c r="F137" s="468" t="s">
        <v>2009</v>
      </c>
      <c r="G137" s="468" t="s">
        <v>2010</v>
      </c>
      <c r="H137" s="468" t="s">
        <v>124</v>
      </c>
      <c r="I137" s="468" t="s">
        <v>39</v>
      </c>
      <c r="J137" s="468" t="s">
        <v>3499</v>
      </c>
      <c r="K137" s="468" t="s">
        <v>2011</v>
      </c>
      <c r="L137" s="468" t="s">
        <v>3775</v>
      </c>
      <c r="M137" s="468" t="s">
        <v>3776</v>
      </c>
      <c r="N137" s="461"/>
      <c r="O137" s="294"/>
      <c r="P137" s="294"/>
      <c r="Q137" s="294"/>
      <c r="R137" s="294"/>
      <c r="S137" s="295">
        <v>1</v>
      </c>
      <c r="T137" s="299"/>
      <c r="U137" s="297"/>
      <c r="V137" s="297"/>
      <c r="W137" s="297"/>
      <c r="X137" s="297"/>
      <c r="Y137" s="297"/>
      <c r="Z137" s="297"/>
      <c r="AA137" s="297"/>
      <c r="AB137" s="293"/>
      <c r="AC137" s="294"/>
      <c r="AD137" s="295"/>
      <c r="AE137" s="298"/>
      <c r="AF137" s="296"/>
      <c r="AG137" s="297"/>
      <c r="AH137" s="297"/>
      <c r="AI137" s="297"/>
      <c r="AJ137" s="297"/>
      <c r="AK137" s="297"/>
      <c r="AL137" s="297"/>
      <c r="AM137" s="297"/>
      <c r="AN137" s="300"/>
      <c r="AO137" s="301"/>
      <c r="AP137" s="301"/>
      <c r="AQ137" s="301"/>
      <c r="AR137" s="301"/>
      <c r="AS137" s="301"/>
      <c r="AT137" s="301"/>
      <c r="AU137" s="301"/>
      <c r="AV137" s="301"/>
      <c r="AW137" s="301"/>
      <c r="AX137" s="301"/>
      <c r="AY137" s="301"/>
      <c r="AZ137" s="301"/>
      <c r="BA137" s="301"/>
      <c r="BB137" s="301"/>
      <c r="BC137" s="301"/>
      <c r="BD137" s="301">
        <v>1500</v>
      </c>
      <c r="BE137" s="301"/>
      <c r="BF137" s="302"/>
      <c r="BG137" s="303"/>
      <c r="BH137" s="304"/>
      <c r="BI137" s="304"/>
      <c r="BJ137" s="304"/>
      <c r="BK137" s="304"/>
      <c r="BL137" s="304"/>
      <c r="BM137" s="304"/>
      <c r="BN137" s="304"/>
      <c r="BO137" s="304"/>
      <c r="BP137" s="304"/>
      <c r="BQ137" s="304"/>
      <c r="BR137" s="304"/>
      <c r="BS137" s="304"/>
      <c r="BT137" s="304"/>
      <c r="BU137" s="304"/>
      <c r="BV137" s="304"/>
      <c r="BW137" s="304">
        <v>10</v>
      </c>
      <c r="BX137" s="304"/>
      <c r="BY137" s="305"/>
      <c r="BZ137" s="306"/>
      <c r="CA137" s="307"/>
      <c r="CB137" s="307"/>
      <c r="CC137" s="307"/>
      <c r="CD137" s="307"/>
      <c r="CE137" s="307"/>
      <c r="CF137" s="307"/>
      <c r="CG137" s="332"/>
      <c r="CH137" s="328"/>
      <c r="CI137" s="328"/>
      <c r="CJ137" s="328"/>
      <c r="CK137" s="328">
        <v>2</v>
      </c>
      <c r="CL137" s="328"/>
      <c r="CM137" s="328"/>
      <c r="CN137" s="370"/>
      <c r="CO137" s="367"/>
      <c r="CP137" s="367"/>
      <c r="CQ137" s="367"/>
      <c r="CR137" s="378">
        <v>10</v>
      </c>
      <c r="CS137" s="387"/>
      <c r="CT137" s="398"/>
      <c r="CU137" s="399"/>
      <c r="CV137" s="399"/>
      <c r="CW137" s="399"/>
      <c r="CX137" s="399"/>
      <c r="CY137" s="399">
        <v>1</v>
      </c>
      <c r="CZ137" s="399"/>
      <c r="DA137" s="400"/>
      <c r="DB137" s="522">
        <v>1</v>
      </c>
    </row>
    <row r="138" spans="1:106" x14ac:dyDescent="0.25">
      <c r="A138" s="468" t="s">
        <v>120</v>
      </c>
      <c r="B138" s="468">
        <v>806</v>
      </c>
      <c r="C138" s="468" t="s">
        <v>3500</v>
      </c>
      <c r="D138" s="468">
        <v>1395</v>
      </c>
      <c r="E138" s="468" t="s">
        <v>2012</v>
      </c>
      <c r="F138" s="468" t="s">
        <v>2013</v>
      </c>
      <c r="G138" s="468" t="s">
        <v>2014</v>
      </c>
      <c r="H138" s="468" t="s">
        <v>2015</v>
      </c>
      <c r="I138" s="468" t="s">
        <v>39</v>
      </c>
      <c r="J138" s="468" t="s">
        <v>3173</v>
      </c>
      <c r="K138" s="468" t="s">
        <v>2016</v>
      </c>
      <c r="L138" s="468" t="s">
        <v>3775</v>
      </c>
      <c r="M138" s="468" t="s">
        <v>3776</v>
      </c>
      <c r="N138" s="461"/>
      <c r="O138" s="294"/>
      <c r="P138" s="294"/>
      <c r="Q138" s="294"/>
      <c r="R138" s="294"/>
      <c r="S138" s="295">
        <v>0</v>
      </c>
      <c r="T138" s="299"/>
      <c r="U138" s="297"/>
      <c r="V138" s="297"/>
      <c r="W138" s="297"/>
      <c r="X138" s="297"/>
      <c r="Y138" s="297">
        <v>1</v>
      </c>
      <c r="Z138" s="297"/>
      <c r="AA138" s="297"/>
      <c r="AB138" s="293">
        <v>0</v>
      </c>
      <c r="AC138" s="294"/>
      <c r="AD138" s="295"/>
      <c r="AE138" s="298"/>
      <c r="AF138" s="296">
        <v>0</v>
      </c>
      <c r="AG138" s="297"/>
      <c r="AH138" s="297"/>
      <c r="AI138" s="297"/>
      <c r="AJ138" s="297"/>
      <c r="AK138" s="297"/>
      <c r="AL138" s="297"/>
      <c r="AM138" s="297"/>
      <c r="AN138" s="300"/>
      <c r="AO138" s="301"/>
      <c r="AP138" s="301"/>
      <c r="AQ138" s="301"/>
      <c r="AR138" s="301"/>
      <c r="AS138" s="301"/>
      <c r="AT138" s="301"/>
      <c r="AU138" s="301"/>
      <c r="AV138" s="301"/>
      <c r="AW138" s="301"/>
      <c r="AX138" s="301"/>
      <c r="AY138" s="301"/>
      <c r="AZ138" s="301"/>
      <c r="BA138" s="301"/>
      <c r="BB138" s="301"/>
      <c r="BC138" s="301"/>
      <c r="BD138" s="301">
        <v>1500</v>
      </c>
      <c r="BE138" s="301"/>
      <c r="BF138" s="302"/>
      <c r="BG138" s="303"/>
      <c r="BH138" s="304"/>
      <c r="BI138" s="304"/>
      <c r="BJ138" s="304"/>
      <c r="BK138" s="304"/>
      <c r="BL138" s="304"/>
      <c r="BM138" s="304"/>
      <c r="BN138" s="304"/>
      <c r="BO138" s="304"/>
      <c r="BP138" s="304"/>
      <c r="BQ138" s="304"/>
      <c r="BR138" s="304"/>
      <c r="BS138" s="304"/>
      <c r="BT138" s="304"/>
      <c r="BU138" s="304"/>
      <c r="BV138" s="304"/>
      <c r="BW138" s="304">
        <v>10</v>
      </c>
      <c r="BX138" s="304"/>
      <c r="BY138" s="305"/>
      <c r="BZ138" s="306"/>
      <c r="CA138" s="307"/>
      <c r="CB138" s="307"/>
      <c r="CC138" s="307"/>
      <c r="CD138" s="307"/>
      <c r="CE138" s="307"/>
      <c r="CF138" s="307"/>
      <c r="CG138" s="332"/>
      <c r="CH138" s="328"/>
      <c r="CI138" s="328"/>
      <c r="CJ138" s="328"/>
      <c r="CK138" s="328">
        <v>2</v>
      </c>
      <c r="CL138" s="328"/>
      <c r="CM138" s="328"/>
      <c r="CN138" s="370"/>
      <c r="CO138" s="367"/>
      <c r="CP138" s="367"/>
      <c r="CQ138" s="367"/>
      <c r="CR138" s="378">
        <v>10</v>
      </c>
      <c r="CS138" s="387"/>
      <c r="CT138" s="398"/>
      <c r="CU138" s="399"/>
      <c r="CV138" s="399"/>
      <c r="CW138" s="399"/>
      <c r="CX138" s="399"/>
      <c r="CY138" s="399">
        <v>1</v>
      </c>
      <c r="CZ138" s="399"/>
      <c r="DA138" s="400"/>
      <c r="DB138" s="522">
        <v>1</v>
      </c>
    </row>
    <row r="139" spans="1:106" x14ac:dyDescent="0.25">
      <c r="A139" s="468" t="s">
        <v>120</v>
      </c>
      <c r="B139" s="468">
        <v>806</v>
      </c>
      <c r="C139" s="468" t="s">
        <v>3671</v>
      </c>
      <c r="D139" s="468">
        <v>2502</v>
      </c>
      <c r="E139" s="468" t="s">
        <v>2017</v>
      </c>
      <c r="F139" s="468" t="s">
        <v>2018</v>
      </c>
      <c r="G139" s="468" t="s">
        <v>2019</v>
      </c>
      <c r="H139" s="468" t="s">
        <v>124</v>
      </c>
      <c r="I139" s="468" t="s">
        <v>39</v>
      </c>
      <c r="J139" s="468" t="s">
        <v>3178</v>
      </c>
      <c r="K139" s="468" t="s">
        <v>2020</v>
      </c>
      <c r="L139" s="468" t="s">
        <v>3775</v>
      </c>
      <c r="M139" s="468" t="s">
        <v>3776</v>
      </c>
      <c r="N139" s="461"/>
      <c r="O139" s="294"/>
      <c r="P139" s="294"/>
      <c r="Q139" s="294"/>
      <c r="R139" s="294"/>
      <c r="S139" s="295">
        <v>1</v>
      </c>
      <c r="T139" s="299"/>
      <c r="U139" s="297"/>
      <c r="V139" s="297"/>
      <c r="W139" s="297"/>
      <c r="X139" s="297"/>
      <c r="Y139" s="297">
        <v>0</v>
      </c>
      <c r="Z139" s="297"/>
      <c r="AA139" s="297"/>
      <c r="AB139" s="293">
        <v>0</v>
      </c>
      <c r="AC139" s="294"/>
      <c r="AD139" s="295"/>
      <c r="AE139" s="298"/>
      <c r="AF139" s="296">
        <v>0</v>
      </c>
      <c r="AG139" s="297"/>
      <c r="AH139" s="297"/>
      <c r="AI139" s="297"/>
      <c r="AJ139" s="297"/>
      <c r="AK139" s="297"/>
      <c r="AL139" s="297"/>
      <c r="AM139" s="297"/>
      <c r="AN139" s="300"/>
      <c r="AO139" s="301"/>
      <c r="AP139" s="301"/>
      <c r="AQ139" s="301"/>
      <c r="AR139" s="301"/>
      <c r="AS139" s="301"/>
      <c r="AT139" s="301"/>
      <c r="AU139" s="301"/>
      <c r="AV139" s="301"/>
      <c r="AW139" s="301"/>
      <c r="AX139" s="301"/>
      <c r="AY139" s="301"/>
      <c r="AZ139" s="301"/>
      <c r="BA139" s="301"/>
      <c r="BB139" s="301"/>
      <c r="BC139" s="301"/>
      <c r="BD139" s="301">
        <v>1500</v>
      </c>
      <c r="BE139" s="301"/>
      <c r="BF139" s="302"/>
      <c r="BG139" s="303"/>
      <c r="BH139" s="304"/>
      <c r="BI139" s="304"/>
      <c r="BJ139" s="304"/>
      <c r="BK139" s="304"/>
      <c r="BL139" s="304"/>
      <c r="BM139" s="304"/>
      <c r="BN139" s="304"/>
      <c r="BO139" s="304"/>
      <c r="BP139" s="304"/>
      <c r="BQ139" s="304"/>
      <c r="BR139" s="304"/>
      <c r="BS139" s="304"/>
      <c r="BT139" s="304"/>
      <c r="BU139" s="304"/>
      <c r="BV139" s="304"/>
      <c r="BW139" s="304">
        <v>10</v>
      </c>
      <c r="BX139" s="304"/>
      <c r="BY139" s="305"/>
      <c r="BZ139" s="306"/>
      <c r="CA139" s="307"/>
      <c r="CB139" s="307"/>
      <c r="CC139" s="307"/>
      <c r="CD139" s="307"/>
      <c r="CE139" s="307"/>
      <c r="CF139" s="307"/>
      <c r="CG139" s="332"/>
      <c r="CH139" s="328"/>
      <c r="CI139" s="328"/>
      <c r="CJ139" s="328"/>
      <c r="CK139" s="328">
        <v>2</v>
      </c>
      <c r="CL139" s="328"/>
      <c r="CM139" s="328"/>
      <c r="CN139" s="370"/>
      <c r="CO139" s="367"/>
      <c r="CP139" s="367"/>
      <c r="CQ139" s="367"/>
      <c r="CR139" s="378">
        <v>10</v>
      </c>
      <c r="CS139" s="387"/>
      <c r="CT139" s="398"/>
      <c r="CU139" s="399"/>
      <c r="CV139" s="399"/>
      <c r="CW139" s="399"/>
      <c r="CX139" s="399"/>
      <c r="CY139" s="399">
        <v>1</v>
      </c>
      <c r="CZ139" s="399"/>
      <c r="DA139" s="400"/>
      <c r="DB139" s="522">
        <v>1</v>
      </c>
    </row>
    <row r="140" spans="1:106" x14ac:dyDescent="0.25">
      <c r="A140" s="468" t="s">
        <v>120</v>
      </c>
      <c r="B140" s="468">
        <v>806</v>
      </c>
      <c r="C140" s="468" t="s">
        <v>3672</v>
      </c>
      <c r="D140" s="468">
        <v>2504</v>
      </c>
      <c r="E140" s="468" t="s">
        <v>2021</v>
      </c>
      <c r="F140" s="468" t="s">
        <v>2022</v>
      </c>
      <c r="G140" s="468" t="s">
        <v>2023</v>
      </c>
      <c r="H140" s="468" t="s">
        <v>2015</v>
      </c>
      <c r="I140" s="468" t="s">
        <v>39</v>
      </c>
      <c r="J140" s="468" t="s">
        <v>3673</v>
      </c>
      <c r="K140" s="468" t="s">
        <v>2024</v>
      </c>
      <c r="L140" s="468" t="s">
        <v>3775</v>
      </c>
      <c r="M140" s="468" t="s">
        <v>3776</v>
      </c>
      <c r="N140" s="461"/>
      <c r="O140" s="294"/>
      <c r="P140" s="294"/>
      <c r="Q140" s="294"/>
      <c r="R140" s="294"/>
      <c r="S140" s="295">
        <v>1</v>
      </c>
      <c r="T140" s="299"/>
      <c r="U140" s="297"/>
      <c r="V140" s="297"/>
      <c r="W140" s="297"/>
      <c r="X140" s="297"/>
      <c r="Y140" s="297">
        <v>0</v>
      </c>
      <c r="Z140" s="297"/>
      <c r="AA140" s="297"/>
      <c r="AB140" s="293">
        <v>0</v>
      </c>
      <c r="AC140" s="294"/>
      <c r="AD140" s="295"/>
      <c r="AE140" s="298"/>
      <c r="AF140" s="296">
        <v>0</v>
      </c>
      <c r="AG140" s="297"/>
      <c r="AH140" s="297"/>
      <c r="AI140" s="297"/>
      <c r="AJ140" s="297"/>
      <c r="AK140" s="297"/>
      <c r="AL140" s="297"/>
      <c r="AM140" s="297"/>
      <c r="AN140" s="300"/>
      <c r="AO140" s="301"/>
      <c r="AP140" s="301"/>
      <c r="AQ140" s="301"/>
      <c r="AR140" s="301"/>
      <c r="AS140" s="301"/>
      <c r="AT140" s="301"/>
      <c r="AU140" s="301"/>
      <c r="AV140" s="301"/>
      <c r="AW140" s="301"/>
      <c r="AX140" s="301"/>
      <c r="AY140" s="301"/>
      <c r="AZ140" s="301"/>
      <c r="BA140" s="301"/>
      <c r="BB140" s="301"/>
      <c r="BC140" s="301"/>
      <c r="BD140" s="301">
        <v>1500</v>
      </c>
      <c r="BE140" s="301"/>
      <c r="BF140" s="302"/>
      <c r="BG140" s="303"/>
      <c r="BH140" s="304"/>
      <c r="BI140" s="304"/>
      <c r="BJ140" s="304"/>
      <c r="BK140" s="304"/>
      <c r="BL140" s="304"/>
      <c r="BM140" s="304"/>
      <c r="BN140" s="304"/>
      <c r="BO140" s="304"/>
      <c r="BP140" s="304"/>
      <c r="BQ140" s="304"/>
      <c r="BR140" s="304"/>
      <c r="BS140" s="304"/>
      <c r="BT140" s="304"/>
      <c r="BU140" s="304"/>
      <c r="BV140" s="304"/>
      <c r="BW140" s="304">
        <v>10</v>
      </c>
      <c r="BX140" s="304"/>
      <c r="BY140" s="305"/>
      <c r="BZ140" s="306"/>
      <c r="CA140" s="307"/>
      <c r="CB140" s="307"/>
      <c r="CC140" s="307"/>
      <c r="CD140" s="307"/>
      <c r="CE140" s="307"/>
      <c r="CF140" s="307"/>
      <c r="CG140" s="332"/>
      <c r="CH140" s="328"/>
      <c r="CI140" s="328"/>
      <c r="CJ140" s="328"/>
      <c r="CK140" s="328">
        <v>2</v>
      </c>
      <c r="CL140" s="328"/>
      <c r="CM140" s="328"/>
      <c r="CN140" s="370"/>
      <c r="CO140" s="367"/>
      <c r="CP140" s="367"/>
      <c r="CQ140" s="367"/>
      <c r="CR140" s="378">
        <v>10</v>
      </c>
      <c r="CS140" s="387"/>
      <c r="CT140" s="398"/>
      <c r="CU140" s="399"/>
      <c r="CV140" s="399"/>
      <c r="CW140" s="399"/>
      <c r="CX140" s="399"/>
      <c r="CY140" s="399">
        <v>1</v>
      </c>
      <c r="CZ140" s="399"/>
      <c r="DA140" s="400"/>
      <c r="DB140" s="522">
        <v>1</v>
      </c>
    </row>
    <row r="141" spans="1:106" x14ac:dyDescent="0.25">
      <c r="A141" s="468" t="s">
        <v>253</v>
      </c>
      <c r="B141" s="468">
        <v>801</v>
      </c>
      <c r="C141" s="468" t="s">
        <v>3593</v>
      </c>
      <c r="D141" s="468">
        <v>1686</v>
      </c>
      <c r="E141" s="468" t="s">
        <v>254</v>
      </c>
      <c r="F141" s="468" t="s">
        <v>2108</v>
      </c>
      <c r="G141" s="468" t="s">
        <v>255</v>
      </c>
      <c r="H141" s="468" t="s">
        <v>256</v>
      </c>
      <c r="I141" s="468" t="s">
        <v>257</v>
      </c>
      <c r="J141" s="468" t="s">
        <v>3594</v>
      </c>
      <c r="K141" s="468" t="s">
        <v>258</v>
      </c>
      <c r="L141" s="468" t="s">
        <v>3737</v>
      </c>
      <c r="M141" s="468" t="s">
        <v>3851</v>
      </c>
      <c r="N141" s="461"/>
      <c r="O141" s="294"/>
      <c r="P141" s="294"/>
      <c r="Q141" s="294"/>
      <c r="R141" s="294">
        <v>2</v>
      </c>
      <c r="S141" s="295"/>
      <c r="T141" s="299"/>
      <c r="U141" s="297"/>
      <c r="V141" s="297"/>
      <c r="W141" s="297"/>
      <c r="X141" s="297"/>
      <c r="Y141" s="297">
        <v>0</v>
      </c>
      <c r="Z141" s="297"/>
      <c r="AA141" s="297"/>
      <c r="AB141" s="293">
        <v>0</v>
      </c>
      <c r="AC141" s="294"/>
      <c r="AD141" s="295"/>
      <c r="AE141" s="298"/>
      <c r="AF141" s="296">
        <v>0</v>
      </c>
      <c r="AG141" s="297"/>
      <c r="AH141" s="297"/>
      <c r="AI141" s="297"/>
      <c r="AJ141" s="297"/>
      <c r="AK141" s="297"/>
      <c r="AL141" s="297"/>
      <c r="AM141" s="297"/>
      <c r="AN141" s="300"/>
      <c r="AO141" s="301"/>
      <c r="AP141" s="301"/>
      <c r="AQ141" s="301"/>
      <c r="AR141" s="301"/>
      <c r="AS141" s="301"/>
      <c r="AT141" s="301"/>
      <c r="AU141" s="301"/>
      <c r="AV141" s="301"/>
      <c r="AW141" s="301"/>
      <c r="AX141" s="301"/>
      <c r="AY141" s="301"/>
      <c r="AZ141" s="301"/>
      <c r="BA141" s="301"/>
      <c r="BB141" s="301"/>
      <c r="BC141" s="301">
        <v>1500</v>
      </c>
      <c r="BD141" s="301"/>
      <c r="BE141" s="301"/>
      <c r="BF141" s="302"/>
      <c r="BG141" s="303"/>
      <c r="BH141" s="304"/>
      <c r="BI141" s="304"/>
      <c r="BJ141" s="304"/>
      <c r="BK141" s="304"/>
      <c r="BL141" s="304"/>
      <c r="BM141" s="304"/>
      <c r="BN141" s="304"/>
      <c r="BO141" s="304"/>
      <c r="BP141" s="304"/>
      <c r="BQ141" s="304"/>
      <c r="BR141" s="304"/>
      <c r="BS141" s="304"/>
      <c r="BT141" s="304"/>
      <c r="BU141" s="304"/>
      <c r="BV141" s="304">
        <v>10</v>
      </c>
      <c r="BW141" s="304"/>
      <c r="BX141" s="304"/>
      <c r="BY141" s="305"/>
      <c r="BZ141" s="306"/>
      <c r="CA141" s="307"/>
      <c r="CB141" s="307"/>
      <c r="CC141" s="307"/>
      <c r="CD141" s="307"/>
      <c r="CE141" s="307"/>
      <c r="CF141" s="307"/>
      <c r="CG141" s="332"/>
      <c r="CH141" s="328"/>
      <c r="CI141" s="328"/>
      <c r="CJ141" s="328">
        <v>2</v>
      </c>
      <c r="CK141" s="328"/>
      <c r="CL141" s="328"/>
      <c r="CM141" s="328"/>
      <c r="CN141" s="370"/>
      <c r="CO141" s="367"/>
      <c r="CP141" s="367"/>
      <c r="CQ141" s="367">
        <v>10</v>
      </c>
      <c r="CR141" s="367"/>
      <c r="CS141" s="387"/>
      <c r="CT141" s="398"/>
      <c r="CU141" s="399"/>
      <c r="CV141" s="399"/>
      <c r="CW141" s="399"/>
      <c r="CX141" s="399">
        <v>1</v>
      </c>
      <c r="CY141" s="399"/>
      <c r="CZ141" s="399"/>
      <c r="DA141" s="400"/>
      <c r="DB141" s="522">
        <v>1</v>
      </c>
    </row>
    <row r="142" spans="1:106" x14ac:dyDescent="0.25">
      <c r="A142" s="468" t="s">
        <v>253</v>
      </c>
      <c r="B142" s="468">
        <v>801</v>
      </c>
      <c r="C142" s="468" t="s">
        <v>3595</v>
      </c>
      <c r="D142" s="468">
        <v>1687</v>
      </c>
      <c r="E142" s="468" t="s">
        <v>2101</v>
      </c>
      <c r="F142" s="468" t="s">
        <v>2102</v>
      </c>
      <c r="G142" s="468" t="s">
        <v>2103</v>
      </c>
      <c r="H142" s="468" t="s">
        <v>2104</v>
      </c>
      <c r="I142" s="468" t="s">
        <v>257</v>
      </c>
      <c r="J142" s="468" t="s">
        <v>3596</v>
      </c>
      <c r="K142" s="468" t="s">
        <v>2105</v>
      </c>
      <c r="L142" s="468" t="s">
        <v>3737</v>
      </c>
      <c r="M142" s="468" t="s">
        <v>3851</v>
      </c>
      <c r="N142" s="461"/>
      <c r="O142" s="294"/>
      <c r="P142" s="294"/>
      <c r="Q142" s="294"/>
      <c r="R142" s="294">
        <v>1</v>
      </c>
      <c r="S142" s="295"/>
      <c r="T142" s="299"/>
      <c r="U142" s="297"/>
      <c r="V142" s="297"/>
      <c r="W142" s="297"/>
      <c r="X142" s="297"/>
      <c r="Y142" s="297"/>
      <c r="Z142" s="297"/>
      <c r="AA142" s="297"/>
      <c r="AB142" s="293"/>
      <c r="AC142" s="294"/>
      <c r="AD142" s="295"/>
      <c r="AE142" s="298"/>
      <c r="AF142" s="296"/>
      <c r="AG142" s="297"/>
      <c r="AH142" s="297"/>
      <c r="AI142" s="297"/>
      <c r="AJ142" s="297"/>
      <c r="AK142" s="297"/>
      <c r="AL142" s="297"/>
      <c r="AM142" s="297"/>
      <c r="AN142" s="300"/>
      <c r="AO142" s="301"/>
      <c r="AP142" s="301"/>
      <c r="AQ142" s="301"/>
      <c r="AR142" s="301"/>
      <c r="AS142" s="301"/>
      <c r="AT142" s="301"/>
      <c r="AU142" s="301"/>
      <c r="AV142" s="301"/>
      <c r="AW142" s="301"/>
      <c r="AX142" s="301"/>
      <c r="AY142" s="301"/>
      <c r="AZ142" s="301"/>
      <c r="BA142" s="301"/>
      <c r="BB142" s="301"/>
      <c r="BC142" s="301">
        <v>1500</v>
      </c>
      <c r="BD142" s="301"/>
      <c r="BE142" s="301"/>
      <c r="BF142" s="302"/>
      <c r="BG142" s="303"/>
      <c r="BH142" s="304"/>
      <c r="BI142" s="304"/>
      <c r="BJ142" s="304"/>
      <c r="BK142" s="304"/>
      <c r="BL142" s="304"/>
      <c r="BM142" s="304"/>
      <c r="BN142" s="304"/>
      <c r="BO142" s="304"/>
      <c r="BP142" s="304"/>
      <c r="BQ142" s="304"/>
      <c r="BR142" s="304"/>
      <c r="BS142" s="304"/>
      <c r="BT142" s="304"/>
      <c r="BU142" s="304"/>
      <c r="BV142" s="304">
        <v>10</v>
      </c>
      <c r="BW142" s="304"/>
      <c r="BX142" s="304"/>
      <c r="BY142" s="305"/>
      <c r="BZ142" s="306"/>
      <c r="CA142" s="307"/>
      <c r="CB142" s="307"/>
      <c r="CC142" s="307"/>
      <c r="CD142" s="307"/>
      <c r="CE142" s="307"/>
      <c r="CF142" s="307"/>
      <c r="CG142" s="332"/>
      <c r="CH142" s="328"/>
      <c r="CI142" s="328"/>
      <c r="CJ142" s="328">
        <v>2</v>
      </c>
      <c r="CK142" s="328"/>
      <c r="CL142" s="328"/>
      <c r="CM142" s="328"/>
      <c r="CN142" s="370"/>
      <c r="CO142" s="367"/>
      <c r="CP142" s="367"/>
      <c r="CQ142" s="367">
        <v>10</v>
      </c>
      <c r="CR142" s="367"/>
      <c r="CS142" s="387"/>
      <c r="CT142" s="398"/>
      <c r="CU142" s="399"/>
      <c r="CV142" s="399"/>
      <c r="CW142" s="399"/>
      <c r="CX142" s="399">
        <v>1</v>
      </c>
      <c r="CY142" s="399"/>
      <c r="CZ142" s="399"/>
      <c r="DA142" s="400"/>
      <c r="DB142" s="522">
        <v>1</v>
      </c>
    </row>
    <row r="143" spans="1:106" x14ac:dyDescent="0.25">
      <c r="A143" s="468" t="s">
        <v>201</v>
      </c>
      <c r="B143" s="468">
        <v>816</v>
      </c>
      <c r="C143" s="468" t="s">
        <v>2134</v>
      </c>
      <c r="D143" s="468">
        <v>832</v>
      </c>
      <c r="E143" s="468" t="s">
        <v>2135</v>
      </c>
      <c r="F143" s="468" t="s">
        <v>2136</v>
      </c>
      <c r="G143" s="468" t="s">
        <v>2137</v>
      </c>
      <c r="H143" s="468" t="s">
        <v>2138</v>
      </c>
      <c r="I143" s="468" t="s">
        <v>205</v>
      </c>
      <c r="J143" s="468" t="s">
        <v>3273</v>
      </c>
      <c r="K143" s="468" t="s">
        <v>2139</v>
      </c>
      <c r="L143" s="468" t="s">
        <v>3775</v>
      </c>
      <c r="M143" s="468" t="s">
        <v>3776</v>
      </c>
      <c r="N143" s="460">
        <v>0</v>
      </c>
      <c r="O143" s="294"/>
      <c r="P143" s="294"/>
      <c r="Q143" s="294"/>
      <c r="R143" s="294"/>
      <c r="S143" s="295"/>
      <c r="T143" s="299"/>
      <c r="U143" s="297"/>
      <c r="V143" s="297"/>
      <c r="W143" s="297"/>
      <c r="X143" s="297"/>
      <c r="Y143" s="297">
        <v>0</v>
      </c>
      <c r="Z143" s="297"/>
      <c r="AA143" s="297"/>
      <c r="AB143" s="293">
        <v>0</v>
      </c>
      <c r="AC143" s="294"/>
      <c r="AD143" s="295"/>
      <c r="AE143" s="298"/>
      <c r="AF143" s="299"/>
      <c r="AG143" s="297"/>
      <c r="AH143" s="297"/>
      <c r="AI143" s="297"/>
      <c r="AJ143" s="297">
        <v>1</v>
      </c>
      <c r="AK143" s="297"/>
      <c r="AL143" s="297"/>
      <c r="AM143" s="297"/>
      <c r="AN143" s="300"/>
      <c r="AO143" s="301"/>
      <c r="AP143" s="301"/>
      <c r="AQ143" s="301"/>
      <c r="AR143" s="301"/>
      <c r="AS143" s="301"/>
      <c r="AT143" s="301"/>
      <c r="AU143" s="301"/>
      <c r="AV143" s="301"/>
      <c r="AW143" s="301"/>
      <c r="AX143" s="301"/>
      <c r="AY143" s="301"/>
      <c r="AZ143" s="301"/>
      <c r="BA143" s="301"/>
      <c r="BB143" s="301"/>
      <c r="BC143" s="301"/>
      <c r="BD143" s="301">
        <v>1500</v>
      </c>
      <c r="BE143" s="301"/>
      <c r="BF143" s="302"/>
      <c r="BG143" s="303"/>
      <c r="BH143" s="304"/>
      <c r="BI143" s="304"/>
      <c r="BJ143" s="304"/>
      <c r="BK143" s="304"/>
      <c r="BL143" s="304"/>
      <c r="BM143" s="304"/>
      <c r="BN143" s="304"/>
      <c r="BO143" s="304"/>
      <c r="BP143" s="304"/>
      <c r="BQ143" s="304"/>
      <c r="BR143" s="304"/>
      <c r="BS143" s="304"/>
      <c r="BT143" s="304"/>
      <c r="BU143" s="304"/>
      <c r="BV143" s="304"/>
      <c r="BW143" s="304">
        <v>10</v>
      </c>
      <c r="BX143" s="304"/>
      <c r="BY143" s="305"/>
      <c r="BZ143" s="306"/>
      <c r="CA143" s="307"/>
      <c r="CB143" s="307"/>
      <c r="CC143" s="307"/>
      <c r="CD143" s="307"/>
      <c r="CE143" s="307"/>
      <c r="CF143" s="307"/>
      <c r="CG143" s="332"/>
      <c r="CH143" s="328"/>
      <c r="CI143" s="328"/>
      <c r="CJ143" s="328"/>
      <c r="CK143" s="328">
        <v>2</v>
      </c>
      <c r="CL143" s="328"/>
      <c r="CM143" s="328"/>
      <c r="CN143" s="370"/>
      <c r="CO143" s="367"/>
      <c r="CP143" s="367"/>
      <c r="CQ143" s="367"/>
      <c r="CR143" s="378">
        <v>10</v>
      </c>
      <c r="CS143" s="387"/>
      <c r="CT143" s="398"/>
      <c r="CU143" s="399"/>
      <c r="CV143" s="399"/>
      <c r="CW143" s="399"/>
      <c r="CX143" s="399"/>
      <c r="CY143" s="399">
        <v>1</v>
      </c>
      <c r="CZ143" s="399"/>
      <c r="DA143" s="400"/>
      <c r="DB143" s="522">
        <v>1</v>
      </c>
    </row>
    <row r="144" spans="1:106" x14ac:dyDescent="0.25">
      <c r="A144" s="468" t="s">
        <v>201</v>
      </c>
      <c r="B144" s="468">
        <v>816</v>
      </c>
      <c r="C144" s="468" t="s">
        <v>2144</v>
      </c>
      <c r="D144" s="468">
        <v>834</v>
      </c>
      <c r="E144" s="468" t="s">
        <v>2145</v>
      </c>
      <c r="F144" s="468" t="s">
        <v>2146</v>
      </c>
      <c r="G144" s="468" t="s">
        <v>2147</v>
      </c>
      <c r="H144" s="468" t="s">
        <v>2148</v>
      </c>
      <c r="I144" s="468" t="s">
        <v>205</v>
      </c>
      <c r="J144" s="468" t="s">
        <v>3275</v>
      </c>
      <c r="K144" s="468" t="s">
        <v>2149</v>
      </c>
      <c r="L144" s="468" t="s">
        <v>3775</v>
      </c>
      <c r="M144" s="468" t="s">
        <v>3776</v>
      </c>
      <c r="N144" s="460">
        <v>0</v>
      </c>
      <c r="O144" s="294"/>
      <c r="P144" s="294"/>
      <c r="Q144" s="294"/>
      <c r="R144" s="294"/>
      <c r="S144" s="295"/>
      <c r="T144" s="299"/>
      <c r="U144" s="297"/>
      <c r="V144" s="297"/>
      <c r="W144" s="297"/>
      <c r="X144" s="297"/>
      <c r="Y144" s="297">
        <v>2</v>
      </c>
      <c r="Z144" s="297"/>
      <c r="AA144" s="297"/>
      <c r="AB144" s="293">
        <v>0</v>
      </c>
      <c r="AC144" s="294"/>
      <c r="AD144" s="295"/>
      <c r="AE144" s="298"/>
      <c r="AF144" s="299"/>
      <c r="AG144" s="297"/>
      <c r="AH144" s="297"/>
      <c r="AI144" s="297"/>
      <c r="AJ144" s="297">
        <v>0</v>
      </c>
      <c r="AK144" s="297"/>
      <c r="AL144" s="297"/>
      <c r="AM144" s="297"/>
      <c r="AN144" s="300"/>
      <c r="AO144" s="301"/>
      <c r="AP144" s="301"/>
      <c r="AQ144" s="301"/>
      <c r="AR144" s="301"/>
      <c r="AS144" s="301"/>
      <c r="AT144" s="301"/>
      <c r="AU144" s="301"/>
      <c r="AV144" s="301"/>
      <c r="AW144" s="301"/>
      <c r="AX144" s="301"/>
      <c r="AY144" s="301"/>
      <c r="AZ144" s="301"/>
      <c r="BA144" s="301"/>
      <c r="BB144" s="301"/>
      <c r="BC144" s="301"/>
      <c r="BD144" s="301">
        <v>1500</v>
      </c>
      <c r="BE144" s="301"/>
      <c r="BF144" s="302"/>
      <c r="BG144" s="303"/>
      <c r="BH144" s="304"/>
      <c r="BI144" s="304"/>
      <c r="BJ144" s="304"/>
      <c r="BK144" s="304"/>
      <c r="BL144" s="304"/>
      <c r="BM144" s="304"/>
      <c r="BN144" s="304"/>
      <c r="BO144" s="304"/>
      <c r="BP144" s="304"/>
      <c r="BQ144" s="304"/>
      <c r="BR144" s="304"/>
      <c r="BS144" s="304"/>
      <c r="BT144" s="304"/>
      <c r="BU144" s="304"/>
      <c r="BV144" s="304"/>
      <c r="BW144" s="304">
        <v>10</v>
      </c>
      <c r="BX144" s="304"/>
      <c r="BY144" s="305"/>
      <c r="BZ144" s="306"/>
      <c r="CA144" s="307"/>
      <c r="CB144" s="307"/>
      <c r="CC144" s="307"/>
      <c r="CD144" s="307"/>
      <c r="CE144" s="307"/>
      <c r="CF144" s="307"/>
      <c r="CG144" s="332"/>
      <c r="CH144" s="328"/>
      <c r="CI144" s="328"/>
      <c r="CJ144" s="328"/>
      <c r="CK144" s="328">
        <v>2</v>
      </c>
      <c r="CL144" s="328"/>
      <c r="CM144" s="328"/>
      <c r="CN144" s="370"/>
      <c r="CO144" s="367"/>
      <c r="CP144" s="367"/>
      <c r="CQ144" s="367"/>
      <c r="CR144" s="378">
        <v>10</v>
      </c>
      <c r="CS144" s="387"/>
      <c r="CT144" s="398"/>
      <c r="CU144" s="399"/>
      <c r="CV144" s="399"/>
      <c r="CW144" s="399"/>
      <c r="CX144" s="399"/>
      <c r="CY144" s="399">
        <v>1</v>
      </c>
      <c r="CZ144" s="399"/>
      <c r="DA144" s="400"/>
      <c r="DB144" s="522">
        <v>1</v>
      </c>
    </row>
    <row r="145" spans="1:106" x14ac:dyDescent="0.25">
      <c r="A145" s="468" t="s">
        <v>201</v>
      </c>
      <c r="B145" s="468">
        <v>816</v>
      </c>
      <c r="C145" s="468" t="s">
        <v>2150</v>
      </c>
      <c r="D145" s="468">
        <v>835</v>
      </c>
      <c r="E145" s="468" t="s">
        <v>2151</v>
      </c>
      <c r="F145" s="468" t="s">
        <v>2152</v>
      </c>
      <c r="G145" s="468" t="s">
        <v>2153</v>
      </c>
      <c r="H145" s="468" t="s">
        <v>2154</v>
      </c>
      <c r="I145" s="468" t="s">
        <v>205</v>
      </c>
      <c r="J145" s="468" t="s">
        <v>3276</v>
      </c>
      <c r="K145" s="468" t="s">
        <v>2155</v>
      </c>
      <c r="L145" s="468" t="s">
        <v>3775</v>
      </c>
      <c r="M145" s="468" t="s">
        <v>3776</v>
      </c>
      <c r="N145" s="460">
        <v>0</v>
      </c>
      <c r="O145" s="294"/>
      <c r="P145" s="294"/>
      <c r="Q145" s="294"/>
      <c r="R145" s="294"/>
      <c r="S145" s="295"/>
      <c r="T145" s="299"/>
      <c r="U145" s="297"/>
      <c r="V145" s="297"/>
      <c r="W145" s="297"/>
      <c r="X145" s="297"/>
      <c r="Y145" s="297">
        <v>1</v>
      </c>
      <c r="Z145" s="297"/>
      <c r="AA145" s="297"/>
      <c r="AB145" s="293">
        <v>0</v>
      </c>
      <c r="AC145" s="294"/>
      <c r="AD145" s="295"/>
      <c r="AE145" s="298"/>
      <c r="AF145" s="299"/>
      <c r="AG145" s="297"/>
      <c r="AH145" s="297"/>
      <c r="AI145" s="297"/>
      <c r="AJ145" s="297">
        <v>0</v>
      </c>
      <c r="AK145" s="297"/>
      <c r="AL145" s="297"/>
      <c r="AM145" s="297"/>
      <c r="AN145" s="300"/>
      <c r="AO145" s="301"/>
      <c r="AP145" s="301"/>
      <c r="AQ145" s="301"/>
      <c r="AR145" s="301"/>
      <c r="AS145" s="301"/>
      <c r="AT145" s="301"/>
      <c r="AU145" s="301"/>
      <c r="AV145" s="301"/>
      <c r="AW145" s="301"/>
      <c r="AX145" s="301"/>
      <c r="AY145" s="301"/>
      <c r="AZ145" s="301"/>
      <c r="BA145" s="301"/>
      <c r="BB145" s="301"/>
      <c r="BC145" s="301"/>
      <c r="BD145" s="301">
        <v>1500</v>
      </c>
      <c r="BE145" s="301"/>
      <c r="BF145" s="302"/>
      <c r="BG145" s="303"/>
      <c r="BH145" s="304"/>
      <c r="BI145" s="304"/>
      <c r="BJ145" s="304"/>
      <c r="BK145" s="304"/>
      <c r="BL145" s="304"/>
      <c r="BM145" s="304"/>
      <c r="BN145" s="304"/>
      <c r="BO145" s="304"/>
      <c r="BP145" s="304"/>
      <c r="BQ145" s="304"/>
      <c r="BR145" s="304"/>
      <c r="BS145" s="304"/>
      <c r="BT145" s="304"/>
      <c r="BU145" s="304"/>
      <c r="BV145" s="304"/>
      <c r="BW145" s="304">
        <v>10</v>
      </c>
      <c r="BX145" s="304"/>
      <c r="BY145" s="305"/>
      <c r="BZ145" s="306"/>
      <c r="CA145" s="307"/>
      <c r="CB145" s="307"/>
      <c r="CC145" s="307"/>
      <c r="CD145" s="307"/>
      <c r="CE145" s="307"/>
      <c r="CF145" s="307"/>
      <c r="CG145" s="332"/>
      <c r="CH145" s="328"/>
      <c r="CI145" s="328"/>
      <c r="CJ145" s="328"/>
      <c r="CK145" s="328">
        <v>2</v>
      </c>
      <c r="CL145" s="328"/>
      <c r="CM145" s="328"/>
      <c r="CN145" s="370"/>
      <c r="CO145" s="367"/>
      <c r="CP145" s="367"/>
      <c r="CQ145" s="367"/>
      <c r="CR145" s="378">
        <v>10</v>
      </c>
      <c r="CS145" s="387"/>
      <c r="CT145" s="398"/>
      <c r="CU145" s="399"/>
      <c r="CV145" s="399"/>
      <c r="CW145" s="399"/>
      <c r="CX145" s="399"/>
      <c r="CY145" s="399">
        <v>1</v>
      </c>
      <c r="CZ145" s="399"/>
      <c r="DA145" s="400"/>
      <c r="DB145" s="522">
        <v>1</v>
      </c>
    </row>
    <row r="146" spans="1:106" x14ac:dyDescent="0.25">
      <c r="A146" s="468" t="s">
        <v>201</v>
      </c>
      <c r="B146" s="468">
        <v>816</v>
      </c>
      <c r="C146" s="468" t="s">
        <v>2162</v>
      </c>
      <c r="D146" s="468">
        <v>837</v>
      </c>
      <c r="E146" s="468" t="s">
        <v>2163</v>
      </c>
      <c r="F146" s="468" t="s">
        <v>2164</v>
      </c>
      <c r="G146" s="468" t="s">
        <v>2165</v>
      </c>
      <c r="H146" s="468" t="s">
        <v>2160</v>
      </c>
      <c r="I146" s="468" t="s">
        <v>205</v>
      </c>
      <c r="J146" s="468" t="s">
        <v>3278</v>
      </c>
      <c r="K146" s="468" t="s">
        <v>2166</v>
      </c>
      <c r="L146" s="468" t="s">
        <v>3775</v>
      </c>
      <c r="M146" s="468" t="s">
        <v>3776</v>
      </c>
      <c r="N146" s="460">
        <v>0</v>
      </c>
      <c r="O146" s="294"/>
      <c r="P146" s="294"/>
      <c r="Q146" s="294"/>
      <c r="R146" s="294"/>
      <c r="S146" s="295"/>
      <c r="T146" s="296">
        <v>0</v>
      </c>
      <c r="U146" s="297"/>
      <c r="V146" s="297"/>
      <c r="W146" s="297"/>
      <c r="X146" s="297"/>
      <c r="Y146" s="297"/>
      <c r="Z146" s="297"/>
      <c r="AA146" s="297"/>
      <c r="AB146" s="293">
        <v>0</v>
      </c>
      <c r="AC146" s="294"/>
      <c r="AD146" s="295"/>
      <c r="AE146" s="298"/>
      <c r="AF146" s="299"/>
      <c r="AG146" s="297"/>
      <c r="AH146" s="297"/>
      <c r="AI146" s="297"/>
      <c r="AJ146" s="297">
        <v>1</v>
      </c>
      <c r="AK146" s="297"/>
      <c r="AL146" s="297"/>
      <c r="AM146" s="297"/>
      <c r="AN146" s="300"/>
      <c r="AO146" s="301"/>
      <c r="AP146" s="301"/>
      <c r="AQ146" s="301"/>
      <c r="AR146" s="301"/>
      <c r="AS146" s="301"/>
      <c r="AT146" s="301"/>
      <c r="AU146" s="301"/>
      <c r="AV146" s="301"/>
      <c r="AW146" s="301"/>
      <c r="AX146" s="301"/>
      <c r="AY146" s="301"/>
      <c r="AZ146" s="301"/>
      <c r="BA146" s="301"/>
      <c r="BB146" s="301"/>
      <c r="BC146" s="301"/>
      <c r="BD146" s="301">
        <v>1500</v>
      </c>
      <c r="BE146" s="301"/>
      <c r="BF146" s="302"/>
      <c r="BG146" s="303"/>
      <c r="BH146" s="304"/>
      <c r="BI146" s="304"/>
      <c r="BJ146" s="304"/>
      <c r="BK146" s="304"/>
      <c r="BL146" s="304"/>
      <c r="BM146" s="304"/>
      <c r="BN146" s="304"/>
      <c r="BO146" s="304"/>
      <c r="BP146" s="304"/>
      <c r="BQ146" s="304"/>
      <c r="BR146" s="304"/>
      <c r="BS146" s="304"/>
      <c r="BT146" s="304"/>
      <c r="BU146" s="304"/>
      <c r="BV146" s="304"/>
      <c r="BW146" s="304">
        <v>10</v>
      </c>
      <c r="BX146" s="304"/>
      <c r="BY146" s="305"/>
      <c r="BZ146" s="306"/>
      <c r="CA146" s="307"/>
      <c r="CB146" s="307"/>
      <c r="CC146" s="307"/>
      <c r="CD146" s="307"/>
      <c r="CE146" s="307"/>
      <c r="CF146" s="307"/>
      <c r="CG146" s="332"/>
      <c r="CH146" s="328"/>
      <c r="CI146" s="328"/>
      <c r="CJ146" s="328"/>
      <c r="CK146" s="328">
        <v>2</v>
      </c>
      <c r="CL146" s="328"/>
      <c r="CM146" s="328"/>
      <c r="CN146" s="370"/>
      <c r="CO146" s="367"/>
      <c r="CP146" s="367"/>
      <c r="CQ146" s="367"/>
      <c r="CR146" s="378">
        <v>10</v>
      </c>
      <c r="CS146" s="387"/>
      <c r="CT146" s="398"/>
      <c r="CU146" s="399"/>
      <c r="CV146" s="399"/>
      <c r="CW146" s="399"/>
      <c r="CX146" s="399"/>
      <c r="CY146" s="399">
        <v>1</v>
      </c>
      <c r="CZ146" s="399"/>
      <c r="DA146" s="400"/>
      <c r="DB146" s="522">
        <v>1</v>
      </c>
    </row>
    <row r="147" spans="1:106" x14ac:dyDescent="0.25">
      <c r="A147" s="468" t="s">
        <v>201</v>
      </c>
      <c r="B147" s="468">
        <v>816</v>
      </c>
      <c r="C147" s="468" t="s">
        <v>2194</v>
      </c>
      <c r="D147" s="468">
        <v>844</v>
      </c>
      <c r="E147" s="468" t="s">
        <v>2195</v>
      </c>
      <c r="F147" s="468" t="s">
        <v>2196</v>
      </c>
      <c r="G147" s="468" t="s">
        <v>2197</v>
      </c>
      <c r="H147" s="468" t="s">
        <v>2198</v>
      </c>
      <c r="I147" s="468" t="s">
        <v>205</v>
      </c>
      <c r="J147" s="468" t="s">
        <v>2199</v>
      </c>
      <c r="K147" s="468" t="s">
        <v>2200</v>
      </c>
      <c r="L147" s="468" t="s">
        <v>3775</v>
      </c>
      <c r="M147" s="468" t="s">
        <v>3776</v>
      </c>
      <c r="N147" s="461"/>
      <c r="O147" s="294"/>
      <c r="P147" s="294"/>
      <c r="Q147" s="294"/>
      <c r="R147" s="294"/>
      <c r="S147" s="295">
        <v>2</v>
      </c>
      <c r="T147" s="296">
        <v>0</v>
      </c>
      <c r="U147" s="297"/>
      <c r="V147" s="297"/>
      <c r="W147" s="297"/>
      <c r="X147" s="297"/>
      <c r="Y147" s="297"/>
      <c r="Z147" s="297"/>
      <c r="AA147" s="297"/>
      <c r="AB147" s="293">
        <v>0</v>
      </c>
      <c r="AC147" s="294"/>
      <c r="AD147" s="295"/>
      <c r="AE147" s="298"/>
      <c r="AF147" s="296">
        <v>0</v>
      </c>
      <c r="AG147" s="297"/>
      <c r="AH147" s="297"/>
      <c r="AI147" s="297"/>
      <c r="AJ147" s="297"/>
      <c r="AK147" s="297"/>
      <c r="AL147" s="297"/>
      <c r="AM147" s="297"/>
      <c r="AN147" s="300"/>
      <c r="AO147" s="301"/>
      <c r="AP147" s="301"/>
      <c r="AQ147" s="301"/>
      <c r="AR147" s="301"/>
      <c r="AS147" s="301"/>
      <c r="AT147" s="301"/>
      <c r="AU147" s="301"/>
      <c r="AV147" s="301"/>
      <c r="AW147" s="301"/>
      <c r="AX147" s="301"/>
      <c r="AY147" s="301"/>
      <c r="AZ147" s="301"/>
      <c r="BA147" s="301"/>
      <c r="BB147" s="301"/>
      <c r="BC147" s="301"/>
      <c r="BD147" s="301">
        <v>1500</v>
      </c>
      <c r="BE147" s="301"/>
      <c r="BF147" s="302"/>
      <c r="BG147" s="303"/>
      <c r="BH147" s="304"/>
      <c r="BI147" s="304"/>
      <c r="BJ147" s="304"/>
      <c r="BK147" s="304"/>
      <c r="BL147" s="304"/>
      <c r="BM147" s="304"/>
      <c r="BN147" s="304"/>
      <c r="BO147" s="304"/>
      <c r="BP147" s="304"/>
      <c r="BQ147" s="304"/>
      <c r="BR147" s="304"/>
      <c r="BS147" s="304"/>
      <c r="BT147" s="304"/>
      <c r="BU147" s="304"/>
      <c r="BV147" s="304"/>
      <c r="BW147" s="304">
        <v>10</v>
      </c>
      <c r="BX147" s="304"/>
      <c r="BY147" s="305"/>
      <c r="BZ147" s="306"/>
      <c r="CA147" s="307"/>
      <c r="CB147" s="307"/>
      <c r="CC147" s="307"/>
      <c r="CD147" s="307"/>
      <c r="CE147" s="307"/>
      <c r="CF147" s="307"/>
      <c r="CG147" s="332"/>
      <c r="CH147" s="328"/>
      <c r="CI147" s="328"/>
      <c r="CJ147" s="328"/>
      <c r="CK147" s="328">
        <v>2</v>
      </c>
      <c r="CL147" s="328"/>
      <c r="CM147" s="328"/>
      <c r="CN147" s="370"/>
      <c r="CO147" s="367"/>
      <c r="CP147" s="367"/>
      <c r="CQ147" s="367"/>
      <c r="CR147" s="378">
        <v>10</v>
      </c>
      <c r="CS147" s="387"/>
      <c r="CT147" s="398"/>
      <c r="CU147" s="399"/>
      <c r="CV147" s="399"/>
      <c r="CW147" s="399"/>
      <c r="CX147" s="399"/>
      <c r="CY147" s="399">
        <v>1</v>
      </c>
      <c r="CZ147" s="399"/>
      <c r="DA147" s="400"/>
      <c r="DB147" s="522">
        <v>1</v>
      </c>
    </row>
    <row r="148" spans="1:106" x14ac:dyDescent="0.25">
      <c r="A148" s="468" t="s">
        <v>201</v>
      </c>
      <c r="B148" s="468">
        <v>816</v>
      </c>
      <c r="C148" s="468" t="s">
        <v>2207</v>
      </c>
      <c r="D148" s="468">
        <v>846</v>
      </c>
      <c r="E148" s="468" t="s">
        <v>2208</v>
      </c>
      <c r="F148" s="468" t="s">
        <v>2209</v>
      </c>
      <c r="G148" s="468" t="s">
        <v>2210</v>
      </c>
      <c r="H148" s="468" t="s">
        <v>2198</v>
      </c>
      <c r="I148" s="468" t="s">
        <v>205</v>
      </c>
      <c r="J148" s="468" t="s">
        <v>2211</v>
      </c>
      <c r="K148" s="468" t="s">
        <v>2212</v>
      </c>
      <c r="L148" s="468" t="s">
        <v>3775</v>
      </c>
      <c r="M148" s="468" t="s">
        <v>3776</v>
      </c>
      <c r="N148" s="461"/>
      <c r="O148" s="294"/>
      <c r="P148" s="294"/>
      <c r="Q148" s="294"/>
      <c r="R148" s="294"/>
      <c r="S148" s="295">
        <v>1</v>
      </c>
      <c r="T148" s="296">
        <v>0</v>
      </c>
      <c r="U148" s="297"/>
      <c r="V148" s="297"/>
      <c r="W148" s="297"/>
      <c r="X148" s="297"/>
      <c r="Y148" s="297"/>
      <c r="Z148" s="297"/>
      <c r="AA148" s="297"/>
      <c r="AB148" s="293">
        <v>0</v>
      </c>
      <c r="AC148" s="294"/>
      <c r="AD148" s="295"/>
      <c r="AE148" s="298"/>
      <c r="AF148" s="296">
        <v>0</v>
      </c>
      <c r="AG148" s="297"/>
      <c r="AH148" s="297"/>
      <c r="AI148" s="297"/>
      <c r="AJ148" s="297"/>
      <c r="AK148" s="297"/>
      <c r="AL148" s="297"/>
      <c r="AM148" s="297"/>
      <c r="AN148" s="300"/>
      <c r="AO148" s="301"/>
      <c r="AP148" s="301"/>
      <c r="AQ148" s="301"/>
      <c r="AR148" s="301"/>
      <c r="AS148" s="301"/>
      <c r="AT148" s="301"/>
      <c r="AU148" s="301"/>
      <c r="AV148" s="301"/>
      <c r="AW148" s="301"/>
      <c r="AX148" s="301"/>
      <c r="AY148" s="301"/>
      <c r="AZ148" s="301"/>
      <c r="BA148" s="301"/>
      <c r="BB148" s="301"/>
      <c r="BC148" s="301"/>
      <c r="BD148" s="301">
        <v>1500</v>
      </c>
      <c r="BE148" s="301"/>
      <c r="BF148" s="302"/>
      <c r="BG148" s="303"/>
      <c r="BH148" s="304"/>
      <c r="BI148" s="304"/>
      <c r="BJ148" s="304"/>
      <c r="BK148" s="304"/>
      <c r="BL148" s="304"/>
      <c r="BM148" s="304"/>
      <c r="BN148" s="304"/>
      <c r="BO148" s="304"/>
      <c r="BP148" s="304"/>
      <c r="BQ148" s="304"/>
      <c r="BR148" s="304"/>
      <c r="BS148" s="304"/>
      <c r="BT148" s="304"/>
      <c r="BU148" s="304"/>
      <c r="BV148" s="304"/>
      <c r="BW148" s="304">
        <v>10</v>
      </c>
      <c r="BX148" s="304"/>
      <c r="BY148" s="305"/>
      <c r="BZ148" s="306"/>
      <c r="CA148" s="307"/>
      <c r="CB148" s="307"/>
      <c r="CC148" s="307"/>
      <c r="CD148" s="307"/>
      <c r="CE148" s="307"/>
      <c r="CF148" s="307"/>
      <c r="CG148" s="332"/>
      <c r="CH148" s="328"/>
      <c r="CI148" s="328"/>
      <c r="CJ148" s="328"/>
      <c r="CK148" s="328">
        <v>2</v>
      </c>
      <c r="CL148" s="328"/>
      <c r="CM148" s="328"/>
      <c r="CN148" s="370"/>
      <c r="CO148" s="367"/>
      <c r="CP148" s="367"/>
      <c r="CQ148" s="367"/>
      <c r="CR148" s="378">
        <v>10</v>
      </c>
      <c r="CS148" s="387"/>
      <c r="CT148" s="398"/>
      <c r="CU148" s="399"/>
      <c r="CV148" s="399"/>
      <c r="CW148" s="399"/>
      <c r="CX148" s="399"/>
      <c r="CY148" s="399">
        <v>1</v>
      </c>
      <c r="CZ148" s="399"/>
      <c r="DA148" s="400"/>
      <c r="DB148" s="522">
        <v>1</v>
      </c>
    </row>
    <row r="149" spans="1:106" x14ac:dyDescent="0.25">
      <c r="A149" s="468" t="s">
        <v>201</v>
      </c>
      <c r="B149" s="468">
        <v>816</v>
      </c>
      <c r="C149" s="468" t="s">
        <v>2969</v>
      </c>
      <c r="D149" s="468">
        <v>847</v>
      </c>
      <c r="E149" s="468" t="s">
        <v>2970</v>
      </c>
      <c r="F149" s="468" t="s">
        <v>2971</v>
      </c>
      <c r="G149" s="468" t="s">
        <v>2972</v>
      </c>
      <c r="H149" s="468" t="s">
        <v>2973</v>
      </c>
      <c r="I149" s="468" t="s">
        <v>205</v>
      </c>
      <c r="J149" s="468" t="s">
        <v>3284</v>
      </c>
      <c r="K149" s="468" t="s">
        <v>2974</v>
      </c>
      <c r="L149" s="468" t="s">
        <v>3775</v>
      </c>
      <c r="M149" s="468" t="s">
        <v>3776</v>
      </c>
      <c r="N149" s="461"/>
      <c r="O149" s="294"/>
      <c r="P149" s="294"/>
      <c r="Q149" s="294"/>
      <c r="R149" s="294"/>
      <c r="S149" s="295">
        <v>1</v>
      </c>
      <c r="T149" s="296"/>
      <c r="U149" s="297"/>
      <c r="V149" s="297"/>
      <c r="W149" s="297"/>
      <c r="X149" s="297"/>
      <c r="Y149" s="297"/>
      <c r="Z149" s="297"/>
      <c r="AA149" s="297"/>
      <c r="AB149" s="293"/>
      <c r="AC149" s="294"/>
      <c r="AD149" s="295"/>
      <c r="AE149" s="298"/>
      <c r="AF149" s="296"/>
      <c r="AG149" s="297"/>
      <c r="AH149" s="297"/>
      <c r="AI149" s="297"/>
      <c r="AJ149" s="297"/>
      <c r="AK149" s="297"/>
      <c r="AL149" s="297"/>
      <c r="AM149" s="297"/>
      <c r="AN149" s="300"/>
      <c r="AO149" s="301"/>
      <c r="AP149" s="301"/>
      <c r="AQ149" s="301"/>
      <c r="AR149" s="301"/>
      <c r="AS149" s="301"/>
      <c r="AT149" s="301"/>
      <c r="AU149" s="301"/>
      <c r="AV149" s="301"/>
      <c r="AW149" s="301"/>
      <c r="AX149" s="301"/>
      <c r="AY149" s="301"/>
      <c r="AZ149" s="301"/>
      <c r="BA149" s="301"/>
      <c r="BB149" s="301"/>
      <c r="BC149" s="301"/>
      <c r="BD149" s="301">
        <v>1500</v>
      </c>
      <c r="BE149" s="301"/>
      <c r="BF149" s="302"/>
      <c r="BG149" s="303"/>
      <c r="BH149" s="304"/>
      <c r="BI149" s="304"/>
      <c r="BJ149" s="304"/>
      <c r="BK149" s="304"/>
      <c r="BL149" s="304"/>
      <c r="BM149" s="304"/>
      <c r="BN149" s="304"/>
      <c r="BO149" s="304"/>
      <c r="BP149" s="304"/>
      <c r="BQ149" s="304"/>
      <c r="BR149" s="304"/>
      <c r="BS149" s="304"/>
      <c r="BT149" s="304"/>
      <c r="BU149" s="304"/>
      <c r="BV149" s="304"/>
      <c r="BW149" s="304">
        <v>10</v>
      </c>
      <c r="BX149" s="304"/>
      <c r="BY149" s="305"/>
      <c r="BZ149" s="306"/>
      <c r="CA149" s="307"/>
      <c r="CB149" s="307"/>
      <c r="CC149" s="307"/>
      <c r="CD149" s="307"/>
      <c r="CE149" s="307"/>
      <c r="CF149" s="307"/>
      <c r="CG149" s="332"/>
      <c r="CH149" s="328"/>
      <c r="CI149" s="328"/>
      <c r="CJ149" s="328"/>
      <c r="CK149" s="328">
        <v>2</v>
      </c>
      <c r="CL149" s="328"/>
      <c r="CM149" s="328"/>
      <c r="CN149" s="370"/>
      <c r="CO149" s="367"/>
      <c r="CP149" s="367"/>
      <c r="CQ149" s="367"/>
      <c r="CR149" s="378">
        <v>10</v>
      </c>
      <c r="CS149" s="387"/>
      <c r="CT149" s="398"/>
      <c r="CU149" s="399"/>
      <c r="CV149" s="399"/>
      <c r="CW149" s="399"/>
      <c r="CX149" s="399"/>
      <c r="CY149" s="399">
        <v>1</v>
      </c>
      <c r="CZ149" s="399"/>
      <c r="DA149" s="400"/>
      <c r="DB149" s="522">
        <v>1</v>
      </c>
    </row>
    <row r="150" spans="1:106" x14ac:dyDescent="0.25">
      <c r="A150" s="468" t="s">
        <v>88</v>
      </c>
      <c r="B150" s="468">
        <v>806</v>
      </c>
      <c r="C150" s="468" t="s">
        <v>89</v>
      </c>
      <c r="D150" s="468">
        <v>306</v>
      </c>
      <c r="E150" s="468" t="s">
        <v>90</v>
      </c>
      <c r="F150" s="468" t="s">
        <v>2244</v>
      </c>
      <c r="G150" s="468" t="s">
        <v>91</v>
      </c>
      <c r="H150" s="468" t="s">
        <v>92</v>
      </c>
      <c r="I150" s="468" t="s">
        <v>32</v>
      </c>
      <c r="J150" s="468" t="s">
        <v>3136</v>
      </c>
      <c r="K150" s="468" t="s">
        <v>93</v>
      </c>
      <c r="L150" s="468" t="s">
        <v>3928</v>
      </c>
      <c r="M150" s="468" t="s">
        <v>3929</v>
      </c>
      <c r="N150" s="460">
        <v>0</v>
      </c>
      <c r="O150" s="294"/>
      <c r="P150" s="294"/>
      <c r="Q150" s="294"/>
      <c r="R150" s="294"/>
      <c r="S150" s="295"/>
      <c r="T150" s="296">
        <v>0</v>
      </c>
      <c r="U150" s="297"/>
      <c r="V150" s="297"/>
      <c r="W150" s="297"/>
      <c r="X150" s="297"/>
      <c r="Y150" s="297"/>
      <c r="Z150" s="297"/>
      <c r="AA150" s="297"/>
      <c r="AB150" s="293">
        <v>0</v>
      </c>
      <c r="AC150" s="294"/>
      <c r="AD150" s="295"/>
      <c r="AE150" s="298"/>
      <c r="AF150" s="296">
        <v>1</v>
      </c>
      <c r="AG150" s="297"/>
      <c r="AH150" s="297"/>
      <c r="AI150" s="297"/>
      <c r="AJ150" s="297"/>
      <c r="AK150" s="297"/>
      <c r="AL150" s="297"/>
      <c r="AM150" s="297"/>
      <c r="AN150" s="300"/>
      <c r="AO150" s="301"/>
      <c r="AP150" s="301"/>
      <c r="AQ150" s="301"/>
      <c r="AR150" s="301"/>
      <c r="AS150" s="301"/>
      <c r="AT150" s="301"/>
      <c r="AU150" s="301">
        <v>1500</v>
      </c>
      <c r="AV150" s="301"/>
      <c r="AW150" s="301"/>
      <c r="AX150" s="301"/>
      <c r="AY150" s="301"/>
      <c r="AZ150" s="301"/>
      <c r="BA150" s="301"/>
      <c r="BB150" s="301"/>
      <c r="BC150" s="301"/>
      <c r="BD150" s="301"/>
      <c r="BE150" s="301"/>
      <c r="BF150" s="302"/>
      <c r="BG150" s="303"/>
      <c r="BH150" s="304"/>
      <c r="BI150" s="304"/>
      <c r="BJ150" s="304"/>
      <c r="BK150" s="304"/>
      <c r="BL150" s="304"/>
      <c r="BM150" s="304"/>
      <c r="BN150" s="304">
        <v>10</v>
      </c>
      <c r="BO150" s="304"/>
      <c r="BP150" s="304"/>
      <c r="BQ150" s="304"/>
      <c r="BR150" s="304"/>
      <c r="BS150" s="304"/>
      <c r="BT150" s="304"/>
      <c r="BU150" s="304"/>
      <c r="BV150" s="304"/>
      <c r="BW150" s="304"/>
      <c r="BX150" s="304"/>
      <c r="BY150" s="305"/>
      <c r="BZ150" s="306"/>
      <c r="CA150" s="307"/>
      <c r="CB150" s="307"/>
      <c r="CC150" s="307"/>
      <c r="CD150" s="307"/>
      <c r="CE150" s="307"/>
      <c r="CF150" s="307"/>
      <c r="CG150" s="332"/>
      <c r="CH150" s="328">
        <v>2</v>
      </c>
      <c r="CI150" s="328"/>
      <c r="CJ150" s="328"/>
      <c r="CK150" s="328"/>
      <c r="CL150" s="328"/>
      <c r="CM150" s="328"/>
      <c r="CN150" s="370"/>
      <c r="CO150" s="367">
        <v>10</v>
      </c>
      <c r="CP150" s="367"/>
      <c r="CQ150" s="367"/>
      <c r="CR150" s="367"/>
      <c r="CS150" s="387"/>
      <c r="CT150" s="398"/>
      <c r="CU150" s="399">
        <v>1</v>
      </c>
      <c r="CV150" s="399"/>
      <c r="CW150" s="399"/>
      <c r="CX150" s="399"/>
      <c r="CY150" s="399"/>
      <c r="CZ150" s="399"/>
      <c r="DA150" s="400"/>
      <c r="DB150" s="522">
        <v>1</v>
      </c>
    </row>
    <row r="151" spans="1:106" x14ac:dyDescent="0.25">
      <c r="A151" s="468" t="s">
        <v>88</v>
      </c>
      <c r="B151" s="468">
        <v>806</v>
      </c>
      <c r="C151" s="468" t="s">
        <v>2245</v>
      </c>
      <c r="D151" s="468">
        <v>308</v>
      </c>
      <c r="E151" s="468" t="s">
        <v>2246</v>
      </c>
      <c r="F151" s="468" t="s">
        <v>2247</v>
      </c>
      <c r="G151" s="468" t="s">
        <v>2248</v>
      </c>
      <c r="H151" s="468" t="s">
        <v>2249</v>
      </c>
      <c r="I151" s="468" t="s">
        <v>32</v>
      </c>
      <c r="J151" s="468" t="s">
        <v>3137</v>
      </c>
      <c r="K151" s="468" t="s">
        <v>2250</v>
      </c>
      <c r="L151" s="468" t="s">
        <v>3928</v>
      </c>
      <c r="M151" s="468" t="s">
        <v>3929</v>
      </c>
      <c r="N151" s="460">
        <v>0</v>
      </c>
      <c r="O151" s="294"/>
      <c r="P151" s="294"/>
      <c r="Q151" s="294"/>
      <c r="R151" s="294"/>
      <c r="S151" s="295"/>
      <c r="T151" s="299"/>
      <c r="U151" s="297">
        <v>2</v>
      </c>
      <c r="V151" s="297"/>
      <c r="W151" s="297"/>
      <c r="X151" s="297"/>
      <c r="Y151" s="297"/>
      <c r="Z151" s="297"/>
      <c r="AA151" s="297"/>
      <c r="AB151" s="293">
        <v>0</v>
      </c>
      <c r="AC151" s="294"/>
      <c r="AD151" s="295"/>
      <c r="AE151" s="298"/>
      <c r="AF151" s="296">
        <v>0</v>
      </c>
      <c r="AG151" s="297"/>
      <c r="AH151" s="297"/>
      <c r="AI151" s="297"/>
      <c r="AJ151" s="297"/>
      <c r="AK151" s="297"/>
      <c r="AL151" s="297"/>
      <c r="AM151" s="297"/>
      <c r="AN151" s="300"/>
      <c r="AO151" s="301"/>
      <c r="AP151" s="301"/>
      <c r="AQ151" s="301"/>
      <c r="AR151" s="301"/>
      <c r="AS151" s="301"/>
      <c r="AT151" s="301"/>
      <c r="AU151" s="301">
        <v>1500</v>
      </c>
      <c r="AV151" s="301"/>
      <c r="AW151" s="301"/>
      <c r="AX151" s="301"/>
      <c r="AY151" s="301"/>
      <c r="AZ151" s="301"/>
      <c r="BA151" s="301"/>
      <c r="BB151" s="301"/>
      <c r="BC151" s="301"/>
      <c r="BD151" s="301"/>
      <c r="BE151" s="301"/>
      <c r="BF151" s="302"/>
      <c r="BG151" s="303"/>
      <c r="BH151" s="304"/>
      <c r="BI151" s="304"/>
      <c r="BJ151" s="304"/>
      <c r="BK151" s="304"/>
      <c r="BL151" s="304"/>
      <c r="BM151" s="304"/>
      <c r="BN151" s="304">
        <v>10</v>
      </c>
      <c r="BO151" s="304"/>
      <c r="BP151" s="304"/>
      <c r="BQ151" s="304"/>
      <c r="BR151" s="304"/>
      <c r="BS151" s="304"/>
      <c r="BT151" s="304"/>
      <c r="BU151" s="304"/>
      <c r="BV151" s="304"/>
      <c r="BW151" s="304"/>
      <c r="BX151" s="304"/>
      <c r="BY151" s="305"/>
      <c r="BZ151" s="306"/>
      <c r="CA151" s="307"/>
      <c r="CB151" s="307"/>
      <c r="CC151" s="307"/>
      <c r="CD151" s="307"/>
      <c r="CE151" s="307"/>
      <c r="CF151" s="307"/>
      <c r="CG151" s="332"/>
      <c r="CH151" s="328">
        <v>2</v>
      </c>
      <c r="CI151" s="328"/>
      <c r="CJ151" s="328"/>
      <c r="CK151" s="328"/>
      <c r="CL151" s="328"/>
      <c r="CM151" s="328"/>
      <c r="CN151" s="370"/>
      <c r="CO151" s="367">
        <v>10</v>
      </c>
      <c r="CP151" s="367"/>
      <c r="CQ151" s="367"/>
      <c r="CR151" s="367"/>
      <c r="CS151" s="387"/>
      <c r="CT151" s="398"/>
      <c r="CU151" s="399">
        <v>1</v>
      </c>
      <c r="CV151" s="399"/>
      <c r="CW151" s="399"/>
      <c r="CX151" s="399"/>
      <c r="CY151" s="399"/>
      <c r="CZ151" s="399"/>
      <c r="DA151" s="400"/>
      <c r="DB151" s="522">
        <v>1</v>
      </c>
    </row>
    <row r="152" spans="1:106" x14ac:dyDescent="0.25">
      <c r="A152" s="468" t="s">
        <v>88</v>
      </c>
      <c r="B152" s="468">
        <v>806</v>
      </c>
      <c r="C152" s="468" t="s">
        <v>2251</v>
      </c>
      <c r="D152" s="468">
        <v>309</v>
      </c>
      <c r="E152" s="468" t="s">
        <v>2252</v>
      </c>
      <c r="F152" s="468" t="s">
        <v>3138</v>
      </c>
      <c r="G152" s="468" t="s">
        <v>2253</v>
      </c>
      <c r="H152" s="468" t="s">
        <v>92</v>
      </c>
      <c r="I152" s="468" t="s">
        <v>32</v>
      </c>
      <c r="J152" s="468" t="s">
        <v>3139</v>
      </c>
      <c r="K152" s="468" t="s">
        <v>2254</v>
      </c>
      <c r="L152" s="468" t="s">
        <v>3928</v>
      </c>
      <c r="M152" s="468" t="s">
        <v>3929</v>
      </c>
      <c r="N152" s="460">
        <v>0</v>
      </c>
      <c r="O152" s="294"/>
      <c r="P152" s="294"/>
      <c r="Q152" s="294"/>
      <c r="R152" s="294"/>
      <c r="S152" s="295"/>
      <c r="T152" s="299"/>
      <c r="U152" s="297">
        <v>2</v>
      </c>
      <c r="V152" s="297"/>
      <c r="W152" s="297"/>
      <c r="X152" s="297"/>
      <c r="Y152" s="297"/>
      <c r="Z152" s="297"/>
      <c r="AA152" s="297"/>
      <c r="AB152" s="293">
        <v>0</v>
      </c>
      <c r="AC152" s="294"/>
      <c r="AD152" s="295"/>
      <c r="AE152" s="298"/>
      <c r="AF152" s="296">
        <v>0</v>
      </c>
      <c r="AG152" s="297"/>
      <c r="AH152" s="297"/>
      <c r="AI152" s="297"/>
      <c r="AJ152" s="297"/>
      <c r="AK152" s="297"/>
      <c r="AL152" s="297"/>
      <c r="AM152" s="297"/>
      <c r="AN152" s="300"/>
      <c r="AO152" s="301"/>
      <c r="AP152" s="301"/>
      <c r="AQ152" s="301"/>
      <c r="AR152" s="301"/>
      <c r="AS152" s="301"/>
      <c r="AT152" s="301"/>
      <c r="AU152" s="301">
        <v>1500</v>
      </c>
      <c r="AV152" s="301"/>
      <c r="AW152" s="301"/>
      <c r="AX152" s="301"/>
      <c r="AY152" s="301"/>
      <c r="AZ152" s="301"/>
      <c r="BA152" s="301"/>
      <c r="BB152" s="301"/>
      <c r="BC152" s="301"/>
      <c r="BD152" s="301"/>
      <c r="BE152" s="301"/>
      <c r="BF152" s="302"/>
      <c r="BG152" s="303"/>
      <c r="BH152" s="304"/>
      <c r="BI152" s="304"/>
      <c r="BJ152" s="304"/>
      <c r="BK152" s="304"/>
      <c r="BL152" s="304"/>
      <c r="BM152" s="304"/>
      <c r="BN152" s="304">
        <v>10</v>
      </c>
      <c r="BO152" s="304"/>
      <c r="BP152" s="304"/>
      <c r="BQ152" s="304"/>
      <c r="BR152" s="304"/>
      <c r="BS152" s="304"/>
      <c r="BT152" s="304"/>
      <c r="BU152" s="304"/>
      <c r="BV152" s="304"/>
      <c r="BW152" s="304"/>
      <c r="BX152" s="304"/>
      <c r="BY152" s="305"/>
      <c r="BZ152" s="306"/>
      <c r="CA152" s="307"/>
      <c r="CB152" s="307"/>
      <c r="CC152" s="307"/>
      <c r="CD152" s="307"/>
      <c r="CE152" s="307"/>
      <c r="CF152" s="307"/>
      <c r="CG152" s="332"/>
      <c r="CH152" s="328">
        <v>2</v>
      </c>
      <c r="CI152" s="328"/>
      <c r="CJ152" s="328"/>
      <c r="CK152" s="328"/>
      <c r="CL152" s="328"/>
      <c r="CM152" s="328"/>
      <c r="CN152" s="370"/>
      <c r="CO152" s="367">
        <v>10</v>
      </c>
      <c r="CP152" s="367"/>
      <c r="CQ152" s="367"/>
      <c r="CR152" s="367"/>
      <c r="CS152" s="387"/>
      <c r="CT152" s="398"/>
      <c r="CU152" s="399">
        <v>1</v>
      </c>
      <c r="CV152" s="399"/>
      <c r="CW152" s="399"/>
      <c r="CX152" s="399"/>
      <c r="CY152" s="399"/>
      <c r="CZ152" s="399"/>
      <c r="DA152" s="400"/>
      <c r="DB152" s="522">
        <v>1</v>
      </c>
    </row>
    <row r="153" spans="1:106" x14ac:dyDescent="0.25">
      <c r="A153" s="468" t="s">
        <v>88</v>
      </c>
      <c r="B153" s="468">
        <v>806</v>
      </c>
      <c r="C153" s="468" t="s">
        <v>2261</v>
      </c>
      <c r="D153" s="468">
        <v>318</v>
      </c>
      <c r="E153" s="468" t="s">
        <v>2262</v>
      </c>
      <c r="F153" s="468" t="s">
        <v>3138</v>
      </c>
      <c r="G153" s="468" t="s">
        <v>2263</v>
      </c>
      <c r="H153" s="468" t="s">
        <v>92</v>
      </c>
      <c r="I153" s="468" t="s">
        <v>32</v>
      </c>
      <c r="J153" s="468" t="s">
        <v>3136</v>
      </c>
      <c r="K153" s="468" t="s">
        <v>2264</v>
      </c>
      <c r="L153" s="468" t="s">
        <v>3928</v>
      </c>
      <c r="M153" s="468" t="s">
        <v>3929</v>
      </c>
      <c r="N153" s="460">
        <v>0</v>
      </c>
      <c r="O153" s="294"/>
      <c r="P153" s="294"/>
      <c r="Q153" s="294"/>
      <c r="R153" s="294"/>
      <c r="S153" s="295"/>
      <c r="T153" s="296">
        <v>0</v>
      </c>
      <c r="U153" s="297"/>
      <c r="V153" s="297"/>
      <c r="W153" s="297"/>
      <c r="X153" s="297"/>
      <c r="Y153" s="297"/>
      <c r="Z153" s="297"/>
      <c r="AA153" s="297"/>
      <c r="AB153" s="310"/>
      <c r="AC153" s="294"/>
      <c r="AD153" s="295">
        <v>2</v>
      </c>
      <c r="AE153" s="298"/>
      <c r="AF153" s="296">
        <v>0</v>
      </c>
      <c r="AG153" s="297"/>
      <c r="AH153" s="297"/>
      <c r="AI153" s="297"/>
      <c r="AJ153" s="297"/>
      <c r="AK153" s="297"/>
      <c r="AL153" s="297"/>
      <c r="AM153" s="297"/>
      <c r="AN153" s="300"/>
      <c r="AO153" s="301"/>
      <c r="AP153" s="301"/>
      <c r="AQ153" s="301"/>
      <c r="AR153" s="301"/>
      <c r="AS153" s="301"/>
      <c r="AT153" s="301"/>
      <c r="AU153" s="301">
        <v>1500</v>
      </c>
      <c r="AV153" s="301"/>
      <c r="AW153" s="301"/>
      <c r="AX153" s="301"/>
      <c r="AY153" s="301"/>
      <c r="AZ153" s="301"/>
      <c r="BA153" s="301"/>
      <c r="BB153" s="301"/>
      <c r="BC153" s="301"/>
      <c r="BD153" s="301"/>
      <c r="BE153" s="301"/>
      <c r="BF153" s="302"/>
      <c r="BG153" s="303"/>
      <c r="BH153" s="304"/>
      <c r="BI153" s="304"/>
      <c r="BJ153" s="304"/>
      <c r="BK153" s="304"/>
      <c r="BL153" s="304"/>
      <c r="BM153" s="304"/>
      <c r="BN153" s="304">
        <v>10</v>
      </c>
      <c r="BO153" s="304"/>
      <c r="BP153" s="304"/>
      <c r="BQ153" s="304"/>
      <c r="BR153" s="304"/>
      <c r="BS153" s="304"/>
      <c r="BT153" s="304"/>
      <c r="BU153" s="304"/>
      <c r="BV153" s="304"/>
      <c r="BW153" s="304"/>
      <c r="BX153" s="304"/>
      <c r="BY153" s="305"/>
      <c r="BZ153" s="306"/>
      <c r="CA153" s="307"/>
      <c r="CB153" s="307"/>
      <c r="CC153" s="307"/>
      <c r="CD153" s="307"/>
      <c r="CE153" s="307"/>
      <c r="CF153" s="307"/>
      <c r="CG153" s="332"/>
      <c r="CH153" s="328">
        <v>2</v>
      </c>
      <c r="CI153" s="328"/>
      <c r="CJ153" s="328"/>
      <c r="CK153" s="328"/>
      <c r="CL153" s="328"/>
      <c r="CM153" s="328"/>
      <c r="CN153" s="370"/>
      <c r="CO153" s="367">
        <v>10</v>
      </c>
      <c r="CP153" s="367"/>
      <c r="CQ153" s="367"/>
      <c r="CR153" s="367"/>
      <c r="CS153" s="387"/>
      <c r="CT153" s="398"/>
      <c r="CU153" s="399">
        <v>1</v>
      </c>
      <c r="CV153" s="399"/>
      <c r="CW153" s="399"/>
      <c r="CX153" s="399"/>
      <c r="CY153" s="399"/>
      <c r="CZ153" s="399"/>
      <c r="DA153" s="400"/>
      <c r="DB153" s="522">
        <v>1</v>
      </c>
    </row>
    <row r="154" spans="1:106" x14ac:dyDescent="0.25">
      <c r="A154" s="468" t="s">
        <v>114</v>
      </c>
      <c r="B154" s="468">
        <v>806</v>
      </c>
      <c r="C154" s="468" t="s">
        <v>3477</v>
      </c>
      <c r="D154" s="468">
        <v>1351</v>
      </c>
      <c r="E154" s="468" t="s">
        <v>2265</v>
      </c>
      <c r="F154" s="468" t="s">
        <v>2266</v>
      </c>
      <c r="G154" s="468" t="s">
        <v>2267</v>
      </c>
      <c r="H154" s="468" t="s">
        <v>118</v>
      </c>
      <c r="I154" s="468" t="s">
        <v>32</v>
      </c>
      <c r="J154" s="468" t="s">
        <v>3170</v>
      </c>
      <c r="K154" s="468" t="s">
        <v>2268</v>
      </c>
      <c r="L154" s="468" t="s">
        <v>3766</v>
      </c>
      <c r="M154" s="468" t="s">
        <v>4011</v>
      </c>
      <c r="N154" s="460">
        <v>0</v>
      </c>
      <c r="O154" s="294"/>
      <c r="P154" s="294"/>
      <c r="Q154" s="294"/>
      <c r="R154" s="294"/>
      <c r="S154" s="295"/>
      <c r="T154" s="299"/>
      <c r="U154" s="297"/>
      <c r="V154" s="297"/>
      <c r="W154" s="297"/>
      <c r="X154" s="297"/>
      <c r="Y154" s="297"/>
      <c r="Z154" s="297"/>
      <c r="AA154" s="297">
        <v>2</v>
      </c>
      <c r="AB154" s="293">
        <v>0</v>
      </c>
      <c r="AC154" s="294"/>
      <c r="AD154" s="295"/>
      <c r="AE154" s="298"/>
      <c r="AF154" s="296">
        <v>0</v>
      </c>
      <c r="AG154" s="297"/>
      <c r="AH154" s="297"/>
      <c r="AI154" s="297"/>
      <c r="AJ154" s="297"/>
      <c r="AK154" s="297"/>
      <c r="AL154" s="297"/>
      <c r="AM154" s="297"/>
      <c r="AN154" s="300">
        <v>1500</v>
      </c>
      <c r="AO154" s="301"/>
      <c r="AP154" s="301"/>
      <c r="AQ154" s="301"/>
      <c r="AR154" s="301"/>
      <c r="AS154" s="301"/>
      <c r="AT154" s="301"/>
      <c r="AU154" s="301"/>
      <c r="AV154" s="301"/>
      <c r="AW154" s="301"/>
      <c r="AX154" s="301"/>
      <c r="AY154" s="301"/>
      <c r="AZ154" s="301"/>
      <c r="BA154" s="301"/>
      <c r="BB154" s="301"/>
      <c r="BC154" s="301"/>
      <c r="BD154" s="301"/>
      <c r="BE154" s="301"/>
      <c r="BF154" s="302"/>
      <c r="BG154" s="303">
        <v>10</v>
      </c>
      <c r="BH154" s="304"/>
      <c r="BI154" s="304"/>
      <c r="BJ154" s="304"/>
      <c r="BK154" s="304"/>
      <c r="BL154" s="304"/>
      <c r="BM154" s="304"/>
      <c r="BN154" s="304"/>
      <c r="BO154" s="304"/>
      <c r="BP154" s="304"/>
      <c r="BQ154" s="304"/>
      <c r="BR154" s="304"/>
      <c r="BS154" s="304"/>
      <c r="BT154" s="304"/>
      <c r="BU154" s="304"/>
      <c r="BV154" s="304"/>
      <c r="BW154" s="304"/>
      <c r="BX154" s="304"/>
      <c r="BY154" s="305"/>
      <c r="BZ154" s="306"/>
      <c r="CA154" s="307"/>
      <c r="CB154" s="307"/>
      <c r="CC154" s="307"/>
      <c r="CD154" s="307"/>
      <c r="CE154" s="307"/>
      <c r="CF154" s="307"/>
      <c r="CG154" s="332"/>
      <c r="CH154" s="328"/>
      <c r="CI154" s="328"/>
      <c r="CJ154" s="328"/>
      <c r="CK154" s="328"/>
      <c r="CL154" s="328"/>
      <c r="CM154" s="328">
        <v>2</v>
      </c>
      <c r="CN154" s="370"/>
      <c r="CO154" s="367"/>
      <c r="CP154" s="367"/>
      <c r="CQ154" s="367"/>
      <c r="CR154" s="367"/>
      <c r="CS154" s="387">
        <v>10</v>
      </c>
      <c r="CT154" s="398"/>
      <c r="CU154" s="399"/>
      <c r="CV154" s="399"/>
      <c r="CW154" s="399"/>
      <c r="CX154" s="399"/>
      <c r="CY154" s="399"/>
      <c r="CZ154" s="399"/>
      <c r="DA154" s="400">
        <v>1</v>
      </c>
      <c r="DB154" s="522">
        <v>1</v>
      </c>
    </row>
    <row r="155" spans="1:106" x14ac:dyDescent="0.25">
      <c r="A155" s="468" t="s">
        <v>114</v>
      </c>
      <c r="B155" s="468">
        <v>806</v>
      </c>
      <c r="C155" s="468" t="s">
        <v>3488</v>
      </c>
      <c r="D155" s="468">
        <v>1361</v>
      </c>
      <c r="E155" s="468" t="s">
        <v>2293</v>
      </c>
      <c r="F155" s="468" t="s">
        <v>2294</v>
      </c>
      <c r="G155" s="468" t="s">
        <v>2295</v>
      </c>
      <c r="H155" s="468" t="s">
        <v>118</v>
      </c>
      <c r="I155" s="468" t="s">
        <v>32</v>
      </c>
      <c r="J155" s="468" t="s">
        <v>3163</v>
      </c>
      <c r="K155" s="468" t="s">
        <v>2296</v>
      </c>
      <c r="L155" s="468" t="s">
        <v>3766</v>
      </c>
      <c r="M155" s="468" t="s">
        <v>4011</v>
      </c>
      <c r="N155" s="460">
        <v>0</v>
      </c>
      <c r="O155" s="294"/>
      <c r="P155" s="294"/>
      <c r="Q155" s="294"/>
      <c r="R155" s="294"/>
      <c r="S155" s="295"/>
      <c r="T155" s="299"/>
      <c r="U155" s="297"/>
      <c r="V155" s="297"/>
      <c r="W155" s="297"/>
      <c r="X155" s="297"/>
      <c r="Y155" s="297"/>
      <c r="Z155" s="297"/>
      <c r="AA155" s="297">
        <v>2</v>
      </c>
      <c r="AB155" s="293">
        <v>0</v>
      </c>
      <c r="AC155" s="294"/>
      <c r="AD155" s="295"/>
      <c r="AE155" s="298"/>
      <c r="AF155" s="296">
        <v>0</v>
      </c>
      <c r="AG155" s="297"/>
      <c r="AH155" s="297"/>
      <c r="AI155" s="297"/>
      <c r="AJ155" s="297"/>
      <c r="AK155" s="297"/>
      <c r="AL155" s="297"/>
      <c r="AM155" s="297"/>
      <c r="AN155" s="300">
        <v>1500</v>
      </c>
      <c r="AO155" s="301"/>
      <c r="AP155" s="301"/>
      <c r="AQ155" s="301"/>
      <c r="AR155" s="301"/>
      <c r="AS155" s="301"/>
      <c r="AT155" s="301"/>
      <c r="AU155" s="301"/>
      <c r="AV155" s="301"/>
      <c r="AW155" s="301"/>
      <c r="AX155" s="301"/>
      <c r="AY155" s="301"/>
      <c r="AZ155" s="301"/>
      <c r="BA155" s="301"/>
      <c r="BB155" s="301"/>
      <c r="BC155" s="301"/>
      <c r="BD155" s="301"/>
      <c r="BE155" s="301"/>
      <c r="BF155" s="302"/>
      <c r="BG155" s="303">
        <v>10</v>
      </c>
      <c r="BH155" s="304"/>
      <c r="BI155" s="304"/>
      <c r="BJ155" s="304"/>
      <c r="BK155" s="304"/>
      <c r="BL155" s="304"/>
      <c r="BM155" s="304"/>
      <c r="BN155" s="304"/>
      <c r="BO155" s="304"/>
      <c r="BP155" s="304"/>
      <c r="BQ155" s="304"/>
      <c r="BR155" s="304"/>
      <c r="BS155" s="304"/>
      <c r="BT155" s="304"/>
      <c r="BU155" s="304"/>
      <c r="BV155" s="304"/>
      <c r="BW155" s="304"/>
      <c r="BX155" s="304"/>
      <c r="BY155" s="305"/>
      <c r="BZ155" s="306"/>
      <c r="CA155" s="307"/>
      <c r="CB155" s="307"/>
      <c r="CC155" s="307"/>
      <c r="CD155" s="307"/>
      <c r="CE155" s="307"/>
      <c r="CF155" s="307"/>
      <c r="CG155" s="332"/>
      <c r="CH155" s="328"/>
      <c r="CI155" s="328"/>
      <c r="CJ155" s="328"/>
      <c r="CK155" s="328"/>
      <c r="CL155" s="328"/>
      <c r="CM155" s="328">
        <v>2</v>
      </c>
      <c r="CN155" s="370"/>
      <c r="CO155" s="367"/>
      <c r="CP155" s="367"/>
      <c r="CQ155" s="367"/>
      <c r="CR155" s="367"/>
      <c r="CS155" s="387">
        <v>10</v>
      </c>
      <c r="CT155" s="398"/>
      <c r="CU155" s="399"/>
      <c r="CV155" s="399"/>
      <c r="CW155" s="399"/>
      <c r="CX155" s="399"/>
      <c r="CY155" s="399"/>
      <c r="CZ155" s="399"/>
      <c r="DA155" s="400">
        <v>1</v>
      </c>
      <c r="DB155" s="522">
        <v>1</v>
      </c>
    </row>
    <row r="156" spans="1:106" x14ac:dyDescent="0.25">
      <c r="A156" s="468" t="s">
        <v>114</v>
      </c>
      <c r="B156" s="468">
        <v>806</v>
      </c>
      <c r="C156" s="468" t="s">
        <v>3691</v>
      </c>
      <c r="D156" s="468">
        <v>2546</v>
      </c>
      <c r="E156" s="468" t="s">
        <v>418</v>
      </c>
      <c r="F156" s="468" t="s">
        <v>2960</v>
      </c>
      <c r="G156" s="468" t="s">
        <v>419</v>
      </c>
      <c r="H156" s="468" t="s">
        <v>118</v>
      </c>
      <c r="I156" s="468" t="s">
        <v>32</v>
      </c>
      <c r="J156" s="468" t="s">
        <v>3165</v>
      </c>
      <c r="K156" s="468" t="s">
        <v>2961</v>
      </c>
      <c r="L156" s="468" t="s">
        <v>3766</v>
      </c>
      <c r="M156" s="468" t="s">
        <v>4011</v>
      </c>
      <c r="N156" s="460">
        <v>1</v>
      </c>
      <c r="O156" s="294"/>
      <c r="P156" s="294"/>
      <c r="Q156" s="294"/>
      <c r="R156" s="294"/>
      <c r="S156" s="295"/>
      <c r="T156" s="299"/>
      <c r="U156" s="297"/>
      <c r="V156" s="297"/>
      <c r="W156" s="297"/>
      <c r="X156" s="297"/>
      <c r="Y156" s="297"/>
      <c r="Z156" s="297"/>
      <c r="AA156" s="297"/>
      <c r="AB156" s="293"/>
      <c r="AC156" s="294"/>
      <c r="AD156" s="295"/>
      <c r="AE156" s="298"/>
      <c r="AF156" s="296"/>
      <c r="AG156" s="297"/>
      <c r="AH156" s="297"/>
      <c r="AI156" s="297"/>
      <c r="AJ156" s="297"/>
      <c r="AK156" s="297"/>
      <c r="AL156" s="297"/>
      <c r="AM156" s="297"/>
      <c r="AN156" s="300">
        <v>1500</v>
      </c>
      <c r="AO156" s="301"/>
      <c r="AP156" s="301"/>
      <c r="AQ156" s="301"/>
      <c r="AR156" s="301"/>
      <c r="AS156" s="301"/>
      <c r="AT156" s="301"/>
      <c r="AU156" s="301"/>
      <c r="AV156" s="301"/>
      <c r="AW156" s="301"/>
      <c r="AX156" s="301"/>
      <c r="AY156" s="301"/>
      <c r="AZ156" s="301"/>
      <c r="BA156" s="301"/>
      <c r="BB156" s="301"/>
      <c r="BC156" s="301"/>
      <c r="BD156" s="301"/>
      <c r="BE156" s="301"/>
      <c r="BF156" s="302"/>
      <c r="BG156" s="303">
        <v>10</v>
      </c>
      <c r="BH156" s="304"/>
      <c r="BI156" s="304"/>
      <c r="BJ156" s="304"/>
      <c r="BK156" s="304"/>
      <c r="BL156" s="304"/>
      <c r="BM156" s="304"/>
      <c r="BN156" s="304"/>
      <c r="BO156" s="304"/>
      <c r="BP156" s="304"/>
      <c r="BQ156" s="304"/>
      <c r="BR156" s="304"/>
      <c r="BS156" s="304"/>
      <c r="BT156" s="304"/>
      <c r="BU156" s="304"/>
      <c r="BV156" s="304"/>
      <c r="BW156" s="304"/>
      <c r="BX156" s="304"/>
      <c r="BY156" s="305"/>
      <c r="BZ156" s="306"/>
      <c r="CA156" s="307"/>
      <c r="CB156" s="307"/>
      <c r="CC156" s="307"/>
      <c r="CD156" s="307"/>
      <c r="CE156" s="307"/>
      <c r="CF156" s="307"/>
      <c r="CG156" s="332"/>
      <c r="CH156" s="328"/>
      <c r="CI156" s="328"/>
      <c r="CJ156" s="328"/>
      <c r="CK156" s="328"/>
      <c r="CL156" s="328"/>
      <c r="CM156" s="328">
        <v>2</v>
      </c>
      <c r="CN156" s="370"/>
      <c r="CO156" s="367"/>
      <c r="CP156" s="367"/>
      <c r="CQ156" s="367"/>
      <c r="CR156" s="367"/>
      <c r="CS156" s="387">
        <v>10</v>
      </c>
      <c r="CT156" s="398"/>
      <c r="CU156" s="399"/>
      <c r="CV156" s="399"/>
      <c r="CW156" s="399"/>
      <c r="CX156" s="399"/>
      <c r="CY156" s="399"/>
      <c r="CZ156" s="399"/>
      <c r="DA156" s="400">
        <v>1</v>
      </c>
      <c r="DB156" s="522">
        <v>1</v>
      </c>
    </row>
    <row r="157" spans="1:106" x14ac:dyDescent="0.25">
      <c r="A157" s="468" t="s">
        <v>27</v>
      </c>
      <c r="B157" s="468">
        <v>804</v>
      </c>
      <c r="C157" s="468" t="s">
        <v>2496</v>
      </c>
      <c r="D157" s="468">
        <v>15</v>
      </c>
      <c r="E157" s="468" t="s">
        <v>2497</v>
      </c>
      <c r="F157" s="468" t="s">
        <v>3024</v>
      </c>
      <c r="G157" s="468" t="s">
        <v>2499</v>
      </c>
      <c r="H157" s="468" t="s">
        <v>31</v>
      </c>
      <c r="I157" s="468" t="s">
        <v>32</v>
      </c>
      <c r="J157" s="468" t="s">
        <v>3063</v>
      </c>
      <c r="K157" s="468" t="s">
        <v>2500</v>
      </c>
      <c r="L157" s="468" t="s">
        <v>3766</v>
      </c>
      <c r="M157" s="468" t="s">
        <v>4011</v>
      </c>
      <c r="N157" s="460">
        <v>0</v>
      </c>
      <c r="O157" s="294"/>
      <c r="P157" s="294"/>
      <c r="Q157" s="294"/>
      <c r="R157" s="294"/>
      <c r="S157" s="295"/>
      <c r="T157" s="299"/>
      <c r="U157" s="297"/>
      <c r="V157" s="297"/>
      <c r="W157" s="297"/>
      <c r="X157" s="297"/>
      <c r="Y157" s="297"/>
      <c r="Z157" s="297"/>
      <c r="AA157" s="297">
        <v>0</v>
      </c>
      <c r="AB157" s="293">
        <v>0</v>
      </c>
      <c r="AC157" s="294"/>
      <c r="AD157" s="295"/>
      <c r="AE157" s="298"/>
      <c r="AF157" s="296">
        <v>0</v>
      </c>
      <c r="AG157" s="297"/>
      <c r="AH157" s="297"/>
      <c r="AI157" s="297"/>
      <c r="AJ157" s="297"/>
      <c r="AK157" s="297"/>
      <c r="AL157" s="297"/>
      <c r="AM157" s="297"/>
      <c r="AN157" s="300">
        <v>1500</v>
      </c>
      <c r="AO157" s="301"/>
      <c r="AP157" s="301"/>
      <c r="AQ157" s="301"/>
      <c r="AR157" s="301"/>
      <c r="AS157" s="301"/>
      <c r="AT157" s="301"/>
      <c r="AU157" s="301"/>
      <c r="AV157" s="301"/>
      <c r="AW157" s="301"/>
      <c r="AX157" s="301"/>
      <c r="AY157" s="301"/>
      <c r="AZ157" s="301"/>
      <c r="BA157" s="301"/>
      <c r="BB157" s="301"/>
      <c r="BC157" s="301"/>
      <c r="BD157" s="301"/>
      <c r="BE157" s="301"/>
      <c r="BF157" s="302"/>
      <c r="BG157" s="303">
        <v>10</v>
      </c>
      <c r="BH157" s="304"/>
      <c r="BI157" s="304"/>
      <c r="BJ157" s="304"/>
      <c r="BK157" s="304"/>
      <c r="BL157" s="304"/>
      <c r="BM157" s="304"/>
      <c r="BN157" s="304"/>
      <c r="BO157" s="304"/>
      <c r="BP157" s="304"/>
      <c r="BQ157" s="304"/>
      <c r="BR157" s="304"/>
      <c r="BS157" s="304"/>
      <c r="BT157" s="304"/>
      <c r="BU157" s="304"/>
      <c r="BV157" s="304"/>
      <c r="BW157" s="304"/>
      <c r="BX157" s="304"/>
      <c r="BY157" s="305"/>
      <c r="BZ157" s="308"/>
      <c r="CA157" s="307"/>
      <c r="CB157" s="307"/>
      <c r="CC157" s="307"/>
      <c r="CD157" s="307"/>
      <c r="CE157" s="307"/>
      <c r="CF157" s="309">
        <v>1</v>
      </c>
      <c r="CG157" s="332"/>
      <c r="CH157" s="328"/>
      <c r="CI157" s="328"/>
      <c r="CJ157" s="328"/>
      <c r="CK157" s="328"/>
      <c r="CL157" s="328"/>
      <c r="CM157" s="328">
        <v>2</v>
      </c>
      <c r="CN157" s="370"/>
      <c r="CO157" s="367"/>
      <c r="CP157" s="367"/>
      <c r="CQ157" s="367"/>
      <c r="CR157" s="367"/>
      <c r="CS157" s="387">
        <v>10</v>
      </c>
      <c r="CT157" s="398"/>
      <c r="CU157" s="399"/>
      <c r="CV157" s="399"/>
      <c r="CW157" s="399"/>
      <c r="CX157" s="399"/>
      <c r="CY157" s="399"/>
      <c r="CZ157" s="399"/>
      <c r="DA157" s="400">
        <v>1</v>
      </c>
      <c r="DB157" s="522">
        <v>1</v>
      </c>
    </row>
    <row r="158" spans="1:106" x14ac:dyDescent="0.25">
      <c r="A158" s="468" t="s">
        <v>27</v>
      </c>
      <c r="B158" s="468">
        <v>804</v>
      </c>
      <c r="C158" s="468" t="s">
        <v>2501</v>
      </c>
      <c r="D158" s="468">
        <v>16</v>
      </c>
      <c r="E158" s="468" t="s">
        <v>2502</v>
      </c>
      <c r="F158" s="468" t="s">
        <v>3025</v>
      </c>
      <c r="G158" s="468" t="s">
        <v>2503</v>
      </c>
      <c r="H158" s="468" t="s">
        <v>2504</v>
      </c>
      <c r="I158" s="468" t="s">
        <v>32</v>
      </c>
      <c r="J158" s="468" t="s">
        <v>3066</v>
      </c>
      <c r="K158" s="468" t="s">
        <v>2505</v>
      </c>
      <c r="L158" s="468" t="s">
        <v>3766</v>
      </c>
      <c r="M158" s="468" t="s">
        <v>4011</v>
      </c>
      <c r="N158" s="460">
        <v>0</v>
      </c>
      <c r="O158" s="294"/>
      <c r="P158" s="294"/>
      <c r="Q158" s="294"/>
      <c r="R158" s="294"/>
      <c r="S158" s="295"/>
      <c r="T158" s="299"/>
      <c r="U158" s="297"/>
      <c r="V158" s="297"/>
      <c r="W158" s="297"/>
      <c r="X158" s="297"/>
      <c r="Y158" s="297"/>
      <c r="Z158" s="297"/>
      <c r="AA158" s="297">
        <v>0</v>
      </c>
      <c r="AB158" s="293">
        <v>0</v>
      </c>
      <c r="AC158" s="294"/>
      <c r="AD158" s="295"/>
      <c r="AE158" s="298"/>
      <c r="AF158" s="299"/>
      <c r="AG158" s="297"/>
      <c r="AH158" s="297"/>
      <c r="AI158" s="297"/>
      <c r="AJ158" s="297"/>
      <c r="AK158" s="297"/>
      <c r="AL158" s="297">
        <v>1</v>
      </c>
      <c r="AM158" s="297"/>
      <c r="AN158" s="300">
        <v>1500</v>
      </c>
      <c r="AO158" s="301"/>
      <c r="AP158" s="301"/>
      <c r="AQ158" s="301"/>
      <c r="AR158" s="301"/>
      <c r="AS158" s="301"/>
      <c r="AT158" s="301"/>
      <c r="AU158" s="301"/>
      <c r="AV158" s="301"/>
      <c r="AW158" s="301"/>
      <c r="AX158" s="301"/>
      <c r="AY158" s="301"/>
      <c r="AZ158" s="301"/>
      <c r="BA158" s="301"/>
      <c r="BB158" s="301"/>
      <c r="BC158" s="301"/>
      <c r="BD158" s="301"/>
      <c r="BE158" s="301"/>
      <c r="BF158" s="302"/>
      <c r="BG158" s="303">
        <v>10</v>
      </c>
      <c r="BH158" s="304"/>
      <c r="BI158" s="304"/>
      <c r="BJ158" s="304"/>
      <c r="BK158" s="304"/>
      <c r="BL158" s="304"/>
      <c r="BM158" s="304"/>
      <c r="BN158" s="304"/>
      <c r="BO158" s="304"/>
      <c r="BP158" s="304"/>
      <c r="BQ158" s="304"/>
      <c r="BR158" s="304"/>
      <c r="BS158" s="304"/>
      <c r="BT158" s="304"/>
      <c r="BU158" s="304"/>
      <c r="BV158" s="304"/>
      <c r="BW158" s="304"/>
      <c r="BX158" s="304"/>
      <c r="BY158" s="305"/>
      <c r="BZ158" s="308"/>
      <c r="CA158" s="307"/>
      <c r="CB158" s="307"/>
      <c r="CC158" s="307"/>
      <c r="CD158" s="307"/>
      <c r="CE158" s="307"/>
      <c r="CF158" s="309"/>
      <c r="CG158" s="332"/>
      <c r="CH158" s="328"/>
      <c r="CI158" s="328"/>
      <c r="CJ158" s="328"/>
      <c r="CK158" s="328"/>
      <c r="CL158" s="328"/>
      <c r="CM158" s="328">
        <v>2</v>
      </c>
      <c r="CN158" s="370"/>
      <c r="CO158" s="367"/>
      <c r="CP158" s="367"/>
      <c r="CQ158" s="367"/>
      <c r="CR158" s="367"/>
      <c r="CS158" s="387">
        <v>10</v>
      </c>
      <c r="CT158" s="398"/>
      <c r="CU158" s="399"/>
      <c r="CV158" s="399"/>
      <c r="CW158" s="399"/>
      <c r="CX158" s="399"/>
      <c r="CY158" s="399"/>
      <c r="CZ158" s="399"/>
      <c r="DA158" s="400">
        <v>1</v>
      </c>
      <c r="DB158" s="522">
        <v>1</v>
      </c>
    </row>
    <row r="159" spans="1:106" x14ac:dyDescent="0.25">
      <c r="A159" s="468" t="s">
        <v>27</v>
      </c>
      <c r="B159" s="468">
        <v>804</v>
      </c>
      <c r="C159" s="468" t="s">
        <v>2506</v>
      </c>
      <c r="D159" s="468">
        <v>17</v>
      </c>
      <c r="E159" s="468" t="s">
        <v>2507</v>
      </c>
      <c r="F159" s="468" t="s">
        <v>2963</v>
      </c>
      <c r="G159" s="468" t="s">
        <v>2509</v>
      </c>
      <c r="H159" s="468" t="s">
        <v>31</v>
      </c>
      <c r="I159" s="468" t="s">
        <v>32</v>
      </c>
      <c r="J159" s="468" t="s">
        <v>3067</v>
      </c>
      <c r="K159" s="468" t="s">
        <v>2510</v>
      </c>
      <c r="L159" s="468" t="s">
        <v>3766</v>
      </c>
      <c r="M159" s="468" t="s">
        <v>4011</v>
      </c>
      <c r="N159" s="460">
        <v>0</v>
      </c>
      <c r="O159" s="294"/>
      <c r="P159" s="294"/>
      <c r="Q159" s="294"/>
      <c r="R159" s="294"/>
      <c r="S159" s="295"/>
      <c r="T159" s="299"/>
      <c r="U159" s="297"/>
      <c r="V159" s="297"/>
      <c r="W159" s="297"/>
      <c r="X159" s="297"/>
      <c r="Y159" s="297"/>
      <c r="Z159" s="297"/>
      <c r="AA159" s="297">
        <v>0</v>
      </c>
      <c r="AB159" s="293">
        <v>0</v>
      </c>
      <c r="AC159" s="294"/>
      <c r="AD159" s="295"/>
      <c r="AE159" s="298"/>
      <c r="AF159" s="296">
        <v>0</v>
      </c>
      <c r="AG159" s="297"/>
      <c r="AH159" s="297"/>
      <c r="AI159" s="297"/>
      <c r="AJ159" s="297"/>
      <c r="AK159" s="297"/>
      <c r="AL159" s="297"/>
      <c r="AM159" s="297"/>
      <c r="AN159" s="300">
        <v>1500</v>
      </c>
      <c r="AO159" s="301"/>
      <c r="AP159" s="301"/>
      <c r="AQ159" s="301"/>
      <c r="AR159" s="301"/>
      <c r="AS159" s="301"/>
      <c r="AT159" s="301"/>
      <c r="AU159" s="301"/>
      <c r="AV159" s="301"/>
      <c r="AW159" s="301"/>
      <c r="AX159" s="301"/>
      <c r="AY159" s="301"/>
      <c r="AZ159" s="301"/>
      <c r="BA159" s="301"/>
      <c r="BB159" s="301"/>
      <c r="BC159" s="301"/>
      <c r="BD159" s="301"/>
      <c r="BE159" s="301"/>
      <c r="BF159" s="302"/>
      <c r="BG159" s="303">
        <v>10</v>
      </c>
      <c r="BH159" s="304"/>
      <c r="BI159" s="304"/>
      <c r="BJ159" s="304"/>
      <c r="BK159" s="304"/>
      <c r="BL159" s="304"/>
      <c r="BM159" s="304"/>
      <c r="BN159" s="304"/>
      <c r="BO159" s="304"/>
      <c r="BP159" s="304"/>
      <c r="BQ159" s="304"/>
      <c r="BR159" s="304"/>
      <c r="BS159" s="304"/>
      <c r="BT159" s="304"/>
      <c r="BU159" s="304"/>
      <c r="BV159" s="304"/>
      <c r="BW159" s="304"/>
      <c r="BX159" s="304"/>
      <c r="BY159" s="305"/>
      <c r="BZ159" s="308"/>
      <c r="CA159" s="307"/>
      <c r="CB159" s="307"/>
      <c r="CC159" s="307"/>
      <c r="CD159" s="307"/>
      <c r="CE159" s="307"/>
      <c r="CF159" s="309">
        <v>1</v>
      </c>
      <c r="CG159" s="332"/>
      <c r="CH159" s="328"/>
      <c r="CI159" s="328"/>
      <c r="CJ159" s="328"/>
      <c r="CK159" s="328"/>
      <c r="CL159" s="328"/>
      <c r="CM159" s="328">
        <v>2</v>
      </c>
      <c r="CN159" s="370"/>
      <c r="CO159" s="367"/>
      <c r="CP159" s="367"/>
      <c r="CQ159" s="367"/>
      <c r="CR159" s="367"/>
      <c r="CS159" s="387">
        <v>10</v>
      </c>
      <c r="CT159" s="398"/>
      <c r="CU159" s="399"/>
      <c r="CV159" s="399"/>
      <c r="CW159" s="399"/>
      <c r="CX159" s="399"/>
      <c r="CY159" s="399"/>
      <c r="CZ159" s="399"/>
      <c r="DA159" s="400">
        <v>1</v>
      </c>
      <c r="DB159" s="522">
        <v>1</v>
      </c>
    </row>
    <row r="160" spans="1:106" x14ac:dyDescent="0.25">
      <c r="A160" s="468" t="s">
        <v>27</v>
      </c>
      <c r="B160" s="468">
        <v>804</v>
      </c>
      <c r="C160" s="468" t="s">
        <v>2519</v>
      </c>
      <c r="D160" s="468">
        <v>20</v>
      </c>
      <c r="E160" s="468" t="s">
        <v>2520</v>
      </c>
      <c r="F160" s="468" t="s">
        <v>2989</v>
      </c>
      <c r="G160" s="468" t="s">
        <v>2522</v>
      </c>
      <c r="H160" s="468" t="s">
        <v>2386</v>
      </c>
      <c r="I160" s="468" t="s">
        <v>32</v>
      </c>
      <c r="J160" s="468" t="s">
        <v>3070</v>
      </c>
      <c r="K160" s="468" t="s">
        <v>2523</v>
      </c>
      <c r="L160" s="468" t="s">
        <v>3766</v>
      </c>
      <c r="M160" s="468" t="s">
        <v>4011</v>
      </c>
      <c r="N160" s="460">
        <v>0</v>
      </c>
      <c r="O160" s="294"/>
      <c r="P160" s="294"/>
      <c r="Q160" s="294"/>
      <c r="R160" s="294"/>
      <c r="S160" s="295"/>
      <c r="T160" s="299"/>
      <c r="U160" s="297"/>
      <c r="V160" s="297"/>
      <c r="W160" s="297"/>
      <c r="X160" s="297"/>
      <c r="Y160" s="297"/>
      <c r="Z160" s="297"/>
      <c r="AA160" s="297">
        <v>2</v>
      </c>
      <c r="AB160" s="293">
        <v>0</v>
      </c>
      <c r="AC160" s="294"/>
      <c r="AD160" s="295"/>
      <c r="AE160" s="298"/>
      <c r="AF160" s="296">
        <v>0</v>
      </c>
      <c r="AG160" s="297"/>
      <c r="AH160" s="297"/>
      <c r="AI160" s="297"/>
      <c r="AJ160" s="297"/>
      <c r="AK160" s="297"/>
      <c r="AL160" s="297"/>
      <c r="AM160" s="297"/>
      <c r="AN160" s="300">
        <v>1500</v>
      </c>
      <c r="AO160" s="301"/>
      <c r="AP160" s="301"/>
      <c r="AQ160" s="301"/>
      <c r="AR160" s="301"/>
      <c r="AS160" s="301"/>
      <c r="AT160" s="301"/>
      <c r="AU160" s="301"/>
      <c r="AV160" s="301"/>
      <c r="AW160" s="301"/>
      <c r="AX160" s="301"/>
      <c r="AY160" s="301"/>
      <c r="AZ160" s="301"/>
      <c r="BA160" s="301"/>
      <c r="BB160" s="301"/>
      <c r="BC160" s="301"/>
      <c r="BD160" s="301"/>
      <c r="BE160" s="301"/>
      <c r="BF160" s="302"/>
      <c r="BG160" s="303">
        <v>10</v>
      </c>
      <c r="BH160" s="304"/>
      <c r="BI160" s="304"/>
      <c r="BJ160" s="304"/>
      <c r="BK160" s="304"/>
      <c r="BL160" s="304"/>
      <c r="BM160" s="304"/>
      <c r="BN160" s="304"/>
      <c r="BO160" s="304"/>
      <c r="BP160" s="304"/>
      <c r="BQ160" s="304"/>
      <c r="BR160" s="304"/>
      <c r="BS160" s="304"/>
      <c r="BT160" s="304"/>
      <c r="BU160" s="304"/>
      <c r="BV160" s="304"/>
      <c r="BW160" s="304"/>
      <c r="BX160" s="304"/>
      <c r="BY160" s="305"/>
      <c r="BZ160" s="306"/>
      <c r="CA160" s="307"/>
      <c r="CB160" s="307"/>
      <c r="CC160" s="307"/>
      <c r="CD160" s="307"/>
      <c r="CE160" s="307"/>
      <c r="CF160" s="307"/>
      <c r="CG160" s="332"/>
      <c r="CH160" s="328"/>
      <c r="CI160" s="328"/>
      <c r="CJ160" s="328"/>
      <c r="CK160" s="328"/>
      <c r="CL160" s="328"/>
      <c r="CM160" s="328">
        <v>2</v>
      </c>
      <c r="CN160" s="370"/>
      <c r="CO160" s="367"/>
      <c r="CP160" s="367"/>
      <c r="CQ160" s="367"/>
      <c r="CR160" s="367"/>
      <c r="CS160" s="387">
        <v>10</v>
      </c>
      <c r="CT160" s="398"/>
      <c r="CU160" s="399"/>
      <c r="CV160" s="399"/>
      <c r="CW160" s="399"/>
      <c r="CX160" s="399"/>
      <c r="CY160" s="399"/>
      <c r="CZ160" s="399"/>
      <c r="DA160" s="400">
        <v>1</v>
      </c>
      <c r="DB160" s="522">
        <v>1</v>
      </c>
    </row>
    <row r="161" spans="1:106" x14ac:dyDescent="0.25">
      <c r="A161" s="468" t="s">
        <v>27</v>
      </c>
      <c r="B161" s="468">
        <v>804</v>
      </c>
      <c r="C161" s="468" t="s">
        <v>2564</v>
      </c>
      <c r="D161" s="468">
        <v>29</v>
      </c>
      <c r="E161" s="468" t="s">
        <v>2565</v>
      </c>
      <c r="F161" s="468" t="s">
        <v>2566</v>
      </c>
      <c r="G161" s="468" t="s">
        <v>2567</v>
      </c>
      <c r="H161" s="468" t="s">
        <v>2504</v>
      </c>
      <c r="I161" s="468" t="s">
        <v>32</v>
      </c>
      <c r="J161" s="468" t="s">
        <v>3079</v>
      </c>
      <c r="K161" s="468" t="s">
        <v>2568</v>
      </c>
      <c r="L161" s="468" t="s">
        <v>3766</v>
      </c>
      <c r="M161" s="468" t="s">
        <v>4011</v>
      </c>
      <c r="N161" s="460">
        <v>0</v>
      </c>
      <c r="O161" s="294"/>
      <c r="P161" s="294"/>
      <c r="Q161" s="294"/>
      <c r="R161" s="294"/>
      <c r="S161" s="295"/>
      <c r="T161" s="299"/>
      <c r="U161" s="297"/>
      <c r="V161" s="297"/>
      <c r="W161" s="297"/>
      <c r="X161" s="297"/>
      <c r="Y161" s="297"/>
      <c r="Z161" s="297"/>
      <c r="AA161" s="297">
        <v>1</v>
      </c>
      <c r="AB161" s="293">
        <v>0</v>
      </c>
      <c r="AC161" s="294"/>
      <c r="AD161" s="295"/>
      <c r="AE161" s="298"/>
      <c r="AF161" s="296">
        <v>0</v>
      </c>
      <c r="AG161" s="297"/>
      <c r="AH161" s="297"/>
      <c r="AI161" s="297"/>
      <c r="AJ161" s="297"/>
      <c r="AK161" s="297"/>
      <c r="AL161" s="297"/>
      <c r="AM161" s="297"/>
      <c r="AN161" s="300">
        <v>1500</v>
      </c>
      <c r="AO161" s="301"/>
      <c r="AP161" s="301"/>
      <c r="AQ161" s="301"/>
      <c r="AR161" s="301"/>
      <c r="AS161" s="301"/>
      <c r="AT161" s="301"/>
      <c r="AU161" s="301"/>
      <c r="AV161" s="301"/>
      <c r="AW161" s="301"/>
      <c r="AX161" s="301"/>
      <c r="AY161" s="301"/>
      <c r="AZ161" s="301"/>
      <c r="BA161" s="301"/>
      <c r="BB161" s="301"/>
      <c r="BC161" s="301"/>
      <c r="BD161" s="301"/>
      <c r="BE161" s="301"/>
      <c r="BF161" s="302"/>
      <c r="BG161" s="303">
        <v>10</v>
      </c>
      <c r="BH161" s="304"/>
      <c r="BI161" s="304"/>
      <c r="BJ161" s="304"/>
      <c r="BK161" s="304"/>
      <c r="BL161" s="304"/>
      <c r="BM161" s="304"/>
      <c r="BN161" s="304"/>
      <c r="BO161" s="304"/>
      <c r="BP161" s="304"/>
      <c r="BQ161" s="304"/>
      <c r="BR161" s="304"/>
      <c r="BS161" s="304"/>
      <c r="BT161" s="304"/>
      <c r="BU161" s="304"/>
      <c r="BV161" s="304"/>
      <c r="BW161" s="304"/>
      <c r="BX161" s="304"/>
      <c r="BY161" s="305"/>
      <c r="BZ161" s="306"/>
      <c r="CA161" s="307"/>
      <c r="CB161" s="307"/>
      <c r="CC161" s="307"/>
      <c r="CD161" s="307"/>
      <c r="CE161" s="307"/>
      <c r="CF161" s="307"/>
      <c r="CG161" s="332"/>
      <c r="CH161" s="328"/>
      <c r="CI161" s="328"/>
      <c r="CJ161" s="328"/>
      <c r="CK161" s="328"/>
      <c r="CL161" s="328"/>
      <c r="CM161" s="328">
        <v>2</v>
      </c>
      <c r="CN161" s="370"/>
      <c r="CO161" s="367"/>
      <c r="CP161" s="367"/>
      <c r="CQ161" s="367"/>
      <c r="CR161" s="367"/>
      <c r="CS161" s="387">
        <v>10</v>
      </c>
      <c r="CT161" s="398"/>
      <c r="CU161" s="399"/>
      <c r="CV161" s="399"/>
      <c r="CW161" s="399"/>
      <c r="CX161" s="399"/>
      <c r="CY161" s="399"/>
      <c r="CZ161" s="399"/>
      <c r="DA161" s="400">
        <v>1</v>
      </c>
      <c r="DB161" s="522">
        <v>1</v>
      </c>
    </row>
    <row r="162" spans="1:106" x14ac:dyDescent="0.25">
      <c r="A162" s="468" t="s">
        <v>27</v>
      </c>
      <c r="B162" s="468">
        <v>805</v>
      </c>
      <c r="C162" s="468" t="s">
        <v>2586</v>
      </c>
      <c r="D162" s="468">
        <v>150</v>
      </c>
      <c r="E162" s="468" t="s">
        <v>2587</v>
      </c>
      <c r="F162" s="468" t="s">
        <v>2992</v>
      </c>
      <c r="G162" s="468" t="s">
        <v>2588</v>
      </c>
      <c r="H162" s="468" t="s">
        <v>31</v>
      </c>
      <c r="I162" s="468" t="s">
        <v>32</v>
      </c>
      <c r="J162" s="468" t="s">
        <v>3087</v>
      </c>
      <c r="K162" s="468" t="s">
        <v>2589</v>
      </c>
      <c r="L162" s="468" t="s">
        <v>3766</v>
      </c>
      <c r="M162" s="468" t="s">
        <v>4011</v>
      </c>
      <c r="N162" s="460">
        <v>0</v>
      </c>
      <c r="O162" s="294"/>
      <c r="P162" s="294"/>
      <c r="Q162" s="294"/>
      <c r="R162" s="294"/>
      <c r="S162" s="295"/>
      <c r="T162" s="299"/>
      <c r="U162" s="297"/>
      <c r="V162" s="297"/>
      <c r="W162" s="297"/>
      <c r="X162" s="297"/>
      <c r="Y162" s="297"/>
      <c r="Z162" s="297"/>
      <c r="AA162" s="297">
        <v>2</v>
      </c>
      <c r="AB162" s="293">
        <v>0</v>
      </c>
      <c r="AC162" s="294"/>
      <c r="AD162" s="295"/>
      <c r="AE162" s="298"/>
      <c r="AF162" s="296">
        <v>0</v>
      </c>
      <c r="AG162" s="297"/>
      <c r="AH162" s="297"/>
      <c r="AI162" s="297"/>
      <c r="AJ162" s="297"/>
      <c r="AK162" s="297"/>
      <c r="AL162" s="297"/>
      <c r="AM162" s="297"/>
      <c r="AN162" s="300">
        <v>1500</v>
      </c>
      <c r="AO162" s="301"/>
      <c r="AP162" s="301"/>
      <c r="AQ162" s="301"/>
      <c r="AR162" s="301"/>
      <c r="AS162" s="301"/>
      <c r="AT162" s="301"/>
      <c r="AU162" s="301"/>
      <c r="AV162" s="301"/>
      <c r="AW162" s="301"/>
      <c r="AX162" s="301"/>
      <c r="AY162" s="301"/>
      <c r="AZ162" s="301"/>
      <c r="BA162" s="301"/>
      <c r="BB162" s="301"/>
      <c r="BC162" s="301"/>
      <c r="BD162" s="301"/>
      <c r="BE162" s="301"/>
      <c r="BF162" s="302"/>
      <c r="BG162" s="303">
        <v>10</v>
      </c>
      <c r="BH162" s="304"/>
      <c r="BI162" s="304"/>
      <c r="BJ162" s="304"/>
      <c r="BK162" s="304"/>
      <c r="BL162" s="304"/>
      <c r="BM162" s="304"/>
      <c r="BN162" s="304"/>
      <c r="BO162" s="304"/>
      <c r="BP162" s="304"/>
      <c r="BQ162" s="304"/>
      <c r="BR162" s="304"/>
      <c r="BS162" s="304"/>
      <c r="BT162" s="304"/>
      <c r="BU162" s="304"/>
      <c r="BV162" s="304"/>
      <c r="BW162" s="304"/>
      <c r="BX162" s="304"/>
      <c r="BY162" s="305"/>
      <c r="BZ162" s="306"/>
      <c r="CA162" s="307"/>
      <c r="CB162" s="307"/>
      <c r="CC162" s="307"/>
      <c r="CD162" s="307"/>
      <c r="CE162" s="307"/>
      <c r="CF162" s="307"/>
      <c r="CG162" s="332"/>
      <c r="CH162" s="328"/>
      <c r="CI162" s="328"/>
      <c r="CJ162" s="328"/>
      <c r="CK162" s="328"/>
      <c r="CL162" s="328"/>
      <c r="CM162" s="328">
        <v>2</v>
      </c>
      <c r="CN162" s="370"/>
      <c r="CO162" s="367"/>
      <c r="CP162" s="367"/>
      <c r="CQ162" s="367"/>
      <c r="CR162" s="367"/>
      <c r="CS162" s="387">
        <v>10</v>
      </c>
      <c r="CT162" s="398"/>
      <c r="CU162" s="399"/>
      <c r="CV162" s="399"/>
      <c r="CW162" s="399"/>
      <c r="CX162" s="399"/>
      <c r="CY162" s="399"/>
      <c r="CZ162" s="399"/>
      <c r="DA162" s="400">
        <v>1</v>
      </c>
      <c r="DB162" s="522">
        <v>1</v>
      </c>
    </row>
    <row r="163" spans="1:106" x14ac:dyDescent="0.25">
      <c r="A163" s="468" t="s">
        <v>27</v>
      </c>
      <c r="B163" s="468">
        <v>804</v>
      </c>
      <c r="C163" s="468" t="s">
        <v>3374</v>
      </c>
      <c r="D163" s="468">
        <v>1102</v>
      </c>
      <c r="E163" s="468" t="s">
        <v>2379</v>
      </c>
      <c r="F163" s="468" t="s">
        <v>2498</v>
      </c>
      <c r="G163" s="468" t="s">
        <v>2380</v>
      </c>
      <c r="H163" s="468" t="s">
        <v>2381</v>
      </c>
      <c r="I163" s="468" t="s">
        <v>32</v>
      </c>
      <c r="J163" s="468" t="s">
        <v>3072</v>
      </c>
      <c r="K163" s="468" t="s">
        <v>2382</v>
      </c>
      <c r="L163" s="468" t="s">
        <v>3766</v>
      </c>
      <c r="M163" s="468" t="s">
        <v>4011</v>
      </c>
      <c r="N163" s="460">
        <v>0</v>
      </c>
      <c r="O163" s="294"/>
      <c r="P163" s="294"/>
      <c r="Q163" s="294"/>
      <c r="R163" s="294"/>
      <c r="S163" s="295"/>
      <c r="T163" s="299"/>
      <c r="U163" s="297"/>
      <c r="V163" s="297"/>
      <c r="W163" s="297"/>
      <c r="X163" s="297"/>
      <c r="Y163" s="297"/>
      <c r="Z163" s="297"/>
      <c r="AA163" s="297">
        <v>2</v>
      </c>
      <c r="AB163" s="293">
        <v>0</v>
      </c>
      <c r="AC163" s="294"/>
      <c r="AD163" s="295"/>
      <c r="AE163" s="298"/>
      <c r="AF163" s="296">
        <v>0</v>
      </c>
      <c r="AG163" s="297"/>
      <c r="AH163" s="297"/>
      <c r="AI163" s="297"/>
      <c r="AJ163" s="297"/>
      <c r="AK163" s="297"/>
      <c r="AL163" s="297"/>
      <c r="AM163" s="297"/>
      <c r="AN163" s="300">
        <v>1500</v>
      </c>
      <c r="AO163" s="301"/>
      <c r="AP163" s="301"/>
      <c r="AQ163" s="301"/>
      <c r="AR163" s="301"/>
      <c r="AS163" s="301"/>
      <c r="AT163" s="301"/>
      <c r="AU163" s="301"/>
      <c r="AV163" s="301"/>
      <c r="AW163" s="301"/>
      <c r="AX163" s="301"/>
      <c r="AY163" s="301"/>
      <c r="AZ163" s="301"/>
      <c r="BA163" s="301"/>
      <c r="BB163" s="301"/>
      <c r="BC163" s="301"/>
      <c r="BD163" s="301"/>
      <c r="BE163" s="301"/>
      <c r="BF163" s="302"/>
      <c r="BG163" s="303">
        <v>10</v>
      </c>
      <c r="BH163" s="304"/>
      <c r="BI163" s="304"/>
      <c r="BJ163" s="304"/>
      <c r="BK163" s="304"/>
      <c r="BL163" s="304"/>
      <c r="BM163" s="304"/>
      <c r="BN163" s="304"/>
      <c r="BO163" s="304"/>
      <c r="BP163" s="304"/>
      <c r="BQ163" s="304"/>
      <c r="BR163" s="304"/>
      <c r="BS163" s="304"/>
      <c r="BT163" s="304"/>
      <c r="BU163" s="304"/>
      <c r="BV163" s="304"/>
      <c r="BW163" s="304"/>
      <c r="BX163" s="304"/>
      <c r="BY163" s="305"/>
      <c r="BZ163" s="306"/>
      <c r="CA163" s="307"/>
      <c r="CB163" s="307"/>
      <c r="CC163" s="307"/>
      <c r="CD163" s="307"/>
      <c r="CE163" s="307"/>
      <c r="CF163" s="307"/>
      <c r="CG163" s="332"/>
      <c r="CH163" s="328"/>
      <c r="CI163" s="328"/>
      <c r="CJ163" s="328"/>
      <c r="CK163" s="328"/>
      <c r="CL163" s="328"/>
      <c r="CM163" s="328">
        <v>2</v>
      </c>
      <c r="CN163" s="370"/>
      <c r="CO163" s="367"/>
      <c r="CP163" s="367"/>
      <c r="CQ163" s="367"/>
      <c r="CR163" s="367"/>
      <c r="CS163" s="387">
        <v>10</v>
      </c>
      <c r="CT163" s="398"/>
      <c r="CU163" s="399"/>
      <c r="CV163" s="399"/>
      <c r="CW163" s="399"/>
      <c r="CX163" s="399"/>
      <c r="CY163" s="399"/>
      <c r="CZ163" s="399"/>
      <c r="DA163" s="400">
        <v>1</v>
      </c>
      <c r="DB163" s="522">
        <v>1</v>
      </c>
    </row>
    <row r="164" spans="1:106" x14ac:dyDescent="0.25">
      <c r="A164" s="468" t="s">
        <v>27</v>
      </c>
      <c r="B164" s="468">
        <v>804</v>
      </c>
      <c r="C164" s="468" t="s">
        <v>3383</v>
      </c>
      <c r="D164" s="468">
        <v>1109</v>
      </c>
      <c r="E164" s="468" t="s">
        <v>2401</v>
      </c>
      <c r="F164" s="468" t="s">
        <v>2402</v>
      </c>
      <c r="G164" s="468" t="s">
        <v>2403</v>
      </c>
      <c r="H164" s="468" t="s">
        <v>31</v>
      </c>
      <c r="I164" s="468" t="s">
        <v>32</v>
      </c>
      <c r="J164" s="468" t="s">
        <v>3067</v>
      </c>
      <c r="K164" s="468" t="s">
        <v>2404</v>
      </c>
      <c r="L164" s="468" t="s">
        <v>3766</v>
      </c>
      <c r="M164" s="468" t="s">
        <v>4011</v>
      </c>
      <c r="N164" s="460">
        <v>0</v>
      </c>
      <c r="O164" s="294"/>
      <c r="P164" s="294"/>
      <c r="Q164" s="294"/>
      <c r="R164" s="294"/>
      <c r="S164" s="295"/>
      <c r="T164" s="299"/>
      <c r="U164" s="297"/>
      <c r="V164" s="297"/>
      <c r="W164" s="297"/>
      <c r="X164" s="297"/>
      <c r="Y164" s="297"/>
      <c r="Z164" s="297"/>
      <c r="AA164" s="297">
        <v>2</v>
      </c>
      <c r="AB164" s="293">
        <v>0</v>
      </c>
      <c r="AC164" s="294"/>
      <c r="AD164" s="295"/>
      <c r="AE164" s="298"/>
      <c r="AF164" s="296">
        <v>0</v>
      </c>
      <c r="AG164" s="297"/>
      <c r="AH164" s="297"/>
      <c r="AI164" s="297"/>
      <c r="AJ164" s="297"/>
      <c r="AK164" s="297"/>
      <c r="AL164" s="297"/>
      <c r="AM164" s="297"/>
      <c r="AN164" s="300">
        <v>1500</v>
      </c>
      <c r="AO164" s="301"/>
      <c r="AP164" s="301"/>
      <c r="AQ164" s="301"/>
      <c r="AR164" s="301"/>
      <c r="AS164" s="301"/>
      <c r="AT164" s="301"/>
      <c r="AU164" s="301"/>
      <c r="AV164" s="301"/>
      <c r="AW164" s="301"/>
      <c r="AX164" s="301"/>
      <c r="AY164" s="301"/>
      <c r="AZ164" s="301"/>
      <c r="BA164" s="301"/>
      <c r="BB164" s="301"/>
      <c r="BC164" s="301"/>
      <c r="BD164" s="301"/>
      <c r="BE164" s="301"/>
      <c r="BF164" s="302"/>
      <c r="BG164" s="303">
        <v>10</v>
      </c>
      <c r="BH164" s="304"/>
      <c r="BI164" s="304"/>
      <c r="BJ164" s="304"/>
      <c r="BK164" s="304"/>
      <c r="BL164" s="304"/>
      <c r="BM164" s="304"/>
      <c r="BN164" s="304"/>
      <c r="BO164" s="304"/>
      <c r="BP164" s="304"/>
      <c r="BQ164" s="304"/>
      <c r="BR164" s="304"/>
      <c r="BS164" s="304"/>
      <c r="BT164" s="304"/>
      <c r="BU164" s="304"/>
      <c r="BV164" s="304"/>
      <c r="BW164" s="304"/>
      <c r="BX164" s="304"/>
      <c r="BY164" s="305"/>
      <c r="BZ164" s="306"/>
      <c r="CA164" s="307"/>
      <c r="CB164" s="307"/>
      <c r="CC164" s="307"/>
      <c r="CD164" s="307"/>
      <c r="CE164" s="307"/>
      <c r="CF164" s="307"/>
      <c r="CG164" s="332"/>
      <c r="CH164" s="328"/>
      <c r="CI164" s="328"/>
      <c r="CJ164" s="328"/>
      <c r="CK164" s="328"/>
      <c r="CL164" s="328"/>
      <c r="CM164" s="328">
        <v>2</v>
      </c>
      <c r="CN164" s="370"/>
      <c r="CO164" s="367"/>
      <c r="CP164" s="367"/>
      <c r="CQ164" s="367"/>
      <c r="CR164" s="367"/>
      <c r="CS164" s="387">
        <v>10</v>
      </c>
      <c r="CT164" s="398"/>
      <c r="CU164" s="399"/>
      <c r="CV164" s="399"/>
      <c r="CW164" s="399"/>
      <c r="CX164" s="399"/>
      <c r="CY164" s="399"/>
      <c r="CZ164" s="399"/>
      <c r="DA164" s="400">
        <v>1</v>
      </c>
      <c r="DB164" s="522">
        <v>1</v>
      </c>
    </row>
    <row r="165" spans="1:106" x14ac:dyDescent="0.25">
      <c r="A165" s="468" t="s">
        <v>27</v>
      </c>
      <c r="B165" s="468">
        <v>804</v>
      </c>
      <c r="C165" s="468" t="s">
        <v>3386</v>
      </c>
      <c r="D165" s="468">
        <v>1111</v>
      </c>
      <c r="E165" s="468" t="s">
        <v>2409</v>
      </c>
      <c r="F165" s="468" t="s">
        <v>2410</v>
      </c>
      <c r="G165" s="468" t="s">
        <v>2411</v>
      </c>
      <c r="H165" s="468" t="s">
        <v>2386</v>
      </c>
      <c r="I165" s="468" t="s">
        <v>32</v>
      </c>
      <c r="J165" s="468" t="s">
        <v>3387</v>
      </c>
      <c r="K165" s="468" t="s">
        <v>2412</v>
      </c>
      <c r="L165" s="468" t="s">
        <v>3766</v>
      </c>
      <c r="M165" s="468" t="s">
        <v>4011</v>
      </c>
      <c r="N165" s="460">
        <v>2</v>
      </c>
      <c r="O165" s="294"/>
      <c r="P165" s="294"/>
      <c r="Q165" s="294"/>
      <c r="R165" s="294"/>
      <c r="S165" s="295"/>
      <c r="T165" s="299"/>
      <c r="U165" s="297"/>
      <c r="V165" s="297"/>
      <c r="W165" s="297"/>
      <c r="X165" s="297"/>
      <c r="Y165" s="297"/>
      <c r="Z165" s="297"/>
      <c r="AA165" s="297">
        <v>1</v>
      </c>
      <c r="AB165" s="293">
        <v>0</v>
      </c>
      <c r="AC165" s="294"/>
      <c r="AD165" s="295"/>
      <c r="AE165" s="298"/>
      <c r="AF165" s="296">
        <v>0</v>
      </c>
      <c r="AG165" s="297"/>
      <c r="AH165" s="297"/>
      <c r="AI165" s="297"/>
      <c r="AJ165" s="297"/>
      <c r="AK165" s="297"/>
      <c r="AL165" s="297"/>
      <c r="AM165" s="297"/>
      <c r="AN165" s="300">
        <v>1500</v>
      </c>
      <c r="AO165" s="301"/>
      <c r="AP165" s="301"/>
      <c r="AQ165" s="301"/>
      <c r="AR165" s="301"/>
      <c r="AS165" s="301"/>
      <c r="AT165" s="301"/>
      <c r="AU165" s="301"/>
      <c r="AV165" s="301"/>
      <c r="AW165" s="301"/>
      <c r="AX165" s="301"/>
      <c r="AY165" s="301"/>
      <c r="AZ165" s="301"/>
      <c r="BA165" s="301"/>
      <c r="BB165" s="301"/>
      <c r="BC165" s="301"/>
      <c r="BD165" s="301"/>
      <c r="BE165" s="301"/>
      <c r="BF165" s="302"/>
      <c r="BG165" s="303">
        <v>10</v>
      </c>
      <c r="BH165" s="304"/>
      <c r="BI165" s="304"/>
      <c r="BJ165" s="304"/>
      <c r="BK165" s="304"/>
      <c r="BL165" s="304"/>
      <c r="BM165" s="304"/>
      <c r="BN165" s="304"/>
      <c r="BO165" s="304"/>
      <c r="BP165" s="304"/>
      <c r="BQ165" s="304"/>
      <c r="BR165" s="304"/>
      <c r="BS165" s="304"/>
      <c r="BT165" s="304"/>
      <c r="BU165" s="304"/>
      <c r="BV165" s="304"/>
      <c r="BW165" s="304"/>
      <c r="BX165" s="304"/>
      <c r="BY165" s="305"/>
      <c r="BZ165" s="306"/>
      <c r="CA165" s="307"/>
      <c r="CB165" s="307"/>
      <c r="CC165" s="307"/>
      <c r="CD165" s="307"/>
      <c r="CE165" s="307"/>
      <c r="CF165" s="307"/>
      <c r="CG165" s="332"/>
      <c r="CH165" s="328"/>
      <c r="CI165" s="328"/>
      <c r="CJ165" s="328"/>
      <c r="CK165" s="328"/>
      <c r="CL165" s="328"/>
      <c r="CM165" s="328">
        <v>2</v>
      </c>
      <c r="CN165" s="370"/>
      <c r="CO165" s="367"/>
      <c r="CP165" s="367"/>
      <c r="CQ165" s="367"/>
      <c r="CR165" s="367"/>
      <c r="CS165" s="387">
        <v>10</v>
      </c>
      <c r="CT165" s="398"/>
      <c r="CU165" s="399"/>
      <c r="CV165" s="399"/>
      <c r="CW165" s="399"/>
      <c r="CX165" s="399"/>
      <c r="CY165" s="399"/>
      <c r="CZ165" s="399"/>
      <c r="DA165" s="400">
        <v>1</v>
      </c>
      <c r="DB165" s="522">
        <v>1</v>
      </c>
    </row>
    <row r="166" spans="1:106" x14ac:dyDescent="0.25">
      <c r="A166" s="468" t="s">
        <v>27</v>
      </c>
      <c r="B166" s="468">
        <v>804</v>
      </c>
      <c r="C166" s="468" t="s">
        <v>3388</v>
      </c>
      <c r="D166" s="468">
        <v>1112</v>
      </c>
      <c r="E166" s="468" t="s">
        <v>2413</v>
      </c>
      <c r="F166" s="468" t="s">
        <v>2414</v>
      </c>
      <c r="G166" s="468" t="s">
        <v>2415</v>
      </c>
      <c r="H166" s="468" t="s">
        <v>2416</v>
      </c>
      <c r="I166" s="468" t="s">
        <v>32</v>
      </c>
      <c r="J166" s="468" t="s">
        <v>3389</v>
      </c>
      <c r="K166" s="468" t="s">
        <v>2417</v>
      </c>
      <c r="L166" s="468" t="s">
        <v>3766</v>
      </c>
      <c r="M166" s="468" t="s">
        <v>4011</v>
      </c>
      <c r="N166" s="460">
        <v>2</v>
      </c>
      <c r="O166" s="294"/>
      <c r="P166" s="294"/>
      <c r="Q166" s="294"/>
      <c r="R166" s="294"/>
      <c r="S166" s="295"/>
      <c r="T166" s="296">
        <v>0</v>
      </c>
      <c r="U166" s="297"/>
      <c r="V166" s="297"/>
      <c r="W166" s="297"/>
      <c r="X166" s="297"/>
      <c r="Y166" s="297"/>
      <c r="Z166" s="297"/>
      <c r="AA166" s="297"/>
      <c r="AB166" s="293">
        <v>0</v>
      </c>
      <c r="AC166" s="294"/>
      <c r="AD166" s="295"/>
      <c r="AE166" s="298"/>
      <c r="AF166" s="296">
        <v>0</v>
      </c>
      <c r="AG166" s="297"/>
      <c r="AH166" s="297"/>
      <c r="AI166" s="297"/>
      <c r="AJ166" s="297"/>
      <c r="AK166" s="297"/>
      <c r="AL166" s="297"/>
      <c r="AM166" s="297"/>
      <c r="AN166" s="300">
        <v>1500</v>
      </c>
      <c r="AO166" s="301"/>
      <c r="AP166" s="301"/>
      <c r="AQ166" s="301"/>
      <c r="AR166" s="301"/>
      <c r="AS166" s="301"/>
      <c r="AT166" s="301"/>
      <c r="AU166" s="301"/>
      <c r="AV166" s="301"/>
      <c r="AW166" s="301"/>
      <c r="AX166" s="301"/>
      <c r="AY166" s="301"/>
      <c r="AZ166" s="301"/>
      <c r="BA166" s="301"/>
      <c r="BB166" s="301"/>
      <c r="BC166" s="301"/>
      <c r="BD166" s="301"/>
      <c r="BE166" s="301"/>
      <c r="BF166" s="302"/>
      <c r="BG166" s="303">
        <v>10</v>
      </c>
      <c r="BH166" s="304"/>
      <c r="BI166" s="304"/>
      <c r="BJ166" s="304"/>
      <c r="BK166" s="304"/>
      <c r="BL166" s="304"/>
      <c r="BM166" s="304"/>
      <c r="BN166" s="304"/>
      <c r="BO166" s="304"/>
      <c r="BP166" s="304"/>
      <c r="BQ166" s="304"/>
      <c r="BR166" s="304"/>
      <c r="BS166" s="304"/>
      <c r="BT166" s="304"/>
      <c r="BU166" s="304"/>
      <c r="BV166" s="304"/>
      <c r="BW166" s="304"/>
      <c r="BX166" s="304"/>
      <c r="BY166" s="305"/>
      <c r="BZ166" s="306"/>
      <c r="CA166" s="307"/>
      <c r="CB166" s="307"/>
      <c r="CC166" s="307"/>
      <c r="CD166" s="307"/>
      <c r="CE166" s="307"/>
      <c r="CF166" s="307"/>
      <c r="CG166" s="332"/>
      <c r="CH166" s="328"/>
      <c r="CI166" s="328"/>
      <c r="CJ166" s="328"/>
      <c r="CK166" s="328"/>
      <c r="CL166" s="328"/>
      <c r="CM166" s="328">
        <v>2</v>
      </c>
      <c r="CN166" s="370"/>
      <c r="CO166" s="367"/>
      <c r="CP166" s="367"/>
      <c r="CQ166" s="367"/>
      <c r="CR166" s="367"/>
      <c r="CS166" s="387">
        <v>10</v>
      </c>
      <c r="CT166" s="398"/>
      <c r="CU166" s="399"/>
      <c r="CV166" s="399"/>
      <c r="CW166" s="399"/>
      <c r="CX166" s="399"/>
      <c r="CY166" s="399"/>
      <c r="CZ166" s="399"/>
      <c r="DA166" s="400">
        <v>1</v>
      </c>
      <c r="DB166" s="522">
        <v>1</v>
      </c>
    </row>
    <row r="167" spans="1:106" x14ac:dyDescent="0.25">
      <c r="A167" s="468" t="s">
        <v>27</v>
      </c>
      <c r="B167" s="468">
        <v>804</v>
      </c>
      <c r="C167" s="468" t="s">
        <v>3390</v>
      </c>
      <c r="D167" s="468">
        <v>1113</v>
      </c>
      <c r="E167" s="468" t="s">
        <v>2418</v>
      </c>
      <c r="F167" s="468" t="s">
        <v>2419</v>
      </c>
      <c r="G167" s="468" t="s">
        <v>2420</v>
      </c>
      <c r="H167" s="468" t="s">
        <v>2416</v>
      </c>
      <c r="I167" s="468" t="s">
        <v>32</v>
      </c>
      <c r="J167" s="468" t="s">
        <v>3389</v>
      </c>
      <c r="K167" s="468" t="s">
        <v>2421</v>
      </c>
      <c r="L167" s="468" t="s">
        <v>3766</v>
      </c>
      <c r="M167" s="468" t="s">
        <v>4011</v>
      </c>
      <c r="N167" s="460">
        <v>2</v>
      </c>
      <c r="O167" s="294"/>
      <c r="P167" s="294"/>
      <c r="Q167" s="294"/>
      <c r="R167" s="294"/>
      <c r="S167" s="295"/>
      <c r="T167" s="296">
        <v>0</v>
      </c>
      <c r="U167" s="297"/>
      <c r="V167" s="297"/>
      <c r="W167" s="297"/>
      <c r="X167" s="297"/>
      <c r="Y167" s="297"/>
      <c r="Z167" s="297"/>
      <c r="AA167" s="297"/>
      <c r="AB167" s="293">
        <v>0</v>
      </c>
      <c r="AC167" s="294"/>
      <c r="AD167" s="295"/>
      <c r="AE167" s="298"/>
      <c r="AF167" s="296">
        <v>0</v>
      </c>
      <c r="AG167" s="297"/>
      <c r="AH167" s="297"/>
      <c r="AI167" s="297"/>
      <c r="AJ167" s="297"/>
      <c r="AK167" s="297"/>
      <c r="AL167" s="297"/>
      <c r="AM167" s="297"/>
      <c r="AN167" s="300">
        <v>1500</v>
      </c>
      <c r="AO167" s="301"/>
      <c r="AP167" s="301"/>
      <c r="AQ167" s="301"/>
      <c r="AR167" s="301"/>
      <c r="AS167" s="301"/>
      <c r="AT167" s="301"/>
      <c r="AU167" s="301"/>
      <c r="AV167" s="301"/>
      <c r="AW167" s="301"/>
      <c r="AX167" s="301"/>
      <c r="AY167" s="301"/>
      <c r="AZ167" s="301"/>
      <c r="BA167" s="301"/>
      <c r="BB167" s="301"/>
      <c r="BC167" s="301"/>
      <c r="BD167" s="301"/>
      <c r="BE167" s="301"/>
      <c r="BF167" s="302"/>
      <c r="BG167" s="303">
        <v>10</v>
      </c>
      <c r="BH167" s="304"/>
      <c r="BI167" s="304"/>
      <c r="BJ167" s="304"/>
      <c r="BK167" s="304"/>
      <c r="BL167" s="304"/>
      <c r="BM167" s="304"/>
      <c r="BN167" s="304"/>
      <c r="BO167" s="304"/>
      <c r="BP167" s="304"/>
      <c r="BQ167" s="304"/>
      <c r="BR167" s="304"/>
      <c r="BS167" s="304"/>
      <c r="BT167" s="304"/>
      <c r="BU167" s="304"/>
      <c r="BV167" s="304"/>
      <c r="BW167" s="304"/>
      <c r="BX167" s="304"/>
      <c r="BY167" s="305"/>
      <c r="BZ167" s="306"/>
      <c r="CA167" s="307"/>
      <c r="CB167" s="307"/>
      <c r="CC167" s="307"/>
      <c r="CD167" s="307"/>
      <c r="CE167" s="307"/>
      <c r="CF167" s="307"/>
      <c r="CG167" s="332"/>
      <c r="CH167" s="328"/>
      <c r="CI167" s="328"/>
      <c r="CJ167" s="328"/>
      <c r="CK167" s="328"/>
      <c r="CL167" s="328"/>
      <c r="CM167" s="328">
        <v>2</v>
      </c>
      <c r="CN167" s="370"/>
      <c r="CO167" s="367"/>
      <c r="CP167" s="367"/>
      <c r="CQ167" s="367"/>
      <c r="CR167" s="367"/>
      <c r="CS167" s="387">
        <v>10</v>
      </c>
      <c r="CT167" s="398"/>
      <c r="CU167" s="399"/>
      <c r="CV167" s="399"/>
      <c r="CW167" s="399"/>
      <c r="CX167" s="399"/>
      <c r="CY167" s="399"/>
      <c r="CZ167" s="399"/>
      <c r="DA167" s="400">
        <v>1</v>
      </c>
      <c r="DB167" s="522">
        <v>1</v>
      </c>
    </row>
    <row r="168" spans="1:106" x14ac:dyDescent="0.25">
      <c r="A168" s="468" t="s">
        <v>27</v>
      </c>
      <c r="B168" s="468">
        <v>804</v>
      </c>
      <c r="C168" s="468" t="s">
        <v>3391</v>
      </c>
      <c r="D168" s="468">
        <v>1114</v>
      </c>
      <c r="E168" s="468" t="s">
        <v>2422</v>
      </c>
      <c r="F168" s="468" t="s">
        <v>2423</v>
      </c>
      <c r="G168" s="468" t="s">
        <v>2424</v>
      </c>
      <c r="H168" s="468" t="s">
        <v>2425</v>
      </c>
      <c r="I168" s="468" t="s">
        <v>32</v>
      </c>
      <c r="J168" s="468" t="s">
        <v>3392</v>
      </c>
      <c r="K168" s="468" t="s">
        <v>2426</v>
      </c>
      <c r="L168" s="468" t="s">
        <v>3766</v>
      </c>
      <c r="M168" s="468" t="s">
        <v>4011</v>
      </c>
      <c r="N168" s="460">
        <v>2</v>
      </c>
      <c r="O168" s="294"/>
      <c r="P168" s="294"/>
      <c r="Q168" s="294"/>
      <c r="R168" s="294"/>
      <c r="S168" s="295"/>
      <c r="T168" s="296">
        <v>0</v>
      </c>
      <c r="U168" s="297"/>
      <c r="V168" s="297"/>
      <c r="W168" s="297"/>
      <c r="X168" s="297"/>
      <c r="Y168" s="297"/>
      <c r="Z168" s="297"/>
      <c r="AA168" s="297"/>
      <c r="AB168" s="293">
        <v>0</v>
      </c>
      <c r="AC168" s="294"/>
      <c r="AD168" s="295"/>
      <c r="AE168" s="298"/>
      <c r="AF168" s="296">
        <v>0</v>
      </c>
      <c r="AG168" s="297"/>
      <c r="AH168" s="297"/>
      <c r="AI168" s="297"/>
      <c r="AJ168" s="297"/>
      <c r="AK168" s="297"/>
      <c r="AL168" s="297"/>
      <c r="AM168" s="297"/>
      <c r="AN168" s="300">
        <v>1500</v>
      </c>
      <c r="AO168" s="301"/>
      <c r="AP168" s="301"/>
      <c r="AQ168" s="301"/>
      <c r="AR168" s="301"/>
      <c r="AS168" s="301"/>
      <c r="AT168" s="301"/>
      <c r="AU168" s="301"/>
      <c r="AV168" s="301"/>
      <c r="AW168" s="301"/>
      <c r="AX168" s="301"/>
      <c r="AY168" s="301"/>
      <c r="AZ168" s="301"/>
      <c r="BA168" s="301"/>
      <c r="BB168" s="301"/>
      <c r="BC168" s="301"/>
      <c r="BD168" s="301"/>
      <c r="BE168" s="301"/>
      <c r="BF168" s="302"/>
      <c r="BG168" s="303">
        <v>10</v>
      </c>
      <c r="BH168" s="304"/>
      <c r="BI168" s="304"/>
      <c r="BJ168" s="304"/>
      <c r="BK168" s="304"/>
      <c r="BL168" s="304"/>
      <c r="BM168" s="304"/>
      <c r="BN168" s="304"/>
      <c r="BO168" s="304"/>
      <c r="BP168" s="304"/>
      <c r="BQ168" s="304"/>
      <c r="BR168" s="304"/>
      <c r="BS168" s="304"/>
      <c r="BT168" s="304"/>
      <c r="BU168" s="304"/>
      <c r="BV168" s="304"/>
      <c r="BW168" s="304"/>
      <c r="BX168" s="304"/>
      <c r="BY168" s="305"/>
      <c r="BZ168" s="306"/>
      <c r="CA168" s="307"/>
      <c r="CB168" s="307"/>
      <c r="CC168" s="307"/>
      <c r="CD168" s="307"/>
      <c r="CE168" s="307"/>
      <c r="CF168" s="307"/>
      <c r="CG168" s="332"/>
      <c r="CH168" s="328"/>
      <c r="CI168" s="328"/>
      <c r="CJ168" s="328"/>
      <c r="CK168" s="328"/>
      <c r="CL168" s="328"/>
      <c r="CM168" s="328">
        <v>2</v>
      </c>
      <c r="CN168" s="370"/>
      <c r="CO168" s="367"/>
      <c r="CP168" s="367"/>
      <c r="CQ168" s="367"/>
      <c r="CR168" s="367"/>
      <c r="CS168" s="387">
        <v>10</v>
      </c>
      <c r="CT168" s="398"/>
      <c r="CU168" s="399"/>
      <c r="CV168" s="399"/>
      <c r="CW168" s="399"/>
      <c r="CX168" s="399"/>
      <c r="CY168" s="399"/>
      <c r="CZ168" s="399"/>
      <c r="DA168" s="400">
        <v>1</v>
      </c>
      <c r="DB168" s="522">
        <v>1</v>
      </c>
    </row>
    <row r="169" spans="1:106" x14ac:dyDescent="0.25">
      <c r="A169" s="468" t="s">
        <v>27</v>
      </c>
      <c r="B169" s="468">
        <v>804</v>
      </c>
      <c r="C169" s="468" t="s">
        <v>3395</v>
      </c>
      <c r="D169" s="468">
        <v>1117</v>
      </c>
      <c r="E169" s="468" t="s">
        <v>2432</v>
      </c>
      <c r="F169" s="468" t="s">
        <v>2433</v>
      </c>
      <c r="G169" s="468" t="s">
        <v>2434</v>
      </c>
      <c r="H169" s="468" t="s">
        <v>2435</v>
      </c>
      <c r="I169" s="468" t="s">
        <v>32</v>
      </c>
      <c r="J169" s="468" t="s">
        <v>3396</v>
      </c>
      <c r="K169" s="468" t="s">
        <v>2436</v>
      </c>
      <c r="L169" s="468" t="s">
        <v>3766</v>
      </c>
      <c r="M169" s="468" t="s">
        <v>4011</v>
      </c>
      <c r="N169" s="460">
        <v>1</v>
      </c>
      <c r="O169" s="294"/>
      <c r="P169" s="294"/>
      <c r="Q169" s="294"/>
      <c r="R169" s="294"/>
      <c r="S169" s="295"/>
      <c r="T169" s="296">
        <v>0</v>
      </c>
      <c r="U169" s="297"/>
      <c r="V169" s="297"/>
      <c r="W169" s="297"/>
      <c r="X169" s="297"/>
      <c r="Y169" s="297"/>
      <c r="Z169" s="297"/>
      <c r="AA169" s="297"/>
      <c r="AB169" s="293">
        <v>0</v>
      </c>
      <c r="AC169" s="294"/>
      <c r="AD169" s="295"/>
      <c r="AE169" s="298"/>
      <c r="AF169" s="296">
        <v>0</v>
      </c>
      <c r="AG169" s="297"/>
      <c r="AH169" s="297"/>
      <c r="AI169" s="297"/>
      <c r="AJ169" s="297"/>
      <c r="AK169" s="297"/>
      <c r="AL169" s="297"/>
      <c r="AM169" s="297"/>
      <c r="AN169" s="300">
        <v>1500</v>
      </c>
      <c r="AO169" s="301"/>
      <c r="AP169" s="301"/>
      <c r="AQ169" s="301"/>
      <c r="AR169" s="301"/>
      <c r="AS169" s="301"/>
      <c r="AT169" s="301"/>
      <c r="AU169" s="301"/>
      <c r="AV169" s="301"/>
      <c r="AW169" s="301"/>
      <c r="AX169" s="301"/>
      <c r="AY169" s="301"/>
      <c r="AZ169" s="301"/>
      <c r="BA169" s="301"/>
      <c r="BB169" s="301"/>
      <c r="BC169" s="301"/>
      <c r="BD169" s="301"/>
      <c r="BE169" s="301"/>
      <c r="BF169" s="302"/>
      <c r="BG169" s="303">
        <v>10</v>
      </c>
      <c r="BH169" s="304"/>
      <c r="BI169" s="304"/>
      <c r="BJ169" s="304"/>
      <c r="BK169" s="304"/>
      <c r="BL169" s="304"/>
      <c r="BM169" s="304"/>
      <c r="BN169" s="304"/>
      <c r="BO169" s="304"/>
      <c r="BP169" s="304"/>
      <c r="BQ169" s="304"/>
      <c r="BR169" s="304"/>
      <c r="BS169" s="304"/>
      <c r="BT169" s="304"/>
      <c r="BU169" s="304"/>
      <c r="BV169" s="304"/>
      <c r="BW169" s="304"/>
      <c r="BX169" s="304"/>
      <c r="BY169" s="305"/>
      <c r="BZ169" s="306"/>
      <c r="CA169" s="307"/>
      <c r="CB169" s="307"/>
      <c r="CC169" s="307"/>
      <c r="CD169" s="307"/>
      <c r="CE169" s="307"/>
      <c r="CF169" s="307"/>
      <c r="CG169" s="332"/>
      <c r="CH169" s="328"/>
      <c r="CI169" s="328"/>
      <c r="CJ169" s="328"/>
      <c r="CK169" s="328"/>
      <c r="CL169" s="328"/>
      <c r="CM169" s="328">
        <v>2</v>
      </c>
      <c r="CN169" s="370"/>
      <c r="CO169" s="367"/>
      <c r="CP169" s="367"/>
      <c r="CQ169" s="367"/>
      <c r="CR169" s="367"/>
      <c r="CS169" s="387">
        <v>10</v>
      </c>
      <c r="CT169" s="398"/>
      <c r="CU169" s="399"/>
      <c r="CV169" s="399"/>
      <c r="CW169" s="399"/>
      <c r="CX169" s="399"/>
      <c r="CY169" s="399"/>
      <c r="CZ169" s="399"/>
      <c r="DA169" s="400">
        <v>1</v>
      </c>
      <c r="DB169" s="522">
        <v>1</v>
      </c>
    </row>
    <row r="170" spans="1:106" x14ac:dyDescent="0.25">
      <c r="A170" s="468" t="s">
        <v>94</v>
      </c>
      <c r="B170" s="468">
        <v>814</v>
      </c>
      <c r="C170" s="468" t="s">
        <v>2590</v>
      </c>
      <c r="D170" s="468">
        <v>261</v>
      </c>
      <c r="E170" s="468" t="s">
        <v>2591</v>
      </c>
      <c r="F170" s="468" t="s">
        <v>2592</v>
      </c>
      <c r="G170" s="468" t="s">
        <v>2593</v>
      </c>
      <c r="H170" s="468" t="s">
        <v>2594</v>
      </c>
      <c r="I170" s="468" t="s">
        <v>32</v>
      </c>
      <c r="J170" s="468" t="s">
        <v>3117</v>
      </c>
      <c r="K170" s="468" t="s">
        <v>2595</v>
      </c>
      <c r="L170" s="468" t="s">
        <v>3737</v>
      </c>
      <c r="M170" s="468" t="s">
        <v>3739</v>
      </c>
      <c r="N170" s="460">
        <v>0</v>
      </c>
      <c r="O170" s="294"/>
      <c r="P170" s="294"/>
      <c r="Q170" s="294"/>
      <c r="R170" s="294"/>
      <c r="S170" s="295"/>
      <c r="T170" s="299"/>
      <c r="U170" s="297"/>
      <c r="V170" s="297"/>
      <c r="W170" s="297">
        <v>1</v>
      </c>
      <c r="X170" s="297"/>
      <c r="Y170" s="297"/>
      <c r="Z170" s="297"/>
      <c r="AA170" s="297"/>
      <c r="AB170" s="293">
        <v>0</v>
      </c>
      <c r="AC170" s="294"/>
      <c r="AD170" s="295"/>
      <c r="AE170" s="298"/>
      <c r="AF170" s="299"/>
      <c r="AG170" s="297"/>
      <c r="AH170" s="297">
        <v>1</v>
      </c>
      <c r="AI170" s="297"/>
      <c r="AJ170" s="297"/>
      <c r="AK170" s="297"/>
      <c r="AL170" s="297"/>
      <c r="AM170" s="297"/>
      <c r="AN170" s="300"/>
      <c r="AO170" s="301"/>
      <c r="AP170" s="301"/>
      <c r="AQ170" s="301"/>
      <c r="AR170" s="301"/>
      <c r="AS170" s="301"/>
      <c r="AT170" s="301"/>
      <c r="AU170" s="301"/>
      <c r="AV170" s="301"/>
      <c r="AW170" s="301"/>
      <c r="AX170" s="301"/>
      <c r="AY170" s="301"/>
      <c r="AZ170" s="301">
        <v>1500</v>
      </c>
      <c r="BA170" s="301"/>
      <c r="BB170" s="301"/>
      <c r="BC170" s="301"/>
      <c r="BD170" s="301"/>
      <c r="BE170" s="301"/>
      <c r="BF170" s="302"/>
      <c r="BG170" s="303"/>
      <c r="BH170" s="304"/>
      <c r="BI170" s="304"/>
      <c r="BJ170" s="304"/>
      <c r="BK170" s="304"/>
      <c r="BL170" s="304"/>
      <c r="BM170" s="304"/>
      <c r="BN170" s="304"/>
      <c r="BO170" s="304"/>
      <c r="BP170" s="304"/>
      <c r="BQ170" s="304"/>
      <c r="BR170" s="304"/>
      <c r="BS170" s="304">
        <v>10</v>
      </c>
      <c r="BT170" s="304"/>
      <c r="BU170" s="304"/>
      <c r="BV170" s="304"/>
      <c r="BW170" s="304"/>
      <c r="BX170" s="304"/>
      <c r="BY170" s="305"/>
      <c r="BZ170" s="306"/>
      <c r="CA170" s="307"/>
      <c r="CB170" s="307"/>
      <c r="CC170" s="307"/>
      <c r="CD170" s="307"/>
      <c r="CE170" s="307"/>
      <c r="CF170" s="307"/>
      <c r="CG170" s="332"/>
      <c r="CH170" s="328"/>
      <c r="CI170" s="328"/>
      <c r="CJ170" s="328">
        <v>2</v>
      </c>
      <c r="CK170" s="328"/>
      <c r="CL170" s="328"/>
      <c r="CM170" s="328"/>
      <c r="CN170" s="370"/>
      <c r="CO170" s="367"/>
      <c r="CP170" s="367"/>
      <c r="CQ170" s="367">
        <v>10</v>
      </c>
      <c r="CR170" s="367"/>
      <c r="CS170" s="387"/>
      <c r="CT170" s="398"/>
      <c r="CU170" s="399"/>
      <c r="CV170" s="399"/>
      <c r="CW170" s="399"/>
      <c r="CX170" s="399">
        <v>1</v>
      </c>
      <c r="CY170" s="399"/>
      <c r="CZ170" s="399"/>
      <c r="DA170" s="400"/>
      <c r="DB170" s="522">
        <v>1</v>
      </c>
    </row>
    <row r="171" spans="1:106" x14ac:dyDescent="0.25">
      <c r="A171" s="468" t="s">
        <v>94</v>
      </c>
      <c r="B171" s="468">
        <v>807</v>
      </c>
      <c r="C171" s="468" t="s">
        <v>2613</v>
      </c>
      <c r="D171" s="468">
        <v>317</v>
      </c>
      <c r="E171" s="468" t="s">
        <v>2614</v>
      </c>
      <c r="F171" s="468" t="s">
        <v>2615</v>
      </c>
      <c r="G171" s="468" t="s">
        <v>2616</v>
      </c>
      <c r="H171" s="468" t="s">
        <v>313</v>
      </c>
      <c r="I171" s="468" t="s">
        <v>32</v>
      </c>
      <c r="J171" s="468" t="s">
        <v>3145</v>
      </c>
      <c r="K171" s="468" t="s">
        <v>2617</v>
      </c>
      <c r="L171" s="468" t="s">
        <v>3844</v>
      </c>
      <c r="M171" s="468" t="s">
        <v>3945</v>
      </c>
      <c r="N171" s="460">
        <v>0</v>
      </c>
      <c r="O171" s="294"/>
      <c r="P171" s="294"/>
      <c r="Q171" s="294"/>
      <c r="R171" s="294"/>
      <c r="S171" s="295"/>
      <c r="T171" s="296">
        <v>0</v>
      </c>
      <c r="U171" s="297"/>
      <c r="V171" s="297"/>
      <c r="W171" s="297"/>
      <c r="X171" s="297"/>
      <c r="Y171" s="297"/>
      <c r="Z171" s="297"/>
      <c r="AA171" s="297"/>
      <c r="AB171" s="293">
        <v>0</v>
      </c>
      <c r="AC171" s="294"/>
      <c r="AD171" s="295"/>
      <c r="AE171" s="298"/>
      <c r="AF171" s="299"/>
      <c r="AG171" s="297">
        <v>2</v>
      </c>
      <c r="AH171" s="297"/>
      <c r="AI171" s="297"/>
      <c r="AJ171" s="297"/>
      <c r="AK171" s="297"/>
      <c r="AL171" s="297"/>
      <c r="AM171" s="297"/>
      <c r="AN171" s="300"/>
      <c r="AO171" s="301"/>
      <c r="AP171" s="301"/>
      <c r="AQ171" s="301"/>
      <c r="AR171" s="301"/>
      <c r="AS171" s="301"/>
      <c r="AT171" s="301"/>
      <c r="AU171" s="301"/>
      <c r="AV171" s="301"/>
      <c r="AW171" s="301"/>
      <c r="AX171" s="301"/>
      <c r="AY171" s="301">
        <v>1500</v>
      </c>
      <c r="AZ171" s="301"/>
      <c r="BA171" s="301"/>
      <c r="BB171" s="301"/>
      <c r="BC171" s="301"/>
      <c r="BD171" s="301"/>
      <c r="BE171" s="301"/>
      <c r="BF171" s="302"/>
      <c r="BG171" s="303"/>
      <c r="BH171" s="304"/>
      <c r="BI171" s="304"/>
      <c r="BJ171" s="304"/>
      <c r="BK171" s="304"/>
      <c r="BL171" s="304"/>
      <c r="BM171" s="304"/>
      <c r="BN171" s="304"/>
      <c r="BO171" s="304"/>
      <c r="BP171" s="304"/>
      <c r="BQ171" s="304"/>
      <c r="BR171" s="304">
        <v>10</v>
      </c>
      <c r="BS171" s="304"/>
      <c r="BT171" s="304"/>
      <c r="BU171" s="304"/>
      <c r="BV171" s="304"/>
      <c r="BW171" s="304"/>
      <c r="BX171" s="304"/>
      <c r="BY171" s="305"/>
      <c r="BZ171" s="306"/>
      <c r="CA171" s="307"/>
      <c r="CB171" s="307"/>
      <c r="CC171" s="307"/>
      <c r="CD171" s="307"/>
      <c r="CE171" s="307"/>
      <c r="CF171" s="307"/>
      <c r="CG171" s="332"/>
      <c r="CH171" s="328"/>
      <c r="CI171" s="328">
        <v>2</v>
      </c>
      <c r="CJ171" s="328"/>
      <c r="CK171" s="328"/>
      <c r="CL171" s="328"/>
      <c r="CM171" s="328"/>
      <c r="CN171" s="370"/>
      <c r="CO171" s="367"/>
      <c r="CP171" s="367">
        <v>10</v>
      </c>
      <c r="CQ171" s="367"/>
      <c r="CR171" s="367"/>
      <c r="CS171" s="387"/>
      <c r="CT171" s="398"/>
      <c r="CU171" s="399"/>
      <c r="CV171" s="399">
        <v>1</v>
      </c>
      <c r="CW171" s="399"/>
      <c r="CX171" s="399"/>
      <c r="CY171" s="399"/>
      <c r="CZ171" s="399"/>
      <c r="DA171" s="400"/>
      <c r="DB171" s="522">
        <v>1</v>
      </c>
    </row>
    <row r="172" spans="1:106" x14ac:dyDescent="0.25">
      <c r="A172" s="468" t="s">
        <v>161</v>
      </c>
      <c r="B172" s="468">
        <v>800</v>
      </c>
      <c r="C172" s="468" t="s">
        <v>2696</v>
      </c>
      <c r="D172" s="468">
        <v>520</v>
      </c>
      <c r="E172" s="468" t="s">
        <v>2697</v>
      </c>
      <c r="F172" s="468" t="s">
        <v>2698</v>
      </c>
      <c r="G172" s="468" t="s">
        <v>2699</v>
      </c>
      <c r="H172" s="468" t="s">
        <v>2700</v>
      </c>
      <c r="I172" s="468" t="s">
        <v>166</v>
      </c>
      <c r="J172" s="468" t="s">
        <v>3216</v>
      </c>
      <c r="K172" s="468" t="s">
        <v>2701</v>
      </c>
      <c r="L172" s="468" t="s">
        <v>3775</v>
      </c>
      <c r="M172" s="468" t="s">
        <v>3969</v>
      </c>
      <c r="N172" s="460">
        <v>0</v>
      </c>
      <c r="O172" s="294"/>
      <c r="P172" s="294"/>
      <c r="Q172" s="294"/>
      <c r="R172" s="294"/>
      <c r="S172" s="295"/>
      <c r="T172" s="299"/>
      <c r="U172" s="297"/>
      <c r="V172" s="297"/>
      <c r="W172" s="297"/>
      <c r="X172" s="297"/>
      <c r="Y172" s="297">
        <v>1</v>
      </c>
      <c r="Z172" s="297"/>
      <c r="AA172" s="297"/>
      <c r="AB172" s="293">
        <v>0</v>
      </c>
      <c r="AC172" s="294"/>
      <c r="AD172" s="295"/>
      <c r="AE172" s="298"/>
      <c r="AF172" s="299"/>
      <c r="AG172" s="297"/>
      <c r="AH172" s="297"/>
      <c r="AI172" s="297"/>
      <c r="AJ172" s="297"/>
      <c r="AK172" s="297"/>
      <c r="AL172" s="297"/>
      <c r="AM172" s="297">
        <v>1</v>
      </c>
      <c r="AN172" s="300"/>
      <c r="AO172" s="301"/>
      <c r="AP172" s="301"/>
      <c r="AQ172" s="301"/>
      <c r="AR172" s="301"/>
      <c r="AS172" s="301"/>
      <c r="AT172" s="301"/>
      <c r="AU172" s="301"/>
      <c r="AV172" s="301"/>
      <c r="AW172" s="301"/>
      <c r="AX172" s="301"/>
      <c r="AY172" s="301"/>
      <c r="AZ172" s="301"/>
      <c r="BA172" s="301"/>
      <c r="BB172" s="301"/>
      <c r="BC172" s="301"/>
      <c r="BD172" s="301"/>
      <c r="BE172" s="301">
        <v>1500</v>
      </c>
      <c r="BF172" s="302"/>
      <c r="BG172" s="303"/>
      <c r="BH172" s="304"/>
      <c r="BI172" s="304"/>
      <c r="BJ172" s="304"/>
      <c r="BK172" s="304"/>
      <c r="BL172" s="304"/>
      <c r="BM172" s="304"/>
      <c r="BN172" s="304"/>
      <c r="BO172" s="304"/>
      <c r="BP172" s="304"/>
      <c r="BQ172" s="304"/>
      <c r="BR172" s="304"/>
      <c r="BS172" s="304"/>
      <c r="BT172" s="304"/>
      <c r="BU172" s="304"/>
      <c r="BV172" s="304"/>
      <c r="BW172" s="304"/>
      <c r="BX172" s="304">
        <v>10</v>
      </c>
      <c r="BY172" s="305"/>
      <c r="BZ172" s="306"/>
      <c r="CA172" s="307"/>
      <c r="CB172" s="307"/>
      <c r="CC172" s="307"/>
      <c r="CD172" s="307"/>
      <c r="CE172" s="307"/>
      <c r="CF172" s="307"/>
      <c r="CG172" s="332"/>
      <c r="CH172" s="328"/>
      <c r="CI172" s="328"/>
      <c r="CJ172" s="328"/>
      <c r="CK172" s="328">
        <v>2</v>
      </c>
      <c r="CL172" s="328"/>
      <c r="CM172" s="328"/>
      <c r="CN172" s="370"/>
      <c r="CO172" s="367"/>
      <c r="CP172" s="367"/>
      <c r="CQ172" s="367"/>
      <c r="CR172" s="378">
        <v>10</v>
      </c>
      <c r="CS172" s="387"/>
      <c r="CT172" s="398"/>
      <c r="CU172" s="399"/>
      <c r="CV172" s="399"/>
      <c r="CW172" s="399"/>
      <c r="CX172" s="399">
        <v>1</v>
      </c>
      <c r="CY172" s="399"/>
      <c r="CZ172" s="399"/>
      <c r="DA172" s="400"/>
      <c r="DB172" s="522">
        <v>1</v>
      </c>
    </row>
    <row r="173" spans="1:106" x14ac:dyDescent="0.25">
      <c r="A173" s="468" t="s">
        <v>161</v>
      </c>
      <c r="B173" s="468">
        <v>800</v>
      </c>
      <c r="C173" s="468" t="s">
        <v>2702</v>
      </c>
      <c r="D173" s="468">
        <v>521</v>
      </c>
      <c r="E173" s="468" t="s">
        <v>2703</v>
      </c>
      <c r="F173" s="468" t="s">
        <v>2704</v>
      </c>
      <c r="G173" s="468" t="s">
        <v>2705</v>
      </c>
      <c r="H173" s="468" t="s">
        <v>2706</v>
      </c>
      <c r="I173" s="468" t="s">
        <v>166</v>
      </c>
      <c r="J173" s="468" t="s">
        <v>3217</v>
      </c>
      <c r="K173" s="468" t="s">
        <v>2707</v>
      </c>
      <c r="L173" s="468" t="s">
        <v>3775</v>
      </c>
      <c r="M173" s="468" t="s">
        <v>3969</v>
      </c>
      <c r="N173" s="460">
        <v>0</v>
      </c>
      <c r="O173" s="294"/>
      <c r="P173" s="294"/>
      <c r="Q173" s="294"/>
      <c r="R173" s="294"/>
      <c r="S173" s="295"/>
      <c r="T173" s="299"/>
      <c r="U173" s="297"/>
      <c r="V173" s="297"/>
      <c r="W173" s="297"/>
      <c r="X173" s="297"/>
      <c r="Y173" s="297">
        <v>2</v>
      </c>
      <c r="Z173" s="297"/>
      <c r="AA173" s="297"/>
      <c r="AB173" s="293">
        <v>0</v>
      </c>
      <c r="AC173" s="294"/>
      <c r="AD173" s="295"/>
      <c r="AE173" s="298"/>
      <c r="AF173" s="299"/>
      <c r="AG173" s="297"/>
      <c r="AH173" s="297"/>
      <c r="AI173" s="297"/>
      <c r="AJ173" s="297"/>
      <c r="AK173" s="297"/>
      <c r="AL173" s="297"/>
      <c r="AM173" s="297">
        <v>0</v>
      </c>
      <c r="AN173" s="300"/>
      <c r="AO173" s="301"/>
      <c r="AP173" s="301"/>
      <c r="AQ173" s="301"/>
      <c r="AR173" s="301"/>
      <c r="AS173" s="301"/>
      <c r="AT173" s="301"/>
      <c r="AU173" s="301"/>
      <c r="AV173" s="301"/>
      <c r="AW173" s="301"/>
      <c r="AX173" s="301"/>
      <c r="AY173" s="301"/>
      <c r="AZ173" s="301"/>
      <c r="BA173" s="301"/>
      <c r="BB173" s="301"/>
      <c r="BC173" s="301"/>
      <c r="BD173" s="301"/>
      <c r="BE173" s="301">
        <v>1500</v>
      </c>
      <c r="BF173" s="302"/>
      <c r="BG173" s="303"/>
      <c r="BH173" s="304"/>
      <c r="BI173" s="304"/>
      <c r="BJ173" s="304"/>
      <c r="BK173" s="304"/>
      <c r="BL173" s="304"/>
      <c r="BM173" s="304"/>
      <c r="BN173" s="304"/>
      <c r="BO173" s="304"/>
      <c r="BP173" s="304"/>
      <c r="BQ173" s="304"/>
      <c r="BR173" s="304"/>
      <c r="BS173" s="304"/>
      <c r="BT173" s="304"/>
      <c r="BU173" s="304"/>
      <c r="BV173" s="304"/>
      <c r="BW173" s="304"/>
      <c r="BX173" s="304">
        <v>10</v>
      </c>
      <c r="BY173" s="305"/>
      <c r="BZ173" s="306"/>
      <c r="CA173" s="307"/>
      <c r="CB173" s="307"/>
      <c r="CC173" s="307"/>
      <c r="CD173" s="307"/>
      <c r="CE173" s="307"/>
      <c r="CF173" s="307"/>
      <c r="CG173" s="332"/>
      <c r="CH173" s="328"/>
      <c r="CI173" s="328"/>
      <c r="CJ173" s="328"/>
      <c r="CK173" s="328">
        <v>2</v>
      </c>
      <c r="CL173" s="328"/>
      <c r="CM173" s="328"/>
      <c r="CN173" s="370"/>
      <c r="CO173" s="367"/>
      <c r="CP173" s="367"/>
      <c r="CQ173" s="367"/>
      <c r="CR173" s="378">
        <v>10</v>
      </c>
      <c r="CS173" s="387"/>
      <c r="CT173" s="398"/>
      <c r="CU173" s="399"/>
      <c r="CV173" s="399"/>
      <c r="CW173" s="399"/>
      <c r="CX173" s="399">
        <v>1</v>
      </c>
      <c r="CY173" s="399"/>
      <c r="CZ173" s="399"/>
      <c r="DA173" s="400"/>
      <c r="DB173" s="522">
        <v>1</v>
      </c>
    </row>
    <row r="174" spans="1:106" x14ac:dyDescent="0.25">
      <c r="A174" s="468" t="s">
        <v>161</v>
      </c>
      <c r="B174" s="468">
        <v>800</v>
      </c>
      <c r="C174" s="468" t="s">
        <v>2713</v>
      </c>
      <c r="D174" s="468">
        <v>523</v>
      </c>
      <c r="E174" s="468" t="s">
        <v>2714</v>
      </c>
      <c r="F174" s="468" t="s">
        <v>2715</v>
      </c>
      <c r="G174" s="468" t="s">
        <v>2716</v>
      </c>
      <c r="H174" s="468" t="s">
        <v>2717</v>
      </c>
      <c r="I174" s="468" t="s">
        <v>166</v>
      </c>
      <c r="J174" s="468" t="s">
        <v>3219</v>
      </c>
      <c r="K174" s="468" t="s">
        <v>2718</v>
      </c>
      <c r="L174" s="468" t="s">
        <v>3775</v>
      </c>
      <c r="M174" s="468" t="s">
        <v>3969</v>
      </c>
      <c r="N174" s="460">
        <v>0</v>
      </c>
      <c r="O174" s="294"/>
      <c r="P174" s="294"/>
      <c r="Q174" s="294"/>
      <c r="R174" s="294"/>
      <c r="S174" s="295"/>
      <c r="T174" s="299"/>
      <c r="U174" s="297"/>
      <c r="V174" s="297"/>
      <c r="W174" s="297"/>
      <c r="X174" s="297"/>
      <c r="Y174" s="297">
        <v>1</v>
      </c>
      <c r="Z174" s="297"/>
      <c r="AA174" s="297"/>
      <c r="AB174" s="293">
        <v>0</v>
      </c>
      <c r="AC174" s="294"/>
      <c r="AD174" s="295"/>
      <c r="AE174" s="298"/>
      <c r="AF174" s="299"/>
      <c r="AG174" s="297"/>
      <c r="AH174" s="297"/>
      <c r="AI174" s="297"/>
      <c r="AJ174" s="297"/>
      <c r="AK174" s="297"/>
      <c r="AL174" s="297"/>
      <c r="AM174" s="297">
        <v>0</v>
      </c>
      <c r="AN174" s="300"/>
      <c r="AO174" s="301"/>
      <c r="AP174" s="301"/>
      <c r="AQ174" s="301"/>
      <c r="AR174" s="301"/>
      <c r="AS174" s="301"/>
      <c r="AT174" s="301"/>
      <c r="AU174" s="301"/>
      <c r="AV174" s="301"/>
      <c r="AW174" s="301"/>
      <c r="AX174" s="301"/>
      <c r="AY174" s="301"/>
      <c r="AZ174" s="301"/>
      <c r="BA174" s="301"/>
      <c r="BB174" s="301"/>
      <c r="BC174" s="301"/>
      <c r="BD174" s="301"/>
      <c r="BE174" s="301">
        <v>1500</v>
      </c>
      <c r="BF174" s="302"/>
      <c r="BG174" s="303"/>
      <c r="BH174" s="304"/>
      <c r="BI174" s="304"/>
      <c r="BJ174" s="304"/>
      <c r="BK174" s="304"/>
      <c r="BL174" s="304"/>
      <c r="BM174" s="304"/>
      <c r="BN174" s="304"/>
      <c r="BO174" s="304"/>
      <c r="BP174" s="304"/>
      <c r="BQ174" s="304"/>
      <c r="BR174" s="304"/>
      <c r="BS174" s="304"/>
      <c r="BT174" s="304"/>
      <c r="BU174" s="304"/>
      <c r="BV174" s="304"/>
      <c r="BW174" s="304"/>
      <c r="BX174" s="304">
        <v>10</v>
      </c>
      <c r="BY174" s="305"/>
      <c r="BZ174" s="306"/>
      <c r="CA174" s="307"/>
      <c r="CB174" s="307"/>
      <c r="CC174" s="307"/>
      <c r="CD174" s="307"/>
      <c r="CE174" s="307"/>
      <c r="CF174" s="307"/>
      <c r="CG174" s="332"/>
      <c r="CH174" s="328"/>
      <c r="CI174" s="328"/>
      <c r="CJ174" s="328"/>
      <c r="CK174" s="328">
        <v>2</v>
      </c>
      <c r="CL174" s="328"/>
      <c r="CM174" s="328"/>
      <c r="CN174" s="370"/>
      <c r="CO174" s="367"/>
      <c r="CP174" s="367"/>
      <c r="CQ174" s="367"/>
      <c r="CR174" s="378">
        <v>10</v>
      </c>
      <c r="CS174" s="387"/>
      <c r="CT174" s="398"/>
      <c r="CU174" s="399"/>
      <c r="CV174" s="399"/>
      <c r="CW174" s="399"/>
      <c r="CX174" s="399">
        <v>1</v>
      </c>
      <c r="CY174" s="399"/>
      <c r="CZ174" s="399"/>
      <c r="DA174" s="400"/>
      <c r="DB174" s="522">
        <v>1</v>
      </c>
    </row>
    <row r="175" spans="1:106" x14ac:dyDescent="0.25">
      <c r="A175" s="468" t="s">
        <v>161</v>
      </c>
      <c r="B175" s="468">
        <v>800</v>
      </c>
      <c r="C175" s="468" t="s">
        <v>2736</v>
      </c>
      <c r="D175" s="468">
        <v>527</v>
      </c>
      <c r="E175" s="468" t="s">
        <v>2737</v>
      </c>
      <c r="F175" s="468" t="s">
        <v>2738</v>
      </c>
      <c r="G175" s="468" t="s">
        <v>2739</v>
      </c>
      <c r="H175" s="468" t="s">
        <v>2740</v>
      </c>
      <c r="I175" s="468" t="s">
        <v>166</v>
      </c>
      <c r="J175" s="468" t="s">
        <v>3222</v>
      </c>
      <c r="K175" s="468" t="s">
        <v>2741</v>
      </c>
      <c r="L175" s="468" t="s">
        <v>3775</v>
      </c>
      <c r="M175" s="468" t="s">
        <v>3969</v>
      </c>
      <c r="N175" s="460">
        <v>0</v>
      </c>
      <c r="O175" s="294"/>
      <c r="P175" s="294"/>
      <c r="Q175" s="294"/>
      <c r="R175" s="294"/>
      <c r="S175" s="295"/>
      <c r="T175" s="299"/>
      <c r="U175" s="297"/>
      <c r="V175" s="297"/>
      <c r="W175" s="297"/>
      <c r="X175" s="297"/>
      <c r="Y175" s="297">
        <v>0</v>
      </c>
      <c r="Z175" s="297"/>
      <c r="AA175" s="297"/>
      <c r="AB175" s="293">
        <v>0</v>
      </c>
      <c r="AC175" s="294"/>
      <c r="AD175" s="295"/>
      <c r="AE175" s="298"/>
      <c r="AF175" s="299"/>
      <c r="AG175" s="297"/>
      <c r="AH175" s="297"/>
      <c r="AI175" s="297"/>
      <c r="AJ175" s="297"/>
      <c r="AK175" s="297"/>
      <c r="AL175" s="297"/>
      <c r="AM175" s="297">
        <v>1</v>
      </c>
      <c r="AN175" s="300"/>
      <c r="AO175" s="301"/>
      <c r="AP175" s="301"/>
      <c r="AQ175" s="301"/>
      <c r="AR175" s="301"/>
      <c r="AS175" s="301"/>
      <c r="AT175" s="301"/>
      <c r="AU175" s="301"/>
      <c r="AV175" s="301"/>
      <c r="AW175" s="301"/>
      <c r="AX175" s="301"/>
      <c r="AY175" s="301"/>
      <c r="AZ175" s="301"/>
      <c r="BA175" s="301"/>
      <c r="BB175" s="301"/>
      <c r="BC175" s="301"/>
      <c r="BD175" s="301"/>
      <c r="BE175" s="301">
        <v>1500</v>
      </c>
      <c r="BF175" s="302"/>
      <c r="BG175" s="303"/>
      <c r="BH175" s="304"/>
      <c r="BI175" s="304"/>
      <c r="BJ175" s="304"/>
      <c r="BK175" s="304"/>
      <c r="BL175" s="304"/>
      <c r="BM175" s="304"/>
      <c r="BN175" s="304"/>
      <c r="BO175" s="304"/>
      <c r="BP175" s="304"/>
      <c r="BQ175" s="304"/>
      <c r="BR175" s="304"/>
      <c r="BS175" s="304"/>
      <c r="BT175" s="304"/>
      <c r="BU175" s="304"/>
      <c r="BV175" s="304"/>
      <c r="BW175" s="304"/>
      <c r="BX175" s="304">
        <v>10</v>
      </c>
      <c r="BY175" s="305"/>
      <c r="BZ175" s="306"/>
      <c r="CA175" s="307"/>
      <c r="CB175" s="307"/>
      <c r="CC175" s="307"/>
      <c r="CD175" s="307"/>
      <c r="CE175" s="307"/>
      <c r="CF175" s="307"/>
      <c r="CG175" s="332"/>
      <c r="CH175" s="328"/>
      <c r="CI175" s="328"/>
      <c r="CJ175" s="328"/>
      <c r="CK175" s="328">
        <v>2</v>
      </c>
      <c r="CL175" s="328"/>
      <c r="CM175" s="328"/>
      <c r="CN175" s="370"/>
      <c r="CO175" s="367"/>
      <c r="CP175" s="367"/>
      <c r="CQ175" s="367"/>
      <c r="CR175" s="378">
        <v>10</v>
      </c>
      <c r="CS175" s="387"/>
      <c r="CT175" s="398"/>
      <c r="CU175" s="399"/>
      <c r="CV175" s="399"/>
      <c r="CW175" s="399"/>
      <c r="CX175" s="399">
        <v>1</v>
      </c>
      <c r="CY175" s="399"/>
      <c r="CZ175" s="399"/>
      <c r="DA175" s="400"/>
      <c r="DB175" s="522">
        <v>1</v>
      </c>
    </row>
    <row r="176" spans="1:106" x14ac:dyDescent="0.25">
      <c r="A176" s="468" t="s">
        <v>161</v>
      </c>
      <c r="B176" s="468">
        <v>800</v>
      </c>
      <c r="C176" s="468" t="s">
        <v>2748</v>
      </c>
      <c r="D176" s="468">
        <v>529</v>
      </c>
      <c r="E176" s="468" t="s">
        <v>2749</v>
      </c>
      <c r="F176" s="468" t="s">
        <v>3224</v>
      </c>
      <c r="G176" s="468" t="s">
        <v>2751</v>
      </c>
      <c r="H176" s="468" t="s">
        <v>2752</v>
      </c>
      <c r="I176" s="468" t="s">
        <v>166</v>
      </c>
      <c r="J176" s="468" t="s">
        <v>3225</v>
      </c>
      <c r="K176" s="468" t="s">
        <v>2753</v>
      </c>
      <c r="L176" s="468" t="s">
        <v>3775</v>
      </c>
      <c r="M176" s="468" t="s">
        <v>3969</v>
      </c>
      <c r="N176" s="460">
        <v>0</v>
      </c>
      <c r="O176" s="294"/>
      <c r="P176" s="294"/>
      <c r="Q176" s="294"/>
      <c r="R176" s="294"/>
      <c r="S176" s="295"/>
      <c r="T176" s="299"/>
      <c r="U176" s="297"/>
      <c r="V176" s="297"/>
      <c r="W176" s="297"/>
      <c r="X176" s="297"/>
      <c r="Y176" s="297">
        <v>2</v>
      </c>
      <c r="Z176" s="297"/>
      <c r="AA176" s="297"/>
      <c r="AB176" s="293">
        <v>0</v>
      </c>
      <c r="AC176" s="294"/>
      <c r="AD176" s="295"/>
      <c r="AE176" s="298"/>
      <c r="AF176" s="296">
        <v>0</v>
      </c>
      <c r="AG176" s="297"/>
      <c r="AH176" s="297"/>
      <c r="AI176" s="297"/>
      <c r="AJ176" s="297"/>
      <c r="AK176" s="297"/>
      <c r="AL176" s="297"/>
      <c r="AM176" s="297"/>
      <c r="AN176" s="300"/>
      <c r="AO176" s="301"/>
      <c r="AP176" s="301"/>
      <c r="AQ176" s="301"/>
      <c r="AR176" s="301"/>
      <c r="AS176" s="301"/>
      <c r="AT176" s="301"/>
      <c r="AU176" s="301"/>
      <c r="AV176" s="301"/>
      <c r="AW176" s="301"/>
      <c r="AX176" s="301"/>
      <c r="AY176" s="301"/>
      <c r="AZ176" s="301"/>
      <c r="BA176" s="301"/>
      <c r="BB176" s="301"/>
      <c r="BC176" s="301"/>
      <c r="BD176" s="301"/>
      <c r="BE176" s="301">
        <v>1500</v>
      </c>
      <c r="BF176" s="302"/>
      <c r="BG176" s="303"/>
      <c r="BH176" s="304"/>
      <c r="BI176" s="304"/>
      <c r="BJ176" s="304"/>
      <c r="BK176" s="304"/>
      <c r="BL176" s="304"/>
      <c r="BM176" s="304"/>
      <c r="BN176" s="304"/>
      <c r="BO176" s="304"/>
      <c r="BP176" s="304"/>
      <c r="BQ176" s="304"/>
      <c r="BR176" s="304"/>
      <c r="BS176" s="304"/>
      <c r="BT176" s="304"/>
      <c r="BU176" s="304"/>
      <c r="BV176" s="304"/>
      <c r="BW176" s="304"/>
      <c r="BX176" s="304">
        <v>10</v>
      </c>
      <c r="BY176" s="305"/>
      <c r="BZ176" s="306"/>
      <c r="CA176" s="307"/>
      <c r="CB176" s="307"/>
      <c r="CC176" s="307"/>
      <c r="CD176" s="307"/>
      <c r="CE176" s="307"/>
      <c r="CF176" s="307"/>
      <c r="CG176" s="332"/>
      <c r="CH176" s="328"/>
      <c r="CI176" s="328"/>
      <c r="CJ176" s="328"/>
      <c r="CK176" s="328">
        <v>2</v>
      </c>
      <c r="CL176" s="328"/>
      <c r="CM176" s="328"/>
      <c r="CN176" s="370"/>
      <c r="CO176" s="367"/>
      <c r="CP176" s="367"/>
      <c r="CQ176" s="367"/>
      <c r="CR176" s="378">
        <v>10</v>
      </c>
      <c r="CS176" s="387"/>
      <c r="CT176" s="398"/>
      <c r="CU176" s="399"/>
      <c r="CV176" s="399"/>
      <c r="CW176" s="399"/>
      <c r="CX176" s="399">
        <v>1</v>
      </c>
      <c r="CY176" s="399"/>
      <c r="CZ176" s="399"/>
      <c r="DA176" s="400"/>
      <c r="DB176" s="522">
        <v>1</v>
      </c>
    </row>
    <row r="177" spans="1:106" x14ac:dyDescent="0.25">
      <c r="A177" s="468" t="s">
        <v>161</v>
      </c>
      <c r="B177" s="468">
        <v>800</v>
      </c>
      <c r="C177" s="468" t="s">
        <v>162</v>
      </c>
      <c r="D177" s="468">
        <v>530</v>
      </c>
      <c r="E177" s="468" t="s">
        <v>163</v>
      </c>
      <c r="F177" s="468" t="s">
        <v>2774</v>
      </c>
      <c r="G177" s="468" t="s">
        <v>164</v>
      </c>
      <c r="H177" s="468" t="s">
        <v>165</v>
      </c>
      <c r="I177" s="468" t="s">
        <v>166</v>
      </c>
      <c r="J177" s="468" t="s">
        <v>3226</v>
      </c>
      <c r="K177" s="468" t="s">
        <v>167</v>
      </c>
      <c r="L177" s="468" t="s">
        <v>3775</v>
      </c>
      <c r="M177" s="468" t="s">
        <v>3969</v>
      </c>
      <c r="N177" s="460">
        <v>0</v>
      </c>
      <c r="O177" s="294"/>
      <c r="P177" s="294"/>
      <c r="Q177" s="294"/>
      <c r="R177" s="294"/>
      <c r="S177" s="295"/>
      <c r="T177" s="299"/>
      <c r="U177" s="297"/>
      <c r="V177" s="297"/>
      <c r="W177" s="297"/>
      <c r="X177" s="297"/>
      <c r="Y177" s="297">
        <v>1</v>
      </c>
      <c r="Z177" s="297"/>
      <c r="AA177" s="297"/>
      <c r="AB177" s="293">
        <v>0</v>
      </c>
      <c r="AC177" s="294"/>
      <c r="AD177" s="295"/>
      <c r="AE177" s="298"/>
      <c r="AF177" s="296">
        <v>0</v>
      </c>
      <c r="AG177" s="297"/>
      <c r="AH177" s="297"/>
      <c r="AI177" s="297"/>
      <c r="AJ177" s="297"/>
      <c r="AK177" s="297"/>
      <c r="AL177" s="297"/>
      <c r="AM177" s="297"/>
      <c r="AN177" s="300"/>
      <c r="AO177" s="301"/>
      <c r="AP177" s="301"/>
      <c r="AQ177" s="301"/>
      <c r="AR177" s="301"/>
      <c r="AS177" s="301"/>
      <c r="AT177" s="301"/>
      <c r="AU177" s="301"/>
      <c r="AV177" s="301"/>
      <c r="AW177" s="301"/>
      <c r="AX177" s="301"/>
      <c r="AY177" s="301"/>
      <c r="AZ177" s="301"/>
      <c r="BA177" s="301"/>
      <c r="BB177" s="301"/>
      <c r="BC177" s="301"/>
      <c r="BD177" s="301"/>
      <c r="BE177" s="301">
        <v>1500</v>
      </c>
      <c r="BF177" s="302"/>
      <c r="BG177" s="303"/>
      <c r="BH177" s="304"/>
      <c r="BI177" s="304"/>
      <c r="BJ177" s="304"/>
      <c r="BK177" s="304"/>
      <c r="BL177" s="304"/>
      <c r="BM177" s="304"/>
      <c r="BN177" s="304"/>
      <c r="BO177" s="304"/>
      <c r="BP177" s="304"/>
      <c r="BQ177" s="304"/>
      <c r="BR177" s="304"/>
      <c r="BS177" s="304"/>
      <c r="BT177" s="304"/>
      <c r="BU177" s="304"/>
      <c r="BV177" s="304"/>
      <c r="BW177" s="304"/>
      <c r="BX177" s="304">
        <v>10</v>
      </c>
      <c r="BY177" s="305"/>
      <c r="BZ177" s="306"/>
      <c r="CA177" s="307"/>
      <c r="CB177" s="307"/>
      <c r="CC177" s="307"/>
      <c r="CD177" s="307"/>
      <c r="CE177" s="307"/>
      <c r="CF177" s="307"/>
      <c r="CG177" s="332"/>
      <c r="CH177" s="328"/>
      <c r="CI177" s="328"/>
      <c r="CJ177" s="328"/>
      <c r="CK177" s="328">
        <v>2</v>
      </c>
      <c r="CL177" s="328"/>
      <c r="CM177" s="328"/>
      <c r="CN177" s="370"/>
      <c r="CO177" s="367"/>
      <c r="CP177" s="367"/>
      <c r="CQ177" s="367"/>
      <c r="CR177" s="378">
        <v>10</v>
      </c>
      <c r="CS177" s="387"/>
      <c r="CT177" s="398"/>
      <c r="CU177" s="399"/>
      <c r="CV177" s="399"/>
      <c r="CW177" s="399"/>
      <c r="CX177" s="399">
        <v>1</v>
      </c>
      <c r="CY177" s="399"/>
      <c r="CZ177" s="399"/>
      <c r="DA177" s="400"/>
      <c r="DB177" s="522">
        <v>1</v>
      </c>
    </row>
    <row r="178" spans="1:106" x14ac:dyDescent="0.25">
      <c r="A178" s="468" t="s">
        <v>161</v>
      </c>
      <c r="B178" s="468">
        <v>800</v>
      </c>
      <c r="C178" s="468" t="s">
        <v>2761</v>
      </c>
      <c r="D178" s="468">
        <v>533</v>
      </c>
      <c r="E178" s="468" t="s">
        <v>2762</v>
      </c>
      <c r="F178" s="468" t="s">
        <v>2763</v>
      </c>
      <c r="G178" s="468" t="s">
        <v>2764</v>
      </c>
      <c r="H178" s="468" t="s">
        <v>2765</v>
      </c>
      <c r="I178" s="468" t="s">
        <v>166</v>
      </c>
      <c r="J178" s="468" t="s">
        <v>3228</v>
      </c>
      <c r="K178" s="468" t="s">
        <v>2766</v>
      </c>
      <c r="L178" s="468" t="s">
        <v>3775</v>
      </c>
      <c r="M178" s="468" t="s">
        <v>3969</v>
      </c>
      <c r="N178" s="460">
        <v>0</v>
      </c>
      <c r="O178" s="294"/>
      <c r="P178" s="294"/>
      <c r="Q178" s="294"/>
      <c r="R178" s="294"/>
      <c r="S178" s="295"/>
      <c r="T178" s="299"/>
      <c r="U178" s="297"/>
      <c r="V178" s="297"/>
      <c r="W178" s="297"/>
      <c r="X178" s="297"/>
      <c r="Y178" s="297">
        <v>2</v>
      </c>
      <c r="Z178" s="297"/>
      <c r="AA178" s="297"/>
      <c r="AB178" s="293">
        <v>0</v>
      </c>
      <c r="AC178" s="294"/>
      <c r="AD178" s="295"/>
      <c r="AE178" s="298"/>
      <c r="AF178" s="296">
        <v>0</v>
      </c>
      <c r="AG178" s="297"/>
      <c r="AH178" s="297"/>
      <c r="AI178" s="297"/>
      <c r="AJ178" s="297"/>
      <c r="AK178" s="297"/>
      <c r="AL178" s="297"/>
      <c r="AM178" s="297"/>
      <c r="AN178" s="300"/>
      <c r="AO178" s="301"/>
      <c r="AP178" s="301"/>
      <c r="AQ178" s="301"/>
      <c r="AR178" s="301"/>
      <c r="AS178" s="301"/>
      <c r="AT178" s="301"/>
      <c r="AU178" s="301"/>
      <c r="AV178" s="301"/>
      <c r="AW178" s="301"/>
      <c r="AX178" s="301"/>
      <c r="AY178" s="301"/>
      <c r="AZ178" s="301"/>
      <c r="BA178" s="301"/>
      <c r="BB178" s="301"/>
      <c r="BC178" s="301"/>
      <c r="BD178" s="301"/>
      <c r="BE178" s="301">
        <v>1500</v>
      </c>
      <c r="BF178" s="302"/>
      <c r="BG178" s="303"/>
      <c r="BH178" s="304"/>
      <c r="BI178" s="304"/>
      <c r="BJ178" s="304"/>
      <c r="BK178" s="304"/>
      <c r="BL178" s="304"/>
      <c r="BM178" s="304"/>
      <c r="BN178" s="304"/>
      <c r="BO178" s="304"/>
      <c r="BP178" s="304"/>
      <c r="BQ178" s="304"/>
      <c r="BR178" s="304"/>
      <c r="BS178" s="304"/>
      <c r="BT178" s="304"/>
      <c r="BU178" s="304"/>
      <c r="BV178" s="304"/>
      <c r="BW178" s="304"/>
      <c r="BX178" s="304">
        <v>10</v>
      </c>
      <c r="BY178" s="305"/>
      <c r="BZ178" s="306"/>
      <c r="CA178" s="307"/>
      <c r="CB178" s="307"/>
      <c r="CC178" s="307"/>
      <c r="CD178" s="307"/>
      <c r="CE178" s="307"/>
      <c r="CF178" s="307"/>
      <c r="CG178" s="332"/>
      <c r="CH178" s="328"/>
      <c r="CI178" s="328"/>
      <c r="CJ178" s="328"/>
      <c r="CK178" s="328">
        <v>2</v>
      </c>
      <c r="CL178" s="328"/>
      <c r="CM178" s="328"/>
      <c r="CN178" s="370"/>
      <c r="CO178" s="367"/>
      <c r="CP178" s="367"/>
      <c r="CQ178" s="367"/>
      <c r="CR178" s="378">
        <v>10</v>
      </c>
      <c r="CS178" s="387"/>
      <c r="CT178" s="398"/>
      <c r="CU178" s="399"/>
      <c r="CV178" s="399"/>
      <c r="CW178" s="399"/>
      <c r="CX178" s="399">
        <v>1</v>
      </c>
      <c r="CY178" s="399"/>
      <c r="CZ178" s="399"/>
      <c r="DA178" s="400"/>
      <c r="DB178" s="522">
        <v>1</v>
      </c>
    </row>
    <row r="179" spans="1:106" x14ac:dyDescent="0.25">
      <c r="A179" s="468" t="s">
        <v>161</v>
      </c>
      <c r="B179" s="468">
        <v>800</v>
      </c>
      <c r="C179" s="468" t="s">
        <v>2772</v>
      </c>
      <c r="D179" s="468">
        <v>536</v>
      </c>
      <c r="E179" s="468" t="s">
        <v>2773</v>
      </c>
      <c r="F179" s="468" t="s">
        <v>2750</v>
      </c>
      <c r="G179" s="468" t="s">
        <v>2775</v>
      </c>
      <c r="H179" s="468" t="s">
        <v>2776</v>
      </c>
      <c r="I179" s="468" t="s">
        <v>166</v>
      </c>
      <c r="J179" s="468" t="s">
        <v>3228</v>
      </c>
      <c r="K179" s="468" t="s">
        <v>2777</v>
      </c>
      <c r="L179" s="468" t="s">
        <v>3775</v>
      </c>
      <c r="M179" s="468" t="s">
        <v>3969</v>
      </c>
      <c r="N179" s="460">
        <v>0</v>
      </c>
      <c r="O179" s="294"/>
      <c r="P179" s="294"/>
      <c r="Q179" s="294"/>
      <c r="R179" s="294"/>
      <c r="S179" s="295"/>
      <c r="T179" s="299"/>
      <c r="U179" s="297"/>
      <c r="V179" s="297"/>
      <c r="W179" s="297"/>
      <c r="X179" s="297"/>
      <c r="Y179" s="297">
        <v>1</v>
      </c>
      <c r="Z179" s="297"/>
      <c r="AA179" s="297"/>
      <c r="AB179" s="293">
        <v>0</v>
      </c>
      <c r="AC179" s="294"/>
      <c r="AD179" s="295"/>
      <c r="AE179" s="298"/>
      <c r="AF179" s="296">
        <v>0</v>
      </c>
      <c r="AG179" s="297"/>
      <c r="AH179" s="297"/>
      <c r="AI179" s="297"/>
      <c r="AJ179" s="297"/>
      <c r="AK179" s="297"/>
      <c r="AL179" s="297"/>
      <c r="AM179" s="297"/>
      <c r="AN179" s="300"/>
      <c r="AO179" s="301"/>
      <c r="AP179" s="301"/>
      <c r="AQ179" s="301"/>
      <c r="AR179" s="301"/>
      <c r="AS179" s="301"/>
      <c r="AT179" s="301"/>
      <c r="AU179" s="301"/>
      <c r="AV179" s="301"/>
      <c r="AW179" s="301"/>
      <c r="AX179" s="301"/>
      <c r="AY179" s="301"/>
      <c r="AZ179" s="301"/>
      <c r="BA179" s="301"/>
      <c r="BB179" s="301"/>
      <c r="BC179" s="301"/>
      <c r="BD179" s="301"/>
      <c r="BE179" s="301">
        <v>1500</v>
      </c>
      <c r="BF179" s="302"/>
      <c r="BG179" s="303"/>
      <c r="BH179" s="304"/>
      <c r="BI179" s="304"/>
      <c r="BJ179" s="304"/>
      <c r="BK179" s="304"/>
      <c r="BL179" s="304"/>
      <c r="BM179" s="304"/>
      <c r="BN179" s="304"/>
      <c r="BO179" s="304"/>
      <c r="BP179" s="304"/>
      <c r="BQ179" s="304"/>
      <c r="BR179" s="304"/>
      <c r="BS179" s="304"/>
      <c r="BT179" s="304"/>
      <c r="BU179" s="304"/>
      <c r="BV179" s="304"/>
      <c r="BW179" s="304"/>
      <c r="BX179" s="304">
        <v>10</v>
      </c>
      <c r="BY179" s="305"/>
      <c r="BZ179" s="306"/>
      <c r="CA179" s="307"/>
      <c r="CB179" s="307"/>
      <c r="CC179" s="307"/>
      <c r="CD179" s="307"/>
      <c r="CE179" s="307"/>
      <c r="CF179" s="307"/>
      <c r="CG179" s="332"/>
      <c r="CH179" s="328"/>
      <c r="CI179" s="328"/>
      <c r="CJ179" s="328"/>
      <c r="CK179" s="328">
        <v>2</v>
      </c>
      <c r="CL179" s="328"/>
      <c r="CM179" s="328"/>
      <c r="CN179" s="370"/>
      <c r="CO179" s="367"/>
      <c r="CP179" s="367"/>
      <c r="CQ179" s="367"/>
      <c r="CR179" s="378">
        <v>10</v>
      </c>
      <c r="CS179" s="387"/>
      <c r="CT179" s="398"/>
      <c r="CU179" s="399"/>
      <c r="CV179" s="399"/>
      <c r="CW179" s="399"/>
      <c r="CX179" s="399">
        <v>1</v>
      </c>
      <c r="CY179" s="399"/>
      <c r="CZ179" s="399"/>
      <c r="DA179" s="400"/>
      <c r="DB179" s="522">
        <v>1</v>
      </c>
    </row>
    <row r="180" spans="1:106" x14ac:dyDescent="0.25">
      <c r="A180" s="468" t="s">
        <v>161</v>
      </c>
      <c r="B180" s="468">
        <v>800</v>
      </c>
      <c r="C180" s="468" t="s">
        <v>3544</v>
      </c>
      <c r="D180" s="468">
        <v>1511</v>
      </c>
      <c r="E180" s="468" t="s">
        <v>2652</v>
      </c>
      <c r="F180" s="468" t="s">
        <v>2653</v>
      </c>
      <c r="G180" s="468" t="s">
        <v>2654</v>
      </c>
      <c r="H180" s="468" t="s">
        <v>355</v>
      </c>
      <c r="I180" s="468" t="s">
        <v>166</v>
      </c>
      <c r="J180" s="468" t="s">
        <v>3545</v>
      </c>
      <c r="K180" s="468" t="s">
        <v>2655</v>
      </c>
      <c r="L180" s="468" t="s">
        <v>3775</v>
      </c>
      <c r="M180" s="468" t="s">
        <v>3969</v>
      </c>
      <c r="N180" s="460">
        <v>0</v>
      </c>
      <c r="O180" s="294"/>
      <c r="P180" s="294"/>
      <c r="Q180" s="294"/>
      <c r="R180" s="294"/>
      <c r="S180" s="295"/>
      <c r="T180" s="299"/>
      <c r="U180" s="297"/>
      <c r="V180" s="297"/>
      <c r="W180" s="297"/>
      <c r="X180" s="297"/>
      <c r="Y180" s="297">
        <v>1</v>
      </c>
      <c r="Z180" s="297"/>
      <c r="AA180" s="297"/>
      <c r="AB180" s="293">
        <v>0</v>
      </c>
      <c r="AC180" s="294"/>
      <c r="AD180" s="295"/>
      <c r="AE180" s="298"/>
      <c r="AF180" s="296">
        <v>0</v>
      </c>
      <c r="AG180" s="297"/>
      <c r="AH180" s="297"/>
      <c r="AI180" s="297"/>
      <c r="AJ180" s="297"/>
      <c r="AK180" s="297"/>
      <c r="AL180" s="297"/>
      <c r="AM180" s="297"/>
      <c r="AN180" s="300"/>
      <c r="AO180" s="301"/>
      <c r="AP180" s="301"/>
      <c r="AQ180" s="301"/>
      <c r="AR180" s="301"/>
      <c r="AS180" s="301"/>
      <c r="AT180" s="301"/>
      <c r="AU180" s="301"/>
      <c r="AV180" s="301"/>
      <c r="AW180" s="301"/>
      <c r="AX180" s="301"/>
      <c r="AY180" s="301"/>
      <c r="AZ180" s="301"/>
      <c r="BA180" s="301"/>
      <c r="BB180" s="301"/>
      <c r="BC180" s="301"/>
      <c r="BD180" s="301"/>
      <c r="BE180" s="301">
        <v>1500</v>
      </c>
      <c r="BF180" s="302"/>
      <c r="BG180" s="303"/>
      <c r="BH180" s="304"/>
      <c r="BI180" s="304"/>
      <c r="BJ180" s="304"/>
      <c r="BK180" s="304"/>
      <c r="BL180" s="304"/>
      <c r="BM180" s="304"/>
      <c r="BN180" s="304"/>
      <c r="BO180" s="304"/>
      <c r="BP180" s="304"/>
      <c r="BQ180" s="304"/>
      <c r="BR180" s="304"/>
      <c r="BS180" s="304"/>
      <c r="BT180" s="304"/>
      <c r="BU180" s="304"/>
      <c r="BV180" s="304"/>
      <c r="BW180" s="304"/>
      <c r="BX180" s="304">
        <v>10</v>
      </c>
      <c r="BY180" s="305"/>
      <c r="BZ180" s="306"/>
      <c r="CA180" s="307"/>
      <c r="CB180" s="307"/>
      <c r="CC180" s="307"/>
      <c r="CD180" s="307"/>
      <c r="CE180" s="307"/>
      <c r="CF180" s="307"/>
      <c r="CG180" s="332"/>
      <c r="CH180" s="328"/>
      <c r="CI180" s="328"/>
      <c r="CJ180" s="328"/>
      <c r="CK180" s="328">
        <v>2</v>
      </c>
      <c r="CL180" s="328"/>
      <c r="CM180" s="328"/>
      <c r="CN180" s="370"/>
      <c r="CO180" s="367"/>
      <c r="CP180" s="367"/>
      <c r="CQ180" s="367"/>
      <c r="CR180" s="378">
        <v>10</v>
      </c>
      <c r="CS180" s="387"/>
      <c r="CT180" s="398"/>
      <c r="CU180" s="399"/>
      <c r="CV180" s="399"/>
      <c r="CW180" s="399"/>
      <c r="CX180" s="399">
        <v>1</v>
      </c>
      <c r="CY180" s="399"/>
      <c r="CZ180" s="399"/>
      <c r="DA180" s="400"/>
      <c r="DB180" s="522">
        <v>1</v>
      </c>
    </row>
    <row r="181" spans="1:106" x14ac:dyDescent="0.25">
      <c r="A181" s="468" t="s">
        <v>161</v>
      </c>
      <c r="B181" s="468">
        <v>800</v>
      </c>
      <c r="C181" s="468" t="s">
        <v>3546</v>
      </c>
      <c r="D181" s="468">
        <v>1512</v>
      </c>
      <c r="E181" s="468" t="s">
        <v>2656</v>
      </c>
      <c r="F181" s="468" t="s">
        <v>2657</v>
      </c>
      <c r="G181" s="468" t="s">
        <v>2658</v>
      </c>
      <c r="H181" s="468" t="s">
        <v>2659</v>
      </c>
      <c r="I181" s="468" t="s">
        <v>166</v>
      </c>
      <c r="J181" s="468" t="s">
        <v>3547</v>
      </c>
      <c r="K181" s="468" t="s">
        <v>2660</v>
      </c>
      <c r="L181" s="468" t="s">
        <v>3775</v>
      </c>
      <c r="M181" s="468" t="s">
        <v>3969</v>
      </c>
      <c r="N181" s="460">
        <v>0</v>
      </c>
      <c r="O181" s="294"/>
      <c r="P181" s="294"/>
      <c r="Q181" s="294"/>
      <c r="R181" s="294"/>
      <c r="S181" s="295"/>
      <c r="T181" s="299"/>
      <c r="U181" s="297"/>
      <c r="V181" s="297"/>
      <c r="W181" s="297"/>
      <c r="X181" s="297"/>
      <c r="Y181" s="297">
        <v>2</v>
      </c>
      <c r="Z181" s="297"/>
      <c r="AA181" s="297"/>
      <c r="AB181" s="293">
        <v>0</v>
      </c>
      <c r="AC181" s="294"/>
      <c r="AD181" s="295"/>
      <c r="AE181" s="298"/>
      <c r="AF181" s="296">
        <v>0</v>
      </c>
      <c r="AG181" s="297"/>
      <c r="AH181" s="297"/>
      <c r="AI181" s="297"/>
      <c r="AJ181" s="297"/>
      <c r="AK181" s="297"/>
      <c r="AL181" s="297"/>
      <c r="AM181" s="297"/>
      <c r="AN181" s="300"/>
      <c r="AO181" s="301"/>
      <c r="AP181" s="301"/>
      <c r="AQ181" s="301"/>
      <c r="AR181" s="301"/>
      <c r="AS181" s="301"/>
      <c r="AT181" s="301"/>
      <c r="AU181" s="301"/>
      <c r="AV181" s="301"/>
      <c r="AW181" s="301"/>
      <c r="AX181" s="301"/>
      <c r="AY181" s="301"/>
      <c r="AZ181" s="301"/>
      <c r="BA181" s="301"/>
      <c r="BB181" s="301"/>
      <c r="BC181" s="301"/>
      <c r="BD181" s="301"/>
      <c r="BE181" s="301">
        <v>1500</v>
      </c>
      <c r="BF181" s="302"/>
      <c r="BG181" s="303"/>
      <c r="BH181" s="304"/>
      <c r="BI181" s="304"/>
      <c r="BJ181" s="304"/>
      <c r="BK181" s="304"/>
      <c r="BL181" s="304"/>
      <c r="BM181" s="304"/>
      <c r="BN181" s="304"/>
      <c r="BO181" s="304"/>
      <c r="BP181" s="304"/>
      <c r="BQ181" s="304"/>
      <c r="BR181" s="304"/>
      <c r="BS181" s="304"/>
      <c r="BT181" s="304"/>
      <c r="BU181" s="304"/>
      <c r="BV181" s="304"/>
      <c r="BW181" s="304"/>
      <c r="BX181" s="304">
        <v>10</v>
      </c>
      <c r="BY181" s="305"/>
      <c r="BZ181" s="306"/>
      <c r="CA181" s="307"/>
      <c r="CB181" s="307"/>
      <c r="CC181" s="307"/>
      <c r="CD181" s="307"/>
      <c r="CE181" s="307"/>
      <c r="CF181" s="307"/>
      <c r="CG181" s="332"/>
      <c r="CH181" s="328"/>
      <c r="CI181" s="328"/>
      <c r="CJ181" s="328"/>
      <c r="CK181" s="328">
        <v>2</v>
      </c>
      <c r="CL181" s="328"/>
      <c r="CM181" s="328"/>
      <c r="CN181" s="370"/>
      <c r="CO181" s="367"/>
      <c r="CP181" s="367"/>
      <c r="CQ181" s="367"/>
      <c r="CR181" s="378">
        <v>10</v>
      </c>
      <c r="CS181" s="387"/>
      <c r="CT181" s="398"/>
      <c r="CU181" s="399"/>
      <c r="CV181" s="399"/>
      <c r="CW181" s="399"/>
      <c r="CX181" s="399">
        <v>1</v>
      </c>
      <c r="CY181" s="399"/>
      <c r="CZ181" s="399"/>
      <c r="DA181" s="400"/>
      <c r="DB181" s="522">
        <v>1</v>
      </c>
    </row>
    <row r="182" spans="1:106" x14ac:dyDescent="0.25">
      <c r="A182" s="468" t="s">
        <v>161</v>
      </c>
      <c r="B182" s="468">
        <v>800</v>
      </c>
      <c r="C182" s="468" t="s">
        <v>3548</v>
      </c>
      <c r="D182" s="468">
        <v>1513</v>
      </c>
      <c r="E182" s="468" t="s">
        <v>2661</v>
      </c>
      <c r="F182" s="468" t="s">
        <v>2662</v>
      </c>
      <c r="G182" s="468" t="s">
        <v>2663</v>
      </c>
      <c r="H182" s="468" t="s">
        <v>2664</v>
      </c>
      <c r="I182" s="468" t="s">
        <v>166</v>
      </c>
      <c r="J182" s="468" t="s">
        <v>3549</v>
      </c>
      <c r="K182" s="468" t="s">
        <v>2665</v>
      </c>
      <c r="L182" s="468" t="s">
        <v>3775</v>
      </c>
      <c r="M182" s="468" t="s">
        <v>3969</v>
      </c>
      <c r="N182" s="460">
        <v>0</v>
      </c>
      <c r="O182" s="294"/>
      <c r="P182" s="294"/>
      <c r="Q182" s="294"/>
      <c r="R182" s="294"/>
      <c r="S182" s="295"/>
      <c r="T182" s="299"/>
      <c r="U182" s="297"/>
      <c r="V182" s="297"/>
      <c r="W182" s="297"/>
      <c r="X182" s="297"/>
      <c r="Y182" s="297">
        <v>2</v>
      </c>
      <c r="Z182" s="297"/>
      <c r="AA182" s="297"/>
      <c r="AB182" s="293">
        <v>0</v>
      </c>
      <c r="AC182" s="294"/>
      <c r="AD182" s="295"/>
      <c r="AE182" s="298"/>
      <c r="AF182" s="296">
        <v>0</v>
      </c>
      <c r="AG182" s="297"/>
      <c r="AH182" s="297"/>
      <c r="AI182" s="297"/>
      <c r="AJ182" s="297"/>
      <c r="AK182" s="297"/>
      <c r="AL182" s="297"/>
      <c r="AM182" s="297"/>
      <c r="AN182" s="300"/>
      <c r="AO182" s="301"/>
      <c r="AP182" s="301"/>
      <c r="AQ182" s="301"/>
      <c r="AR182" s="301"/>
      <c r="AS182" s="301"/>
      <c r="AT182" s="301"/>
      <c r="AU182" s="301"/>
      <c r="AV182" s="301"/>
      <c r="AW182" s="301"/>
      <c r="AX182" s="301"/>
      <c r="AY182" s="301"/>
      <c r="AZ182" s="301"/>
      <c r="BA182" s="301"/>
      <c r="BB182" s="301"/>
      <c r="BC182" s="301"/>
      <c r="BD182" s="301"/>
      <c r="BE182" s="301">
        <v>1500</v>
      </c>
      <c r="BF182" s="302"/>
      <c r="BG182" s="303"/>
      <c r="BH182" s="304"/>
      <c r="BI182" s="304"/>
      <c r="BJ182" s="304"/>
      <c r="BK182" s="304"/>
      <c r="BL182" s="304"/>
      <c r="BM182" s="304"/>
      <c r="BN182" s="304"/>
      <c r="BO182" s="304"/>
      <c r="BP182" s="304"/>
      <c r="BQ182" s="304"/>
      <c r="BR182" s="304"/>
      <c r="BS182" s="304"/>
      <c r="BT182" s="304"/>
      <c r="BU182" s="304"/>
      <c r="BV182" s="304"/>
      <c r="BW182" s="304"/>
      <c r="BX182" s="304">
        <v>10</v>
      </c>
      <c r="BY182" s="305"/>
      <c r="BZ182" s="306"/>
      <c r="CA182" s="307"/>
      <c r="CB182" s="307"/>
      <c r="CC182" s="307"/>
      <c r="CD182" s="307"/>
      <c r="CE182" s="307"/>
      <c r="CF182" s="307"/>
      <c r="CG182" s="332"/>
      <c r="CH182" s="328"/>
      <c r="CI182" s="328"/>
      <c r="CJ182" s="328"/>
      <c r="CK182" s="328">
        <v>2</v>
      </c>
      <c r="CL182" s="328"/>
      <c r="CM182" s="328"/>
      <c r="CN182" s="370"/>
      <c r="CO182" s="367"/>
      <c r="CP182" s="367"/>
      <c r="CQ182" s="367"/>
      <c r="CR182" s="378">
        <v>10</v>
      </c>
      <c r="CS182" s="387"/>
      <c r="CT182" s="398"/>
      <c r="CU182" s="399"/>
      <c r="CV182" s="399"/>
      <c r="CW182" s="399"/>
      <c r="CX182" s="399">
        <v>1</v>
      </c>
      <c r="CY182" s="399"/>
      <c r="CZ182" s="399"/>
      <c r="DA182" s="400"/>
      <c r="DB182" s="522">
        <v>1</v>
      </c>
    </row>
    <row r="183" spans="1:106" x14ac:dyDescent="0.25">
      <c r="A183" s="468" t="s">
        <v>161</v>
      </c>
      <c r="B183" s="468">
        <v>800</v>
      </c>
      <c r="C183" s="468" t="s">
        <v>3550</v>
      </c>
      <c r="D183" s="468">
        <v>1538</v>
      </c>
      <c r="E183" s="468" t="s">
        <v>2666</v>
      </c>
      <c r="F183" s="468" t="s">
        <v>2667</v>
      </c>
      <c r="G183" s="468" t="s">
        <v>2668</v>
      </c>
      <c r="H183" s="468" t="s">
        <v>2669</v>
      </c>
      <c r="I183" s="468" t="s">
        <v>166</v>
      </c>
      <c r="J183" s="468" t="s">
        <v>3551</v>
      </c>
      <c r="K183" s="468" t="s">
        <v>2670</v>
      </c>
      <c r="L183" s="468" t="s">
        <v>3775</v>
      </c>
      <c r="M183" s="468" t="s">
        <v>3969</v>
      </c>
      <c r="N183" s="460">
        <v>0</v>
      </c>
      <c r="O183" s="294"/>
      <c r="P183" s="294"/>
      <c r="Q183" s="294"/>
      <c r="R183" s="294"/>
      <c r="S183" s="295"/>
      <c r="T183" s="299"/>
      <c r="U183" s="297"/>
      <c r="V183" s="297"/>
      <c r="W183" s="297"/>
      <c r="X183" s="297"/>
      <c r="Y183" s="297">
        <v>2</v>
      </c>
      <c r="Z183" s="297"/>
      <c r="AA183" s="297"/>
      <c r="AB183" s="293">
        <v>0</v>
      </c>
      <c r="AC183" s="294"/>
      <c r="AD183" s="295"/>
      <c r="AE183" s="298"/>
      <c r="AF183" s="296">
        <v>0</v>
      </c>
      <c r="AG183" s="297"/>
      <c r="AH183" s="297"/>
      <c r="AI183" s="297"/>
      <c r="AJ183" s="297"/>
      <c r="AK183" s="297"/>
      <c r="AL183" s="297"/>
      <c r="AM183" s="297"/>
      <c r="AN183" s="300"/>
      <c r="AO183" s="301"/>
      <c r="AP183" s="301"/>
      <c r="AQ183" s="301"/>
      <c r="AR183" s="301"/>
      <c r="AS183" s="301"/>
      <c r="AT183" s="301"/>
      <c r="AU183" s="301"/>
      <c r="AV183" s="301"/>
      <c r="AW183" s="301"/>
      <c r="AX183" s="301"/>
      <c r="AY183" s="301"/>
      <c r="AZ183" s="301"/>
      <c r="BA183" s="301"/>
      <c r="BB183" s="301"/>
      <c r="BC183" s="301"/>
      <c r="BD183" s="301"/>
      <c r="BE183" s="301">
        <v>1500</v>
      </c>
      <c r="BF183" s="302"/>
      <c r="BG183" s="303"/>
      <c r="BH183" s="304"/>
      <c r="BI183" s="304"/>
      <c r="BJ183" s="304"/>
      <c r="BK183" s="304"/>
      <c r="BL183" s="304"/>
      <c r="BM183" s="304"/>
      <c r="BN183" s="304"/>
      <c r="BO183" s="304"/>
      <c r="BP183" s="304"/>
      <c r="BQ183" s="304"/>
      <c r="BR183" s="304"/>
      <c r="BS183" s="304"/>
      <c r="BT183" s="304"/>
      <c r="BU183" s="304"/>
      <c r="BV183" s="304"/>
      <c r="BW183" s="304"/>
      <c r="BX183" s="304">
        <v>10</v>
      </c>
      <c r="BY183" s="305"/>
      <c r="BZ183" s="306"/>
      <c r="CA183" s="307"/>
      <c r="CB183" s="307"/>
      <c r="CC183" s="307"/>
      <c r="CD183" s="307"/>
      <c r="CE183" s="307"/>
      <c r="CF183" s="307"/>
      <c r="CG183" s="332"/>
      <c r="CH183" s="328"/>
      <c r="CI183" s="328"/>
      <c r="CJ183" s="328"/>
      <c r="CK183" s="328">
        <v>2</v>
      </c>
      <c r="CL183" s="328"/>
      <c r="CM183" s="328"/>
      <c r="CN183" s="370"/>
      <c r="CO183" s="367"/>
      <c r="CP183" s="367"/>
      <c r="CQ183" s="367"/>
      <c r="CR183" s="378">
        <v>10</v>
      </c>
      <c r="CS183" s="387"/>
      <c r="CT183" s="398"/>
      <c r="CU183" s="399"/>
      <c r="CV183" s="399"/>
      <c r="CW183" s="399"/>
      <c r="CX183" s="399">
        <v>1</v>
      </c>
      <c r="CY183" s="399"/>
      <c r="CZ183" s="399"/>
      <c r="DA183" s="400"/>
      <c r="DB183" s="522">
        <v>1</v>
      </c>
    </row>
    <row r="184" spans="1:106" x14ac:dyDescent="0.25">
      <c r="A184" s="468" t="s">
        <v>161</v>
      </c>
      <c r="B184" s="468">
        <v>800</v>
      </c>
      <c r="C184" s="468" t="s">
        <v>3552</v>
      </c>
      <c r="D184" s="468">
        <v>1539</v>
      </c>
      <c r="E184" s="468" t="s">
        <v>2671</v>
      </c>
      <c r="F184" s="468" t="s">
        <v>2672</v>
      </c>
      <c r="G184" s="468" t="s">
        <v>2673</v>
      </c>
      <c r="H184" s="468" t="s">
        <v>2674</v>
      </c>
      <c r="I184" s="468" t="s">
        <v>166</v>
      </c>
      <c r="J184" s="468" t="s">
        <v>3553</v>
      </c>
      <c r="K184" s="468" t="s">
        <v>2675</v>
      </c>
      <c r="L184" s="468" t="s">
        <v>3775</v>
      </c>
      <c r="M184" s="468" t="s">
        <v>3969</v>
      </c>
      <c r="N184" s="461"/>
      <c r="O184" s="294"/>
      <c r="P184" s="294"/>
      <c r="Q184" s="294"/>
      <c r="R184" s="294"/>
      <c r="S184" s="295">
        <v>2</v>
      </c>
      <c r="T184" s="299"/>
      <c r="U184" s="297"/>
      <c r="V184" s="297"/>
      <c r="W184" s="297"/>
      <c r="X184" s="297"/>
      <c r="Y184" s="297">
        <v>0</v>
      </c>
      <c r="Z184" s="297"/>
      <c r="AA184" s="297"/>
      <c r="AB184" s="293">
        <v>0</v>
      </c>
      <c r="AC184" s="294"/>
      <c r="AD184" s="295"/>
      <c r="AE184" s="298"/>
      <c r="AF184" s="296">
        <v>0</v>
      </c>
      <c r="AG184" s="297"/>
      <c r="AH184" s="297"/>
      <c r="AI184" s="297"/>
      <c r="AJ184" s="297"/>
      <c r="AK184" s="297"/>
      <c r="AL184" s="297"/>
      <c r="AM184" s="297"/>
      <c r="AN184" s="300"/>
      <c r="AO184" s="301"/>
      <c r="AP184" s="301"/>
      <c r="AQ184" s="301"/>
      <c r="AR184" s="301"/>
      <c r="AS184" s="301"/>
      <c r="AT184" s="301"/>
      <c r="AU184" s="301"/>
      <c r="AV184" s="301"/>
      <c r="AW184" s="301"/>
      <c r="AX184" s="301"/>
      <c r="AY184" s="301"/>
      <c r="AZ184" s="301"/>
      <c r="BA184" s="301"/>
      <c r="BB184" s="301"/>
      <c r="BC184" s="301"/>
      <c r="BD184" s="301"/>
      <c r="BE184" s="301">
        <v>1500</v>
      </c>
      <c r="BF184" s="302"/>
      <c r="BG184" s="303"/>
      <c r="BH184" s="304"/>
      <c r="BI184" s="304"/>
      <c r="BJ184" s="304"/>
      <c r="BK184" s="304"/>
      <c r="BL184" s="304"/>
      <c r="BM184" s="304"/>
      <c r="BN184" s="304"/>
      <c r="BO184" s="304"/>
      <c r="BP184" s="304"/>
      <c r="BQ184" s="304"/>
      <c r="BR184" s="304"/>
      <c r="BS184" s="304"/>
      <c r="BT184" s="304"/>
      <c r="BU184" s="304"/>
      <c r="BV184" s="304"/>
      <c r="BW184" s="304"/>
      <c r="BX184" s="304">
        <v>10</v>
      </c>
      <c r="BY184" s="305"/>
      <c r="BZ184" s="306"/>
      <c r="CA184" s="307"/>
      <c r="CB184" s="307"/>
      <c r="CC184" s="307"/>
      <c r="CD184" s="307"/>
      <c r="CE184" s="307"/>
      <c r="CF184" s="307"/>
      <c r="CG184" s="332"/>
      <c r="CH184" s="328"/>
      <c r="CI184" s="328"/>
      <c r="CJ184" s="328"/>
      <c r="CK184" s="328">
        <v>2</v>
      </c>
      <c r="CL184" s="328"/>
      <c r="CM184" s="328"/>
      <c r="CN184" s="370"/>
      <c r="CO184" s="367"/>
      <c r="CP184" s="367"/>
      <c r="CQ184" s="367"/>
      <c r="CR184" s="378">
        <v>10</v>
      </c>
      <c r="CS184" s="387"/>
      <c r="CT184" s="398"/>
      <c r="CU184" s="399"/>
      <c r="CV184" s="399"/>
      <c r="CW184" s="399"/>
      <c r="CX184" s="399">
        <v>1</v>
      </c>
      <c r="CY184" s="399"/>
      <c r="CZ184" s="399"/>
      <c r="DA184" s="400"/>
      <c r="DB184" s="522">
        <v>1</v>
      </c>
    </row>
    <row r="185" spans="1:106" x14ac:dyDescent="0.25">
      <c r="A185" s="468" t="s">
        <v>161</v>
      </c>
      <c r="B185" s="468">
        <v>800</v>
      </c>
      <c r="C185" s="468" t="s">
        <v>3554</v>
      </c>
      <c r="D185" s="468">
        <v>1541</v>
      </c>
      <c r="E185" s="468" t="s">
        <v>2676</v>
      </c>
      <c r="F185" s="468" t="s">
        <v>2677</v>
      </c>
      <c r="G185" s="468" t="s">
        <v>2678</v>
      </c>
      <c r="H185" s="468" t="s">
        <v>2669</v>
      </c>
      <c r="I185" s="468" t="s">
        <v>166</v>
      </c>
      <c r="J185" s="468" t="s">
        <v>3555</v>
      </c>
      <c r="K185" s="468" t="s">
        <v>2679</v>
      </c>
      <c r="L185" s="468" t="s">
        <v>3775</v>
      </c>
      <c r="M185" s="468" t="s">
        <v>3969</v>
      </c>
      <c r="N185" s="461"/>
      <c r="O185" s="294"/>
      <c r="P185" s="294"/>
      <c r="Q185" s="294"/>
      <c r="R185" s="294"/>
      <c r="S185" s="295">
        <v>0</v>
      </c>
      <c r="T185" s="299"/>
      <c r="U185" s="297"/>
      <c r="V185" s="297"/>
      <c r="W185" s="297"/>
      <c r="X185" s="297"/>
      <c r="Y185" s="297">
        <v>2</v>
      </c>
      <c r="Z185" s="297"/>
      <c r="AA185" s="297"/>
      <c r="AB185" s="293">
        <v>0</v>
      </c>
      <c r="AC185" s="294"/>
      <c r="AD185" s="295"/>
      <c r="AE185" s="298"/>
      <c r="AF185" s="296">
        <v>0</v>
      </c>
      <c r="AG185" s="297"/>
      <c r="AH185" s="297"/>
      <c r="AI185" s="297"/>
      <c r="AJ185" s="297"/>
      <c r="AK185" s="297"/>
      <c r="AL185" s="297"/>
      <c r="AM185" s="297"/>
      <c r="AN185" s="300"/>
      <c r="AO185" s="301"/>
      <c r="AP185" s="301"/>
      <c r="AQ185" s="301"/>
      <c r="AR185" s="301"/>
      <c r="AS185" s="301"/>
      <c r="AT185" s="301"/>
      <c r="AU185" s="301"/>
      <c r="AV185" s="301"/>
      <c r="AW185" s="301"/>
      <c r="AX185" s="301"/>
      <c r="AY185" s="301"/>
      <c r="AZ185" s="301"/>
      <c r="BA185" s="301"/>
      <c r="BB185" s="301"/>
      <c r="BC185" s="301"/>
      <c r="BD185" s="301"/>
      <c r="BE185" s="301">
        <v>1500</v>
      </c>
      <c r="BF185" s="302"/>
      <c r="BG185" s="303"/>
      <c r="BH185" s="304"/>
      <c r="BI185" s="304"/>
      <c r="BJ185" s="304"/>
      <c r="BK185" s="304"/>
      <c r="BL185" s="304"/>
      <c r="BM185" s="304"/>
      <c r="BN185" s="304"/>
      <c r="BO185" s="304"/>
      <c r="BP185" s="304"/>
      <c r="BQ185" s="304"/>
      <c r="BR185" s="304"/>
      <c r="BS185" s="304"/>
      <c r="BT185" s="304"/>
      <c r="BU185" s="304"/>
      <c r="BV185" s="304"/>
      <c r="BW185" s="304"/>
      <c r="BX185" s="304">
        <v>10</v>
      </c>
      <c r="BY185" s="305"/>
      <c r="BZ185" s="306"/>
      <c r="CA185" s="307"/>
      <c r="CB185" s="307"/>
      <c r="CC185" s="307"/>
      <c r="CD185" s="307"/>
      <c r="CE185" s="307"/>
      <c r="CF185" s="307"/>
      <c r="CG185" s="332"/>
      <c r="CH185" s="328"/>
      <c r="CI185" s="328"/>
      <c r="CJ185" s="328"/>
      <c r="CK185" s="328">
        <v>2</v>
      </c>
      <c r="CL185" s="328"/>
      <c r="CM185" s="328"/>
      <c r="CN185" s="370"/>
      <c r="CO185" s="367"/>
      <c r="CP185" s="367"/>
      <c r="CQ185" s="367"/>
      <c r="CR185" s="378">
        <v>10</v>
      </c>
      <c r="CS185" s="387"/>
      <c r="CT185" s="398"/>
      <c r="CU185" s="399"/>
      <c r="CV185" s="399"/>
      <c r="CW185" s="399"/>
      <c r="CX185" s="399">
        <v>1</v>
      </c>
      <c r="CY185" s="399"/>
      <c r="CZ185" s="399"/>
      <c r="DA185" s="400"/>
      <c r="DB185" s="522">
        <v>1</v>
      </c>
    </row>
    <row r="186" spans="1:106" x14ac:dyDescent="0.25">
      <c r="A186" s="468" t="s">
        <v>161</v>
      </c>
      <c r="B186" s="468">
        <v>800</v>
      </c>
      <c r="C186" s="468" t="s">
        <v>3696</v>
      </c>
      <c r="D186" s="468">
        <v>2559</v>
      </c>
      <c r="E186" s="468" t="s">
        <v>2680</v>
      </c>
      <c r="F186" s="468" t="s">
        <v>2681</v>
      </c>
      <c r="G186" s="468" t="s">
        <v>2682</v>
      </c>
      <c r="H186" s="468" t="s">
        <v>2683</v>
      </c>
      <c r="I186" s="468" t="s">
        <v>166</v>
      </c>
      <c r="J186" s="468" t="s">
        <v>3697</v>
      </c>
      <c r="K186" s="468" t="s">
        <v>2684</v>
      </c>
      <c r="L186" s="468" t="s">
        <v>3775</v>
      </c>
      <c r="M186" s="468" t="s">
        <v>3969</v>
      </c>
      <c r="N186" s="461"/>
      <c r="O186" s="294"/>
      <c r="P186" s="294"/>
      <c r="Q186" s="294"/>
      <c r="R186" s="294"/>
      <c r="S186" s="295">
        <v>2</v>
      </c>
      <c r="T186" s="296">
        <v>0</v>
      </c>
      <c r="U186" s="297"/>
      <c r="V186" s="297"/>
      <c r="W186" s="297"/>
      <c r="X186" s="297"/>
      <c r="Y186" s="297"/>
      <c r="Z186" s="297"/>
      <c r="AA186" s="297"/>
      <c r="AB186" s="293">
        <v>0</v>
      </c>
      <c r="AC186" s="294"/>
      <c r="AD186" s="295"/>
      <c r="AE186" s="298"/>
      <c r="AF186" s="296">
        <v>0</v>
      </c>
      <c r="AG186" s="297"/>
      <c r="AH186" s="297"/>
      <c r="AI186" s="297"/>
      <c r="AJ186" s="297"/>
      <c r="AK186" s="297"/>
      <c r="AL186" s="297"/>
      <c r="AM186" s="297"/>
      <c r="AN186" s="300"/>
      <c r="AO186" s="301"/>
      <c r="AP186" s="301"/>
      <c r="AQ186" s="301"/>
      <c r="AR186" s="301"/>
      <c r="AS186" s="301"/>
      <c r="AT186" s="301"/>
      <c r="AU186" s="301"/>
      <c r="AV186" s="301"/>
      <c r="AW186" s="301"/>
      <c r="AX186" s="301"/>
      <c r="AY186" s="301"/>
      <c r="AZ186" s="301"/>
      <c r="BA186" s="301"/>
      <c r="BB186" s="301"/>
      <c r="BC186" s="301"/>
      <c r="BD186" s="301"/>
      <c r="BE186" s="301">
        <v>1500</v>
      </c>
      <c r="BF186" s="302"/>
      <c r="BG186" s="303"/>
      <c r="BH186" s="304"/>
      <c r="BI186" s="304"/>
      <c r="BJ186" s="304"/>
      <c r="BK186" s="304"/>
      <c r="BL186" s="304"/>
      <c r="BM186" s="304"/>
      <c r="BN186" s="304"/>
      <c r="BO186" s="304"/>
      <c r="BP186" s="304"/>
      <c r="BQ186" s="304"/>
      <c r="BR186" s="304"/>
      <c r="BS186" s="304"/>
      <c r="BT186" s="304"/>
      <c r="BU186" s="304"/>
      <c r="BV186" s="304"/>
      <c r="BW186" s="304"/>
      <c r="BX186" s="304">
        <v>10</v>
      </c>
      <c r="BY186" s="305"/>
      <c r="BZ186" s="306"/>
      <c r="CA186" s="307"/>
      <c r="CB186" s="307"/>
      <c r="CC186" s="307"/>
      <c r="CD186" s="307"/>
      <c r="CE186" s="307"/>
      <c r="CF186" s="307"/>
      <c r="CG186" s="332"/>
      <c r="CH186" s="328"/>
      <c r="CI186" s="328"/>
      <c r="CJ186" s="328"/>
      <c r="CK186" s="328">
        <v>2</v>
      </c>
      <c r="CL186" s="328"/>
      <c r="CM186" s="328"/>
      <c r="CN186" s="370"/>
      <c r="CO186" s="367"/>
      <c r="CP186" s="367"/>
      <c r="CQ186" s="367"/>
      <c r="CR186" s="378">
        <v>10</v>
      </c>
      <c r="CS186" s="387"/>
      <c r="CT186" s="398"/>
      <c r="CU186" s="399"/>
      <c r="CV186" s="399"/>
      <c r="CW186" s="399"/>
      <c r="CX186" s="399">
        <v>1</v>
      </c>
      <c r="CY186" s="399"/>
      <c r="CZ186" s="399"/>
      <c r="DA186" s="400"/>
      <c r="DB186" s="522">
        <v>1</v>
      </c>
    </row>
    <row r="187" spans="1:106" x14ac:dyDescent="0.25">
      <c r="A187" s="468" t="s">
        <v>126</v>
      </c>
      <c r="B187" s="468">
        <v>800</v>
      </c>
      <c r="C187" s="468" t="s">
        <v>3564</v>
      </c>
      <c r="D187" s="468">
        <v>1581</v>
      </c>
      <c r="E187" s="468" t="s">
        <v>2790</v>
      </c>
      <c r="F187" s="468" t="s">
        <v>2791</v>
      </c>
      <c r="G187" s="468" t="s">
        <v>2792</v>
      </c>
      <c r="H187" s="468" t="s">
        <v>130</v>
      </c>
      <c r="I187" s="468" t="s">
        <v>131</v>
      </c>
      <c r="J187" s="468" t="s">
        <v>3565</v>
      </c>
      <c r="K187" s="468" t="s">
        <v>2793</v>
      </c>
      <c r="L187" s="468" t="s">
        <v>3737</v>
      </c>
      <c r="M187" s="468" t="s">
        <v>3739</v>
      </c>
      <c r="N187" s="461"/>
      <c r="O187" s="294"/>
      <c r="P187" s="294"/>
      <c r="Q187" s="294"/>
      <c r="R187" s="294">
        <v>2</v>
      </c>
      <c r="S187" s="295"/>
      <c r="T187" s="296">
        <v>0</v>
      </c>
      <c r="U187" s="297"/>
      <c r="V187" s="297"/>
      <c r="W187" s="297"/>
      <c r="X187" s="297"/>
      <c r="Y187" s="297"/>
      <c r="Z187" s="297"/>
      <c r="AA187" s="297"/>
      <c r="AB187" s="293">
        <v>0</v>
      </c>
      <c r="AC187" s="294"/>
      <c r="AD187" s="295"/>
      <c r="AE187" s="298"/>
      <c r="AF187" s="296">
        <v>0</v>
      </c>
      <c r="AG187" s="297"/>
      <c r="AH187" s="297"/>
      <c r="AI187" s="297"/>
      <c r="AJ187" s="297"/>
      <c r="AK187" s="297"/>
      <c r="AL187" s="297"/>
      <c r="AM187" s="297"/>
      <c r="AN187" s="300"/>
      <c r="AO187" s="301"/>
      <c r="AP187" s="301"/>
      <c r="AQ187" s="301"/>
      <c r="AR187" s="301"/>
      <c r="AS187" s="301"/>
      <c r="AT187" s="301"/>
      <c r="AU187" s="301"/>
      <c r="AV187" s="301"/>
      <c r="AW187" s="301"/>
      <c r="AX187" s="301"/>
      <c r="AY187" s="301"/>
      <c r="AZ187" s="301">
        <v>1500</v>
      </c>
      <c r="BA187" s="301"/>
      <c r="BB187" s="301"/>
      <c r="BC187" s="301"/>
      <c r="BD187" s="301"/>
      <c r="BE187" s="301"/>
      <c r="BF187" s="302"/>
      <c r="BG187" s="303"/>
      <c r="BH187" s="304"/>
      <c r="BI187" s="304"/>
      <c r="BJ187" s="304"/>
      <c r="BK187" s="304"/>
      <c r="BL187" s="304"/>
      <c r="BM187" s="304"/>
      <c r="BN187" s="304"/>
      <c r="BO187" s="304"/>
      <c r="BP187" s="304"/>
      <c r="BQ187" s="304"/>
      <c r="BR187" s="304"/>
      <c r="BS187" s="304">
        <v>10</v>
      </c>
      <c r="BT187" s="304"/>
      <c r="BU187" s="304"/>
      <c r="BV187" s="304"/>
      <c r="BW187" s="304"/>
      <c r="BX187" s="304"/>
      <c r="BY187" s="305"/>
      <c r="BZ187" s="306"/>
      <c r="CA187" s="307"/>
      <c r="CB187" s="307"/>
      <c r="CC187" s="307"/>
      <c r="CD187" s="307"/>
      <c r="CE187" s="307"/>
      <c r="CF187" s="307"/>
      <c r="CG187" s="332"/>
      <c r="CH187" s="328"/>
      <c r="CI187" s="328"/>
      <c r="CJ187" s="328">
        <v>2</v>
      </c>
      <c r="CK187" s="328"/>
      <c r="CL187" s="328"/>
      <c r="CM187" s="328"/>
      <c r="CN187" s="370"/>
      <c r="CO187" s="367"/>
      <c r="CP187" s="367"/>
      <c r="CQ187" s="367">
        <v>10</v>
      </c>
      <c r="CR187" s="367"/>
      <c r="CS187" s="387"/>
      <c r="CT187" s="398"/>
      <c r="CU187" s="399"/>
      <c r="CV187" s="399"/>
      <c r="CW187" s="399"/>
      <c r="CX187" s="399">
        <v>1</v>
      </c>
      <c r="CY187" s="399"/>
      <c r="CZ187" s="399"/>
      <c r="DA187" s="400"/>
      <c r="DB187" s="522">
        <v>1</v>
      </c>
    </row>
    <row r="188" spans="1:106" x14ac:dyDescent="0.25">
      <c r="A188" s="468" t="s">
        <v>126</v>
      </c>
      <c r="B188" s="468">
        <v>800</v>
      </c>
      <c r="C188" s="468" t="s">
        <v>3690</v>
      </c>
      <c r="D188" s="468">
        <v>2545</v>
      </c>
      <c r="E188" s="468" t="s">
        <v>2794</v>
      </c>
      <c r="F188" s="468" t="s">
        <v>2795</v>
      </c>
      <c r="G188" s="468" t="s">
        <v>2796</v>
      </c>
      <c r="H188" s="468" t="s">
        <v>130</v>
      </c>
      <c r="I188" s="468" t="s">
        <v>131</v>
      </c>
      <c r="J188" s="468" t="s">
        <v>3563</v>
      </c>
      <c r="K188" s="468" t="s">
        <v>2797</v>
      </c>
      <c r="L188" s="468" t="s">
        <v>3737</v>
      </c>
      <c r="M188" s="468" t="s">
        <v>3739</v>
      </c>
      <c r="N188" s="461"/>
      <c r="O188" s="294"/>
      <c r="P188" s="294"/>
      <c r="Q188" s="294"/>
      <c r="R188" s="294">
        <v>2</v>
      </c>
      <c r="S188" s="295"/>
      <c r="T188" s="296">
        <v>0</v>
      </c>
      <c r="U188" s="297"/>
      <c r="V188" s="297"/>
      <c r="W188" s="297"/>
      <c r="X188" s="297"/>
      <c r="Y188" s="297"/>
      <c r="Z188" s="297"/>
      <c r="AA188" s="297"/>
      <c r="AB188" s="293">
        <v>0</v>
      </c>
      <c r="AC188" s="294"/>
      <c r="AD188" s="295"/>
      <c r="AE188" s="298"/>
      <c r="AF188" s="296">
        <v>0</v>
      </c>
      <c r="AG188" s="297"/>
      <c r="AH188" s="297"/>
      <c r="AI188" s="297"/>
      <c r="AJ188" s="297"/>
      <c r="AK188" s="297"/>
      <c r="AL188" s="297"/>
      <c r="AM188" s="297"/>
      <c r="AN188" s="300"/>
      <c r="AO188" s="301"/>
      <c r="AP188" s="301"/>
      <c r="AQ188" s="301"/>
      <c r="AR188" s="301"/>
      <c r="AS188" s="301"/>
      <c r="AT188" s="301"/>
      <c r="AU188" s="301"/>
      <c r="AV188" s="301"/>
      <c r="AW188" s="301"/>
      <c r="AX188" s="301"/>
      <c r="AY188" s="301"/>
      <c r="AZ188" s="301">
        <v>1500</v>
      </c>
      <c r="BA188" s="301"/>
      <c r="BB188" s="301"/>
      <c r="BC188" s="301"/>
      <c r="BD188" s="301"/>
      <c r="BE188" s="301"/>
      <c r="BF188" s="302"/>
      <c r="BG188" s="303"/>
      <c r="BH188" s="304"/>
      <c r="BI188" s="304"/>
      <c r="BJ188" s="304"/>
      <c r="BK188" s="304"/>
      <c r="BL188" s="304"/>
      <c r="BM188" s="304"/>
      <c r="BN188" s="304"/>
      <c r="BO188" s="304"/>
      <c r="BP188" s="304"/>
      <c r="BQ188" s="304"/>
      <c r="BR188" s="304"/>
      <c r="BS188" s="304">
        <v>10</v>
      </c>
      <c r="BT188" s="304"/>
      <c r="BU188" s="304"/>
      <c r="BV188" s="304"/>
      <c r="BW188" s="304"/>
      <c r="BX188" s="304"/>
      <c r="BY188" s="305"/>
      <c r="BZ188" s="306"/>
      <c r="CA188" s="307"/>
      <c r="CB188" s="307"/>
      <c r="CC188" s="307"/>
      <c r="CD188" s="307"/>
      <c r="CE188" s="307"/>
      <c r="CF188" s="307"/>
      <c r="CG188" s="332"/>
      <c r="CH188" s="328"/>
      <c r="CI188" s="328"/>
      <c r="CJ188" s="328">
        <v>2</v>
      </c>
      <c r="CK188" s="328"/>
      <c r="CL188" s="328"/>
      <c r="CM188" s="328"/>
      <c r="CN188" s="370"/>
      <c r="CO188" s="367"/>
      <c r="CP188" s="367"/>
      <c r="CQ188" s="367">
        <v>10</v>
      </c>
      <c r="CR188" s="367"/>
      <c r="CS188" s="387"/>
      <c r="CT188" s="398"/>
      <c r="CU188" s="399"/>
      <c r="CV188" s="399"/>
      <c r="CW188" s="399"/>
      <c r="CX188" s="399">
        <v>1</v>
      </c>
      <c r="CY188" s="399"/>
      <c r="CZ188" s="399"/>
      <c r="DA188" s="400"/>
      <c r="DB188" s="522">
        <v>1</v>
      </c>
    </row>
    <row r="189" spans="1:106" x14ac:dyDescent="0.25">
      <c r="A189" s="468" t="s">
        <v>140</v>
      </c>
      <c r="B189" s="468">
        <v>810</v>
      </c>
      <c r="C189" s="468" t="s">
        <v>2871</v>
      </c>
      <c r="D189" s="468">
        <v>481</v>
      </c>
      <c r="E189" s="468" t="s">
        <v>2872</v>
      </c>
      <c r="F189" s="468" t="s">
        <v>2880</v>
      </c>
      <c r="G189" s="468" t="s">
        <v>2873</v>
      </c>
      <c r="H189" s="468" t="s">
        <v>144</v>
      </c>
      <c r="I189" s="468" t="s">
        <v>145</v>
      </c>
      <c r="J189" s="468" t="s">
        <v>3201</v>
      </c>
      <c r="K189" s="468" t="s">
        <v>2874</v>
      </c>
      <c r="L189" s="468" t="s">
        <v>3837</v>
      </c>
      <c r="M189" s="468" t="s">
        <v>3839</v>
      </c>
      <c r="N189" s="460">
        <v>0</v>
      </c>
      <c r="O189" s="294"/>
      <c r="P189" s="294"/>
      <c r="Q189" s="294"/>
      <c r="R189" s="294"/>
      <c r="S189" s="295"/>
      <c r="T189" s="296">
        <v>0</v>
      </c>
      <c r="U189" s="297"/>
      <c r="V189" s="297"/>
      <c r="W189" s="297"/>
      <c r="X189" s="297"/>
      <c r="Y189" s="297"/>
      <c r="Z189" s="297"/>
      <c r="AA189" s="297"/>
      <c r="AB189" s="293">
        <v>0</v>
      </c>
      <c r="AC189" s="294"/>
      <c r="AD189" s="295"/>
      <c r="AE189" s="298">
        <v>1</v>
      </c>
      <c r="AF189" s="299">
        <v>1</v>
      </c>
      <c r="AG189" s="297"/>
      <c r="AH189" s="297"/>
      <c r="AI189" s="297"/>
      <c r="AJ189" s="297"/>
      <c r="AK189" s="297"/>
      <c r="AL189" s="297"/>
      <c r="AM189" s="297"/>
      <c r="AN189" s="300"/>
      <c r="AO189" s="301"/>
      <c r="AP189" s="301"/>
      <c r="AQ189" s="301"/>
      <c r="AR189" s="301"/>
      <c r="AS189" s="301"/>
      <c r="AT189" s="301">
        <v>1500</v>
      </c>
      <c r="AU189" s="301"/>
      <c r="AV189" s="301"/>
      <c r="AW189" s="301"/>
      <c r="AX189" s="301"/>
      <c r="AY189" s="301"/>
      <c r="AZ189" s="301"/>
      <c r="BA189" s="301"/>
      <c r="BB189" s="301"/>
      <c r="BC189" s="301"/>
      <c r="BD189" s="301"/>
      <c r="BE189" s="301"/>
      <c r="BF189" s="302"/>
      <c r="BG189" s="303"/>
      <c r="BH189" s="304"/>
      <c r="BI189" s="304"/>
      <c r="BJ189" s="304"/>
      <c r="BK189" s="304"/>
      <c r="BL189" s="304"/>
      <c r="BM189" s="304">
        <v>10</v>
      </c>
      <c r="BN189" s="304"/>
      <c r="BO189" s="304"/>
      <c r="BP189" s="304"/>
      <c r="BQ189" s="304"/>
      <c r="BR189" s="304"/>
      <c r="BS189" s="304"/>
      <c r="BT189" s="304"/>
      <c r="BU189" s="304"/>
      <c r="BV189" s="304"/>
      <c r="BW189" s="304"/>
      <c r="BX189" s="304"/>
      <c r="BY189" s="305"/>
      <c r="BZ189" s="306"/>
      <c r="CA189" s="307"/>
      <c r="CB189" s="307"/>
      <c r="CC189" s="307"/>
      <c r="CD189" s="307"/>
      <c r="CE189" s="307"/>
      <c r="CF189" s="307"/>
      <c r="CG189" s="332"/>
      <c r="CH189" s="328"/>
      <c r="CI189" s="328"/>
      <c r="CJ189" s="328"/>
      <c r="CK189" s="328"/>
      <c r="CL189" s="328"/>
      <c r="CM189" s="328"/>
      <c r="CN189" s="370">
        <v>10</v>
      </c>
      <c r="CO189" s="367"/>
      <c r="CP189" s="367"/>
      <c r="CQ189" s="367"/>
      <c r="CR189" s="367"/>
      <c r="CS189" s="387"/>
      <c r="CT189" s="398">
        <v>1</v>
      </c>
      <c r="CU189" s="399"/>
      <c r="CV189" s="399"/>
      <c r="CW189" s="399"/>
      <c r="CX189" s="399"/>
      <c r="CY189" s="399"/>
      <c r="CZ189" s="399"/>
      <c r="DA189" s="400"/>
      <c r="DB189" s="522">
        <v>1</v>
      </c>
    </row>
    <row r="190" spans="1:106" x14ac:dyDescent="0.25">
      <c r="A190" s="468" t="s">
        <v>140</v>
      </c>
      <c r="B190" s="468">
        <v>810</v>
      </c>
      <c r="C190" s="468" t="s">
        <v>2875</v>
      </c>
      <c r="D190" s="468">
        <v>482</v>
      </c>
      <c r="E190" s="468" t="s">
        <v>2691</v>
      </c>
      <c r="F190" s="468" t="s">
        <v>2876</v>
      </c>
      <c r="G190" s="468" t="s">
        <v>143</v>
      </c>
      <c r="H190" s="468" t="s">
        <v>144</v>
      </c>
      <c r="I190" s="468" t="s">
        <v>145</v>
      </c>
      <c r="J190" s="468" t="s">
        <v>3202</v>
      </c>
      <c r="K190" s="468" t="s">
        <v>2877</v>
      </c>
      <c r="L190" s="468" t="s">
        <v>3837</v>
      </c>
      <c r="M190" s="468" t="s">
        <v>3839</v>
      </c>
      <c r="N190" s="460">
        <v>0</v>
      </c>
      <c r="O190" s="294"/>
      <c r="P190" s="294"/>
      <c r="Q190" s="294"/>
      <c r="R190" s="294"/>
      <c r="S190" s="295"/>
      <c r="T190" s="296">
        <v>0</v>
      </c>
      <c r="U190" s="297"/>
      <c r="V190" s="297"/>
      <c r="W190" s="297"/>
      <c r="X190" s="297"/>
      <c r="Y190" s="297"/>
      <c r="Z190" s="297"/>
      <c r="AA190" s="297"/>
      <c r="AB190" s="293">
        <v>0</v>
      </c>
      <c r="AC190" s="294"/>
      <c r="AD190" s="295"/>
      <c r="AE190" s="298"/>
      <c r="AF190" s="296">
        <v>0</v>
      </c>
      <c r="AG190" s="297"/>
      <c r="AH190" s="297"/>
      <c r="AI190" s="297"/>
      <c r="AJ190" s="297"/>
      <c r="AK190" s="297"/>
      <c r="AL190" s="297"/>
      <c r="AM190" s="297"/>
      <c r="AN190" s="300"/>
      <c r="AO190" s="301"/>
      <c r="AP190" s="301"/>
      <c r="AQ190" s="301"/>
      <c r="AR190" s="301"/>
      <c r="AS190" s="301"/>
      <c r="AT190" s="301">
        <v>1500</v>
      </c>
      <c r="AU190" s="301"/>
      <c r="AV190" s="301"/>
      <c r="AW190" s="301"/>
      <c r="AX190" s="301"/>
      <c r="AY190" s="301"/>
      <c r="AZ190" s="301"/>
      <c r="BA190" s="301"/>
      <c r="BB190" s="301"/>
      <c r="BC190" s="301"/>
      <c r="BD190" s="301"/>
      <c r="BE190" s="301"/>
      <c r="BF190" s="302"/>
      <c r="BG190" s="303"/>
      <c r="BH190" s="304"/>
      <c r="BI190" s="304"/>
      <c r="BJ190" s="304"/>
      <c r="BK190" s="304"/>
      <c r="BL190" s="304"/>
      <c r="BM190" s="304">
        <v>10</v>
      </c>
      <c r="BN190" s="304"/>
      <c r="BO190" s="304"/>
      <c r="BP190" s="304"/>
      <c r="BQ190" s="304"/>
      <c r="BR190" s="304"/>
      <c r="BS190" s="304"/>
      <c r="BT190" s="304"/>
      <c r="BU190" s="304"/>
      <c r="BV190" s="304"/>
      <c r="BW190" s="304"/>
      <c r="BX190" s="304"/>
      <c r="BY190" s="305"/>
      <c r="BZ190" s="327">
        <v>1</v>
      </c>
      <c r="CA190" s="307"/>
      <c r="CB190" s="307"/>
      <c r="CC190" s="307"/>
      <c r="CD190" s="307"/>
      <c r="CE190" s="307"/>
      <c r="CF190" s="307"/>
      <c r="CG190" s="333">
        <v>2</v>
      </c>
      <c r="CH190" s="328"/>
      <c r="CI190" s="328"/>
      <c r="CJ190" s="328"/>
      <c r="CK190" s="328"/>
      <c r="CL190" s="328"/>
      <c r="CM190" s="328"/>
      <c r="CN190" s="370">
        <v>10</v>
      </c>
      <c r="CO190" s="368"/>
      <c r="CP190" s="368"/>
      <c r="CQ190" s="368"/>
      <c r="CR190" s="368"/>
      <c r="CS190" s="388"/>
      <c r="CT190" s="398">
        <v>1</v>
      </c>
      <c r="CU190" s="401"/>
      <c r="CV190" s="401"/>
      <c r="CW190" s="401"/>
      <c r="CX190" s="401"/>
      <c r="CY190" s="401"/>
      <c r="CZ190" s="399"/>
      <c r="DA190" s="400"/>
      <c r="DB190" s="522">
        <v>1</v>
      </c>
    </row>
    <row r="191" spans="1:106" x14ac:dyDescent="0.25">
      <c r="A191" s="468" t="s">
        <v>140</v>
      </c>
      <c r="B191" s="468">
        <v>810</v>
      </c>
      <c r="C191" s="468" t="s">
        <v>2883</v>
      </c>
      <c r="D191" s="468">
        <v>492</v>
      </c>
      <c r="E191" s="468" t="s">
        <v>2884</v>
      </c>
      <c r="F191" s="468" t="s">
        <v>2885</v>
      </c>
      <c r="G191" s="468" t="s">
        <v>2886</v>
      </c>
      <c r="H191" s="468" t="s">
        <v>343</v>
      </c>
      <c r="I191" s="468" t="s">
        <v>344</v>
      </c>
      <c r="J191" s="468" t="s">
        <v>3204</v>
      </c>
      <c r="K191" s="468" t="s">
        <v>2887</v>
      </c>
      <c r="L191" s="468" t="s">
        <v>3837</v>
      </c>
      <c r="M191" s="468" t="s">
        <v>3839</v>
      </c>
      <c r="N191" s="460">
        <v>0</v>
      </c>
      <c r="O191" s="294"/>
      <c r="P191" s="294"/>
      <c r="Q191" s="294"/>
      <c r="R191" s="294"/>
      <c r="S191" s="295"/>
      <c r="T191" s="296">
        <v>0</v>
      </c>
      <c r="U191" s="297"/>
      <c r="V191" s="297"/>
      <c r="W191" s="297"/>
      <c r="X191" s="297"/>
      <c r="Y191" s="297"/>
      <c r="Z191" s="297"/>
      <c r="AA191" s="297"/>
      <c r="AB191" s="293">
        <v>0</v>
      </c>
      <c r="AC191" s="294"/>
      <c r="AD191" s="295"/>
      <c r="AE191" s="298"/>
      <c r="AF191" s="296">
        <v>0</v>
      </c>
      <c r="AG191" s="297"/>
      <c r="AH191" s="297"/>
      <c r="AI191" s="297"/>
      <c r="AJ191" s="297"/>
      <c r="AK191" s="297"/>
      <c r="AL191" s="297"/>
      <c r="AM191" s="297"/>
      <c r="AN191" s="300"/>
      <c r="AO191" s="301"/>
      <c r="AP191" s="301"/>
      <c r="AQ191" s="301"/>
      <c r="AR191" s="301"/>
      <c r="AS191" s="301"/>
      <c r="AT191" s="301">
        <v>1500</v>
      </c>
      <c r="AU191" s="301"/>
      <c r="AV191" s="301"/>
      <c r="AW191" s="301"/>
      <c r="AX191" s="301"/>
      <c r="AY191" s="301"/>
      <c r="AZ191" s="301"/>
      <c r="BA191" s="301"/>
      <c r="BB191" s="301"/>
      <c r="BC191" s="301"/>
      <c r="BD191" s="301"/>
      <c r="BE191" s="301"/>
      <c r="BF191" s="302"/>
      <c r="BG191" s="303"/>
      <c r="BH191" s="304"/>
      <c r="BI191" s="304"/>
      <c r="BJ191" s="304"/>
      <c r="BK191" s="304"/>
      <c r="BL191" s="304"/>
      <c r="BM191" s="304">
        <v>10</v>
      </c>
      <c r="BN191" s="304"/>
      <c r="BO191" s="304"/>
      <c r="BP191" s="304"/>
      <c r="BQ191" s="304"/>
      <c r="BR191" s="304"/>
      <c r="BS191" s="304"/>
      <c r="BT191" s="304"/>
      <c r="BU191" s="304"/>
      <c r="BV191" s="304"/>
      <c r="BW191" s="304"/>
      <c r="BX191" s="304"/>
      <c r="BY191" s="305"/>
      <c r="BZ191" s="327">
        <v>1</v>
      </c>
      <c r="CA191" s="307"/>
      <c r="CB191" s="307"/>
      <c r="CC191" s="307"/>
      <c r="CD191" s="307"/>
      <c r="CE191" s="307"/>
      <c r="CF191" s="307"/>
      <c r="CG191" s="333">
        <v>2</v>
      </c>
      <c r="CH191" s="328"/>
      <c r="CI191" s="328"/>
      <c r="CJ191" s="328"/>
      <c r="CK191" s="328"/>
      <c r="CL191" s="328"/>
      <c r="CM191" s="328"/>
      <c r="CN191" s="370">
        <v>10</v>
      </c>
      <c r="CO191" s="368"/>
      <c r="CP191" s="368"/>
      <c r="CQ191" s="368"/>
      <c r="CR191" s="368"/>
      <c r="CS191" s="388"/>
      <c r="CT191" s="398">
        <v>1</v>
      </c>
      <c r="CU191" s="401"/>
      <c r="CV191" s="401"/>
      <c r="CW191" s="401"/>
      <c r="CX191" s="401"/>
      <c r="CY191" s="401"/>
      <c r="CZ191" s="399"/>
      <c r="DA191" s="400"/>
      <c r="DB191" s="522">
        <v>1</v>
      </c>
    </row>
    <row r="192" spans="1:106" x14ac:dyDescent="0.25">
      <c r="A192" s="468" t="s">
        <v>140</v>
      </c>
      <c r="B192" s="468">
        <v>810</v>
      </c>
      <c r="C192" s="468" t="s">
        <v>3502</v>
      </c>
      <c r="D192" s="468">
        <v>1453</v>
      </c>
      <c r="E192" s="468" t="s">
        <v>2861</v>
      </c>
      <c r="F192" s="468" t="s">
        <v>2862</v>
      </c>
      <c r="G192" s="468" t="s">
        <v>2863</v>
      </c>
      <c r="H192" s="468" t="s">
        <v>2864</v>
      </c>
      <c r="I192" s="468" t="s">
        <v>344</v>
      </c>
      <c r="J192" s="468" t="s">
        <v>3503</v>
      </c>
      <c r="K192" s="468" t="s">
        <v>2865</v>
      </c>
      <c r="L192" s="468" t="s">
        <v>3837</v>
      </c>
      <c r="M192" s="468" t="s">
        <v>3839</v>
      </c>
      <c r="N192" s="460">
        <v>0</v>
      </c>
      <c r="O192" s="294"/>
      <c r="P192" s="294"/>
      <c r="Q192" s="294"/>
      <c r="R192" s="294"/>
      <c r="S192" s="295"/>
      <c r="T192" s="296">
        <v>2</v>
      </c>
      <c r="U192" s="297"/>
      <c r="V192" s="297"/>
      <c r="W192" s="297"/>
      <c r="X192" s="297"/>
      <c r="Y192" s="297"/>
      <c r="Z192" s="297"/>
      <c r="AA192" s="297"/>
      <c r="AB192" s="293">
        <v>0</v>
      </c>
      <c r="AC192" s="294"/>
      <c r="AD192" s="295"/>
      <c r="AE192" s="298"/>
      <c r="AF192" s="296">
        <v>0</v>
      </c>
      <c r="AG192" s="297"/>
      <c r="AH192" s="297"/>
      <c r="AI192" s="297"/>
      <c r="AJ192" s="297"/>
      <c r="AK192" s="297"/>
      <c r="AL192" s="297"/>
      <c r="AM192" s="297"/>
      <c r="AN192" s="300"/>
      <c r="AO192" s="301"/>
      <c r="AP192" s="301"/>
      <c r="AQ192" s="301"/>
      <c r="AR192" s="301"/>
      <c r="AS192" s="301"/>
      <c r="AT192" s="301">
        <v>1500</v>
      </c>
      <c r="AU192" s="301"/>
      <c r="AV192" s="301"/>
      <c r="AW192" s="301"/>
      <c r="AX192" s="301"/>
      <c r="AY192" s="301"/>
      <c r="AZ192" s="301"/>
      <c r="BA192" s="301"/>
      <c r="BB192" s="301"/>
      <c r="BC192" s="301"/>
      <c r="BD192" s="301"/>
      <c r="BE192" s="301"/>
      <c r="BF192" s="302"/>
      <c r="BG192" s="303"/>
      <c r="BH192" s="304"/>
      <c r="BI192" s="304"/>
      <c r="BJ192" s="304"/>
      <c r="BK192" s="304"/>
      <c r="BL192" s="304"/>
      <c r="BM192" s="304">
        <v>10</v>
      </c>
      <c r="BN192" s="304"/>
      <c r="BO192" s="304"/>
      <c r="BP192" s="304"/>
      <c r="BQ192" s="304"/>
      <c r="BR192" s="304"/>
      <c r="BS192" s="304"/>
      <c r="BT192" s="304"/>
      <c r="BU192" s="304"/>
      <c r="BV192" s="304"/>
      <c r="BW192" s="304"/>
      <c r="BX192" s="304"/>
      <c r="BY192" s="305"/>
      <c r="BZ192" s="306"/>
      <c r="CA192" s="307"/>
      <c r="CB192" s="307"/>
      <c r="CC192" s="307"/>
      <c r="CD192" s="307"/>
      <c r="CE192" s="307"/>
      <c r="CF192" s="307"/>
      <c r="CG192" s="332">
        <v>2</v>
      </c>
      <c r="CH192" s="328"/>
      <c r="CI192" s="328"/>
      <c r="CJ192" s="328"/>
      <c r="CK192" s="328"/>
      <c r="CL192" s="328"/>
      <c r="CM192" s="328"/>
      <c r="CN192" s="370">
        <v>10</v>
      </c>
      <c r="CO192" s="367"/>
      <c r="CP192" s="367"/>
      <c r="CQ192" s="367"/>
      <c r="CR192" s="367"/>
      <c r="CS192" s="387"/>
      <c r="CT192" s="398">
        <v>1</v>
      </c>
      <c r="CU192" s="399"/>
      <c r="CV192" s="399"/>
      <c r="CW192" s="399"/>
      <c r="CX192" s="399"/>
      <c r="CY192" s="399"/>
      <c r="CZ192" s="399"/>
      <c r="DA192" s="400"/>
      <c r="DB192" s="522">
        <v>1</v>
      </c>
    </row>
    <row r="193" spans="1:106" x14ac:dyDescent="0.25">
      <c r="A193" s="468" t="s">
        <v>140</v>
      </c>
      <c r="B193" s="468">
        <v>810</v>
      </c>
      <c r="C193" s="468" t="s">
        <v>3506</v>
      </c>
      <c r="D193" s="468">
        <v>1458</v>
      </c>
      <c r="E193" s="468" t="s">
        <v>2866</v>
      </c>
      <c r="F193" s="468" t="s">
        <v>2867</v>
      </c>
      <c r="G193" s="468" t="s">
        <v>2868</v>
      </c>
      <c r="H193" s="468" t="s">
        <v>2869</v>
      </c>
      <c r="I193" s="468" t="s">
        <v>344</v>
      </c>
      <c r="J193" s="468" t="s">
        <v>3507</v>
      </c>
      <c r="K193" s="468" t="s">
        <v>2870</v>
      </c>
      <c r="L193" s="468" t="s">
        <v>3837</v>
      </c>
      <c r="M193" s="468" t="s">
        <v>3839</v>
      </c>
      <c r="N193" s="460">
        <v>0</v>
      </c>
      <c r="O193" s="294"/>
      <c r="P193" s="294"/>
      <c r="Q193" s="294"/>
      <c r="R193" s="294"/>
      <c r="S193" s="295"/>
      <c r="T193" s="299">
        <v>2</v>
      </c>
      <c r="U193" s="297"/>
      <c r="V193" s="297"/>
      <c r="W193" s="297"/>
      <c r="X193" s="297"/>
      <c r="Y193" s="297"/>
      <c r="Z193" s="297"/>
      <c r="AA193" s="297"/>
      <c r="AB193" s="293">
        <v>0</v>
      </c>
      <c r="AC193" s="294"/>
      <c r="AD193" s="295"/>
      <c r="AE193" s="298"/>
      <c r="AF193" s="296">
        <v>0</v>
      </c>
      <c r="AG193" s="297"/>
      <c r="AH193" s="297"/>
      <c r="AI193" s="297"/>
      <c r="AJ193" s="297"/>
      <c r="AK193" s="297"/>
      <c r="AL193" s="297"/>
      <c r="AM193" s="297"/>
      <c r="AN193" s="300"/>
      <c r="AO193" s="301"/>
      <c r="AP193" s="301"/>
      <c r="AQ193" s="301"/>
      <c r="AR193" s="301"/>
      <c r="AS193" s="301"/>
      <c r="AT193" s="301">
        <v>1500</v>
      </c>
      <c r="AU193" s="301"/>
      <c r="AV193" s="301"/>
      <c r="AW193" s="301"/>
      <c r="AX193" s="301"/>
      <c r="AY193" s="301"/>
      <c r="AZ193" s="301"/>
      <c r="BA193" s="301"/>
      <c r="BB193" s="301"/>
      <c r="BC193" s="301"/>
      <c r="BD193" s="301"/>
      <c r="BE193" s="301"/>
      <c r="BF193" s="302"/>
      <c r="BG193" s="303"/>
      <c r="BH193" s="304"/>
      <c r="BI193" s="304"/>
      <c r="BJ193" s="304"/>
      <c r="BK193" s="304"/>
      <c r="BL193" s="304"/>
      <c r="BM193" s="304">
        <v>10</v>
      </c>
      <c r="BN193" s="304"/>
      <c r="BO193" s="304"/>
      <c r="BP193" s="304"/>
      <c r="BQ193" s="304"/>
      <c r="BR193" s="304"/>
      <c r="BS193" s="304"/>
      <c r="BT193" s="304"/>
      <c r="BU193" s="304"/>
      <c r="BV193" s="304"/>
      <c r="BW193" s="304"/>
      <c r="BX193" s="304"/>
      <c r="BY193" s="305"/>
      <c r="BZ193" s="306"/>
      <c r="CA193" s="307"/>
      <c r="CB193" s="307"/>
      <c r="CC193" s="307"/>
      <c r="CD193" s="307"/>
      <c r="CE193" s="307"/>
      <c r="CF193" s="307"/>
      <c r="CG193" s="332"/>
      <c r="CH193" s="328"/>
      <c r="CI193" s="328"/>
      <c r="CJ193" s="328"/>
      <c r="CK193" s="328"/>
      <c r="CL193" s="328"/>
      <c r="CM193" s="328"/>
      <c r="CN193" s="370">
        <v>10</v>
      </c>
      <c r="CO193" s="367"/>
      <c r="CP193" s="367"/>
      <c r="CQ193" s="367"/>
      <c r="CR193" s="367"/>
      <c r="CS193" s="387"/>
      <c r="CT193" s="398">
        <v>1</v>
      </c>
      <c r="CU193" s="399"/>
      <c r="CV193" s="399"/>
      <c r="CW193" s="399"/>
      <c r="CX193" s="399"/>
      <c r="CY193" s="399"/>
      <c r="CZ193" s="399"/>
      <c r="DA193" s="400"/>
      <c r="DB193" s="522">
        <v>1</v>
      </c>
    </row>
    <row r="194" spans="1:106" x14ac:dyDescent="0.25">
      <c r="A194" s="468" t="s">
        <v>147</v>
      </c>
      <c r="B194" s="468">
        <v>810</v>
      </c>
      <c r="C194" s="468" t="s">
        <v>2937</v>
      </c>
      <c r="D194" s="468">
        <v>493</v>
      </c>
      <c r="E194" s="468" t="s">
        <v>2938</v>
      </c>
      <c r="F194" s="468" t="s">
        <v>2950</v>
      </c>
      <c r="G194" s="468" t="s">
        <v>2940</v>
      </c>
      <c r="H194" s="468" t="s">
        <v>2941</v>
      </c>
      <c r="I194" s="468" t="s">
        <v>145</v>
      </c>
      <c r="J194" s="468" t="s">
        <v>3205</v>
      </c>
      <c r="K194" s="468" t="s">
        <v>2942</v>
      </c>
      <c r="L194" s="468" t="s">
        <v>3837</v>
      </c>
      <c r="M194" s="468" t="s">
        <v>3839</v>
      </c>
      <c r="N194" s="460">
        <v>0</v>
      </c>
      <c r="O194" s="294"/>
      <c r="P194" s="294"/>
      <c r="Q194" s="294"/>
      <c r="R194" s="294"/>
      <c r="S194" s="295"/>
      <c r="T194" s="296">
        <v>0</v>
      </c>
      <c r="U194" s="297"/>
      <c r="V194" s="297"/>
      <c r="W194" s="297"/>
      <c r="X194" s="297"/>
      <c r="Y194" s="297"/>
      <c r="Z194" s="297"/>
      <c r="AA194" s="297"/>
      <c r="AB194" s="293">
        <v>0</v>
      </c>
      <c r="AC194" s="294"/>
      <c r="AD194" s="295"/>
      <c r="AE194" s="298"/>
      <c r="AF194" s="296">
        <v>0</v>
      </c>
      <c r="AG194" s="297"/>
      <c r="AH194" s="297"/>
      <c r="AI194" s="297"/>
      <c r="AJ194" s="297"/>
      <c r="AK194" s="297"/>
      <c r="AL194" s="297"/>
      <c r="AM194" s="297"/>
      <c r="AN194" s="300"/>
      <c r="AO194" s="301"/>
      <c r="AP194" s="301"/>
      <c r="AQ194" s="301"/>
      <c r="AR194" s="301"/>
      <c r="AS194" s="301"/>
      <c r="AT194" s="301">
        <v>1500</v>
      </c>
      <c r="AU194" s="301"/>
      <c r="AV194" s="301"/>
      <c r="AW194" s="301"/>
      <c r="AX194" s="301"/>
      <c r="AY194" s="301"/>
      <c r="AZ194" s="301"/>
      <c r="BA194" s="301"/>
      <c r="BB194" s="301"/>
      <c r="BC194" s="301"/>
      <c r="BD194" s="301"/>
      <c r="BE194" s="301"/>
      <c r="BF194" s="302"/>
      <c r="BG194" s="303"/>
      <c r="BH194" s="304"/>
      <c r="BI194" s="304"/>
      <c r="BJ194" s="304"/>
      <c r="BK194" s="304"/>
      <c r="BL194" s="304"/>
      <c r="BM194" s="304">
        <v>10</v>
      </c>
      <c r="BN194" s="304"/>
      <c r="BO194" s="304"/>
      <c r="BP194" s="304"/>
      <c r="BQ194" s="304"/>
      <c r="BR194" s="304"/>
      <c r="BS194" s="304"/>
      <c r="BT194" s="304"/>
      <c r="BU194" s="304"/>
      <c r="BV194" s="304"/>
      <c r="BW194" s="304"/>
      <c r="BX194" s="304"/>
      <c r="BY194" s="305"/>
      <c r="BZ194" s="306">
        <v>1</v>
      </c>
      <c r="CA194" s="307"/>
      <c r="CB194" s="307"/>
      <c r="CC194" s="307"/>
      <c r="CD194" s="307"/>
      <c r="CE194" s="307"/>
      <c r="CF194" s="307"/>
      <c r="CG194" s="332">
        <v>2</v>
      </c>
      <c r="CH194" s="328"/>
      <c r="CI194" s="328"/>
      <c r="CJ194" s="328"/>
      <c r="CK194" s="328"/>
      <c r="CL194" s="328"/>
      <c r="CM194" s="328"/>
      <c r="CN194" s="370">
        <v>10</v>
      </c>
      <c r="CO194" s="367"/>
      <c r="CP194" s="367"/>
      <c r="CQ194" s="367"/>
      <c r="CR194" s="367"/>
      <c r="CS194" s="387"/>
      <c r="CT194" s="398">
        <v>1</v>
      </c>
      <c r="CU194" s="399"/>
      <c r="CV194" s="399"/>
      <c r="CW194" s="399"/>
      <c r="CX194" s="399"/>
      <c r="CY194" s="399"/>
      <c r="CZ194" s="399"/>
      <c r="DA194" s="400"/>
      <c r="DB194" s="522">
        <v>1</v>
      </c>
    </row>
    <row r="195" spans="1:106" x14ac:dyDescent="0.25">
      <c r="A195" s="468" t="s">
        <v>147</v>
      </c>
      <c r="B195" s="468">
        <v>810</v>
      </c>
      <c r="C195" s="468" t="s">
        <v>2943</v>
      </c>
      <c r="D195" s="468">
        <v>494</v>
      </c>
      <c r="E195" s="468" t="s">
        <v>2944</v>
      </c>
      <c r="F195" s="468" t="s">
        <v>2945</v>
      </c>
      <c r="G195" s="468" t="s">
        <v>2946</v>
      </c>
      <c r="H195" s="468" t="s">
        <v>151</v>
      </c>
      <c r="I195" s="468" t="s">
        <v>145</v>
      </c>
      <c r="J195" s="468" t="s">
        <v>3206</v>
      </c>
      <c r="K195" s="468" t="s">
        <v>2947</v>
      </c>
      <c r="L195" s="468" t="s">
        <v>3837</v>
      </c>
      <c r="M195" s="468" t="s">
        <v>3839</v>
      </c>
      <c r="N195" s="460">
        <v>0</v>
      </c>
      <c r="O195" s="294"/>
      <c r="P195" s="294"/>
      <c r="Q195" s="294"/>
      <c r="R195" s="294"/>
      <c r="S195" s="295"/>
      <c r="T195" s="296">
        <v>1</v>
      </c>
      <c r="U195" s="297"/>
      <c r="V195" s="297"/>
      <c r="W195" s="297"/>
      <c r="X195" s="297"/>
      <c r="Y195" s="297"/>
      <c r="Z195" s="297"/>
      <c r="AA195" s="297"/>
      <c r="AB195" s="293">
        <v>0</v>
      </c>
      <c r="AC195" s="294"/>
      <c r="AD195" s="295"/>
      <c r="AE195" s="298"/>
      <c r="AF195" s="296">
        <v>0</v>
      </c>
      <c r="AG195" s="297"/>
      <c r="AH195" s="297"/>
      <c r="AI195" s="297"/>
      <c r="AJ195" s="297"/>
      <c r="AK195" s="297"/>
      <c r="AL195" s="297"/>
      <c r="AM195" s="297"/>
      <c r="AN195" s="300"/>
      <c r="AO195" s="301"/>
      <c r="AP195" s="301"/>
      <c r="AQ195" s="301"/>
      <c r="AR195" s="301"/>
      <c r="AS195" s="301"/>
      <c r="AT195" s="301">
        <v>1500</v>
      </c>
      <c r="AU195" s="301"/>
      <c r="AV195" s="301"/>
      <c r="AW195" s="301"/>
      <c r="AX195" s="301"/>
      <c r="AY195" s="301"/>
      <c r="AZ195" s="301"/>
      <c r="BA195" s="301"/>
      <c r="BB195" s="301"/>
      <c r="BC195" s="301"/>
      <c r="BD195" s="301"/>
      <c r="BE195" s="301"/>
      <c r="BF195" s="302"/>
      <c r="BG195" s="303"/>
      <c r="BH195" s="304"/>
      <c r="BI195" s="304"/>
      <c r="BJ195" s="304"/>
      <c r="BK195" s="304"/>
      <c r="BL195" s="304"/>
      <c r="BM195" s="304">
        <v>10</v>
      </c>
      <c r="BN195" s="304"/>
      <c r="BO195" s="304"/>
      <c r="BP195" s="304"/>
      <c r="BQ195" s="304"/>
      <c r="BR195" s="304"/>
      <c r="BS195" s="304"/>
      <c r="BT195" s="304"/>
      <c r="BU195" s="304"/>
      <c r="BV195" s="304"/>
      <c r="BW195" s="304"/>
      <c r="BX195" s="304"/>
      <c r="BY195" s="305"/>
      <c r="BZ195" s="306"/>
      <c r="CA195" s="307"/>
      <c r="CB195" s="307"/>
      <c r="CC195" s="307"/>
      <c r="CD195" s="307"/>
      <c r="CE195" s="307"/>
      <c r="CF195" s="307"/>
      <c r="CG195" s="332">
        <v>2</v>
      </c>
      <c r="CH195" s="328"/>
      <c r="CI195" s="328"/>
      <c r="CJ195" s="328"/>
      <c r="CK195" s="328"/>
      <c r="CL195" s="328"/>
      <c r="CM195" s="328"/>
      <c r="CN195" s="370">
        <v>10</v>
      </c>
      <c r="CO195" s="367"/>
      <c r="CP195" s="367"/>
      <c r="CQ195" s="367"/>
      <c r="CR195" s="367"/>
      <c r="CS195" s="387"/>
      <c r="CT195" s="398">
        <v>1</v>
      </c>
      <c r="CU195" s="399"/>
      <c r="CV195" s="399"/>
      <c r="CW195" s="399"/>
      <c r="CX195" s="399"/>
      <c r="CY195" s="399"/>
      <c r="CZ195" s="399"/>
      <c r="DA195" s="400"/>
      <c r="DB195" s="522">
        <v>1</v>
      </c>
    </row>
    <row r="196" spans="1:106" x14ac:dyDescent="0.25">
      <c r="A196" s="468" t="s">
        <v>147</v>
      </c>
      <c r="B196" s="468">
        <v>810</v>
      </c>
      <c r="C196" s="468" t="s">
        <v>2948</v>
      </c>
      <c r="D196" s="468">
        <v>495</v>
      </c>
      <c r="E196" s="468" t="s">
        <v>2949</v>
      </c>
      <c r="F196" s="468" t="s">
        <v>3207</v>
      </c>
      <c r="G196" s="468" t="s">
        <v>2951</v>
      </c>
      <c r="H196" s="468" t="s">
        <v>151</v>
      </c>
      <c r="I196" s="468" t="s">
        <v>145</v>
      </c>
      <c r="J196" s="468" t="s">
        <v>3208</v>
      </c>
      <c r="K196" s="468" t="s">
        <v>2952</v>
      </c>
      <c r="L196" s="468" t="s">
        <v>3837</v>
      </c>
      <c r="M196" s="468" t="s">
        <v>3839</v>
      </c>
      <c r="N196" s="460">
        <v>0</v>
      </c>
      <c r="O196" s="294"/>
      <c r="P196" s="294"/>
      <c r="Q196" s="294"/>
      <c r="R196" s="294"/>
      <c r="S196" s="295"/>
      <c r="T196" s="296">
        <v>1</v>
      </c>
      <c r="U196" s="297"/>
      <c r="V196" s="297"/>
      <c r="W196" s="297"/>
      <c r="X196" s="297"/>
      <c r="Y196" s="297"/>
      <c r="Z196" s="297"/>
      <c r="AA196" s="297"/>
      <c r="AB196" s="293">
        <v>0</v>
      </c>
      <c r="AC196" s="294"/>
      <c r="AD196" s="295"/>
      <c r="AE196" s="298"/>
      <c r="AF196" s="296">
        <v>0</v>
      </c>
      <c r="AG196" s="297"/>
      <c r="AH196" s="297"/>
      <c r="AI196" s="297"/>
      <c r="AJ196" s="297"/>
      <c r="AK196" s="297"/>
      <c r="AL196" s="297"/>
      <c r="AM196" s="297"/>
      <c r="AN196" s="300"/>
      <c r="AO196" s="301"/>
      <c r="AP196" s="301"/>
      <c r="AQ196" s="301"/>
      <c r="AR196" s="301"/>
      <c r="AS196" s="301"/>
      <c r="AT196" s="301">
        <v>1500</v>
      </c>
      <c r="AU196" s="301"/>
      <c r="AV196" s="301"/>
      <c r="AW196" s="301"/>
      <c r="AX196" s="301"/>
      <c r="AY196" s="301"/>
      <c r="AZ196" s="301"/>
      <c r="BA196" s="301"/>
      <c r="BB196" s="301"/>
      <c r="BC196" s="301"/>
      <c r="BD196" s="301"/>
      <c r="BE196" s="301"/>
      <c r="BF196" s="302"/>
      <c r="BG196" s="303"/>
      <c r="BH196" s="304"/>
      <c r="BI196" s="304"/>
      <c r="BJ196" s="304"/>
      <c r="BK196" s="304"/>
      <c r="BL196" s="304"/>
      <c r="BM196" s="304">
        <v>10</v>
      </c>
      <c r="BN196" s="304"/>
      <c r="BO196" s="304"/>
      <c r="BP196" s="304"/>
      <c r="BQ196" s="304"/>
      <c r="BR196" s="304"/>
      <c r="BS196" s="304"/>
      <c r="BT196" s="304"/>
      <c r="BU196" s="304"/>
      <c r="BV196" s="304"/>
      <c r="BW196" s="304"/>
      <c r="BX196" s="304"/>
      <c r="BY196" s="305"/>
      <c r="BZ196" s="306"/>
      <c r="CA196" s="307"/>
      <c r="CB196" s="307"/>
      <c r="CC196" s="307"/>
      <c r="CD196" s="307"/>
      <c r="CE196" s="307"/>
      <c r="CF196" s="307"/>
      <c r="CG196" s="332">
        <v>2</v>
      </c>
      <c r="CH196" s="328"/>
      <c r="CI196" s="328"/>
      <c r="CJ196" s="328"/>
      <c r="CK196" s="328"/>
      <c r="CL196" s="328"/>
      <c r="CM196" s="328"/>
      <c r="CN196" s="370">
        <v>10</v>
      </c>
      <c r="CO196" s="367"/>
      <c r="CP196" s="367"/>
      <c r="CQ196" s="367"/>
      <c r="CR196" s="367"/>
      <c r="CS196" s="387"/>
      <c r="CT196" s="398">
        <v>1</v>
      </c>
      <c r="CU196" s="399"/>
      <c r="CV196" s="399"/>
      <c r="CW196" s="399"/>
      <c r="CX196" s="399"/>
      <c r="CY196" s="399"/>
      <c r="CZ196" s="399"/>
      <c r="DA196" s="400"/>
      <c r="DB196" s="522">
        <v>1</v>
      </c>
    </row>
    <row r="197" spans="1:106" x14ac:dyDescent="0.25">
      <c r="A197" s="468" t="s">
        <v>147</v>
      </c>
      <c r="B197" s="468">
        <v>810</v>
      </c>
      <c r="C197" s="468" t="s">
        <v>3530</v>
      </c>
      <c r="D197" s="468">
        <v>1480</v>
      </c>
      <c r="E197" s="468" t="s">
        <v>2888</v>
      </c>
      <c r="F197" s="468" t="s">
        <v>2889</v>
      </c>
      <c r="G197" s="468" t="s">
        <v>2890</v>
      </c>
      <c r="H197" s="468" t="s">
        <v>347</v>
      </c>
      <c r="I197" s="468" t="s">
        <v>145</v>
      </c>
      <c r="J197" s="468" t="s">
        <v>3531</v>
      </c>
      <c r="K197" s="468" t="s">
        <v>2891</v>
      </c>
      <c r="L197" s="468" t="s">
        <v>3837</v>
      </c>
      <c r="M197" s="468" t="s">
        <v>3839</v>
      </c>
      <c r="N197" s="460">
        <v>0</v>
      </c>
      <c r="O197" s="294"/>
      <c r="P197" s="294"/>
      <c r="Q197" s="294"/>
      <c r="R197" s="294"/>
      <c r="S197" s="295"/>
      <c r="T197" s="296">
        <v>2</v>
      </c>
      <c r="U197" s="297"/>
      <c r="V197" s="297"/>
      <c r="W197" s="297"/>
      <c r="X197" s="297"/>
      <c r="Y197" s="297"/>
      <c r="Z197" s="297"/>
      <c r="AA197" s="297"/>
      <c r="AB197" s="293">
        <v>0</v>
      </c>
      <c r="AC197" s="294"/>
      <c r="AD197" s="295"/>
      <c r="AE197" s="298"/>
      <c r="AF197" s="296">
        <v>0</v>
      </c>
      <c r="AG197" s="297"/>
      <c r="AH197" s="297"/>
      <c r="AI197" s="297"/>
      <c r="AJ197" s="297"/>
      <c r="AK197" s="297"/>
      <c r="AL197" s="297"/>
      <c r="AM197" s="297"/>
      <c r="AN197" s="300"/>
      <c r="AO197" s="301"/>
      <c r="AP197" s="301"/>
      <c r="AQ197" s="301"/>
      <c r="AR197" s="301"/>
      <c r="AS197" s="301"/>
      <c r="AT197" s="301">
        <v>1500</v>
      </c>
      <c r="AU197" s="301"/>
      <c r="AV197" s="301"/>
      <c r="AW197" s="301"/>
      <c r="AX197" s="301"/>
      <c r="AY197" s="301"/>
      <c r="AZ197" s="301"/>
      <c r="BA197" s="301"/>
      <c r="BB197" s="301"/>
      <c r="BC197" s="301"/>
      <c r="BD197" s="301"/>
      <c r="BE197" s="301"/>
      <c r="BF197" s="302"/>
      <c r="BG197" s="303"/>
      <c r="BH197" s="304"/>
      <c r="BI197" s="304"/>
      <c r="BJ197" s="304"/>
      <c r="BK197" s="304"/>
      <c r="BL197" s="304"/>
      <c r="BM197" s="304">
        <v>10</v>
      </c>
      <c r="BN197" s="304"/>
      <c r="BO197" s="304"/>
      <c r="BP197" s="304"/>
      <c r="BQ197" s="304"/>
      <c r="BR197" s="304"/>
      <c r="BS197" s="304"/>
      <c r="BT197" s="304"/>
      <c r="BU197" s="304"/>
      <c r="BV197" s="304"/>
      <c r="BW197" s="304"/>
      <c r="BX197" s="304"/>
      <c r="BY197" s="305"/>
      <c r="BZ197" s="306"/>
      <c r="CA197" s="307"/>
      <c r="CB197" s="307"/>
      <c r="CC197" s="307"/>
      <c r="CD197" s="307"/>
      <c r="CE197" s="307"/>
      <c r="CF197" s="307"/>
      <c r="CG197" s="332">
        <v>2</v>
      </c>
      <c r="CH197" s="328"/>
      <c r="CI197" s="328"/>
      <c r="CJ197" s="328"/>
      <c r="CK197" s="328"/>
      <c r="CL197" s="328"/>
      <c r="CM197" s="328"/>
      <c r="CN197" s="370">
        <v>10</v>
      </c>
      <c r="CO197" s="367"/>
      <c r="CP197" s="367"/>
      <c r="CQ197" s="367"/>
      <c r="CR197" s="367"/>
      <c r="CS197" s="387"/>
      <c r="CT197" s="398">
        <v>1</v>
      </c>
      <c r="CU197" s="399"/>
      <c r="CV197" s="399"/>
      <c r="CW197" s="399"/>
      <c r="CX197" s="399"/>
      <c r="CY197" s="399"/>
      <c r="CZ197" s="399"/>
      <c r="DA197" s="400"/>
      <c r="DB197" s="522">
        <v>1</v>
      </c>
    </row>
    <row r="198" spans="1:106" x14ac:dyDescent="0.25">
      <c r="A198" s="468" t="s">
        <v>147</v>
      </c>
      <c r="B198" s="468">
        <v>810</v>
      </c>
      <c r="C198" s="468" t="s">
        <v>3532</v>
      </c>
      <c r="D198" s="468">
        <v>1481</v>
      </c>
      <c r="E198" s="468" t="s">
        <v>2892</v>
      </c>
      <c r="F198" s="468" t="s">
        <v>3533</v>
      </c>
      <c r="G198" s="468" t="s">
        <v>2893</v>
      </c>
      <c r="H198" s="468" t="s">
        <v>2894</v>
      </c>
      <c r="I198" s="468" t="s">
        <v>145</v>
      </c>
      <c r="J198" s="468" t="s">
        <v>3534</v>
      </c>
      <c r="K198" s="468" t="s">
        <v>2895</v>
      </c>
      <c r="L198" s="468" t="s">
        <v>3837</v>
      </c>
      <c r="M198" s="468" t="s">
        <v>3839</v>
      </c>
      <c r="N198" s="461"/>
      <c r="O198" s="294"/>
      <c r="P198" s="294">
        <v>2</v>
      </c>
      <c r="Q198" s="294"/>
      <c r="R198" s="294"/>
      <c r="S198" s="295"/>
      <c r="T198" s="296">
        <v>0</v>
      </c>
      <c r="U198" s="297"/>
      <c r="V198" s="297"/>
      <c r="W198" s="297"/>
      <c r="X198" s="297"/>
      <c r="Y198" s="297"/>
      <c r="Z198" s="297"/>
      <c r="AA198" s="297"/>
      <c r="AB198" s="293">
        <v>0</v>
      </c>
      <c r="AC198" s="294"/>
      <c r="AD198" s="295"/>
      <c r="AE198" s="298"/>
      <c r="AF198" s="296">
        <v>0</v>
      </c>
      <c r="AG198" s="297"/>
      <c r="AH198" s="297"/>
      <c r="AI198" s="297"/>
      <c r="AJ198" s="297"/>
      <c r="AK198" s="297"/>
      <c r="AL198" s="297"/>
      <c r="AM198" s="297"/>
      <c r="AN198" s="300"/>
      <c r="AO198" s="301"/>
      <c r="AP198" s="301"/>
      <c r="AQ198" s="301"/>
      <c r="AR198" s="301"/>
      <c r="AS198" s="301"/>
      <c r="AT198" s="301">
        <v>1500</v>
      </c>
      <c r="AU198" s="301"/>
      <c r="AV198" s="301"/>
      <c r="AW198" s="301"/>
      <c r="AX198" s="301"/>
      <c r="AY198" s="301"/>
      <c r="AZ198" s="301"/>
      <c r="BA198" s="301"/>
      <c r="BB198" s="301"/>
      <c r="BC198" s="301"/>
      <c r="BD198" s="301"/>
      <c r="BE198" s="301"/>
      <c r="BF198" s="302"/>
      <c r="BG198" s="303"/>
      <c r="BH198" s="304"/>
      <c r="BI198" s="304"/>
      <c r="BJ198" s="304"/>
      <c r="BK198" s="304"/>
      <c r="BL198" s="304"/>
      <c r="BM198" s="304">
        <v>10</v>
      </c>
      <c r="BN198" s="304"/>
      <c r="BO198" s="304"/>
      <c r="BP198" s="304"/>
      <c r="BQ198" s="304"/>
      <c r="BR198" s="304"/>
      <c r="BS198" s="304"/>
      <c r="BT198" s="304"/>
      <c r="BU198" s="304"/>
      <c r="BV198" s="304"/>
      <c r="BW198" s="304"/>
      <c r="BX198" s="304"/>
      <c r="BY198" s="305"/>
      <c r="BZ198" s="306"/>
      <c r="CA198" s="307"/>
      <c r="CB198" s="307"/>
      <c r="CC198" s="307"/>
      <c r="CD198" s="307"/>
      <c r="CE198" s="307"/>
      <c r="CF198" s="307"/>
      <c r="CG198" s="332">
        <v>2</v>
      </c>
      <c r="CH198" s="328"/>
      <c r="CI198" s="328"/>
      <c r="CJ198" s="328"/>
      <c r="CK198" s="328"/>
      <c r="CL198" s="328"/>
      <c r="CM198" s="328"/>
      <c r="CN198" s="370">
        <v>10</v>
      </c>
      <c r="CO198" s="367"/>
      <c r="CP198" s="367"/>
      <c r="CQ198" s="367"/>
      <c r="CR198" s="367"/>
      <c r="CS198" s="387"/>
      <c r="CT198" s="398">
        <v>1</v>
      </c>
      <c r="CU198" s="399"/>
      <c r="CV198" s="399"/>
      <c r="CW198" s="399"/>
      <c r="CX198" s="399"/>
      <c r="CY198" s="399"/>
      <c r="CZ198" s="399"/>
      <c r="DA198" s="400"/>
      <c r="DB198" s="522">
        <v>1</v>
      </c>
    </row>
    <row r="199" spans="1:106" ht="16.5" thickBot="1" x14ac:dyDescent="0.3">
      <c r="A199" s="468" t="s">
        <v>147</v>
      </c>
      <c r="B199" s="468">
        <v>810</v>
      </c>
      <c r="C199" s="468" t="s">
        <v>3537</v>
      </c>
      <c r="D199" s="468">
        <v>1494</v>
      </c>
      <c r="E199" s="468" t="s">
        <v>2896</v>
      </c>
      <c r="F199" s="468" t="s">
        <v>2897</v>
      </c>
      <c r="G199" s="468" t="s">
        <v>2898</v>
      </c>
      <c r="H199" s="468" t="s">
        <v>2894</v>
      </c>
      <c r="I199" s="468" t="s">
        <v>145</v>
      </c>
      <c r="J199" s="468" t="s">
        <v>3538</v>
      </c>
      <c r="K199" s="468" t="s">
        <v>2899</v>
      </c>
      <c r="L199" s="468" t="s">
        <v>3837</v>
      </c>
      <c r="M199" s="468" t="s">
        <v>3839</v>
      </c>
      <c r="N199" s="462">
        <v>0</v>
      </c>
      <c r="O199" s="312"/>
      <c r="P199" s="312"/>
      <c r="Q199" s="312"/>
      <c r="R199" s="312"/>
      <c r="S199" s="313"/>
      <c r="T199" s="314">
        <v>2</v>
      </c>
      <c r="U199" s="315"/>
      <c r="V199" s="315"/>
      <c r="W199" s="315"/>
      <c r="X199" s="315"/>
      <c r="Y199" s="315"/>
      <c r="Z199" s="315"/>
      <c r="AA199" s="315"/>
      <c r="AB199" s="311">
        <v>0</v>
      </c>
      <c r="AC199" s="312"/>
      <c r="AD199" s="313"/>
      <c r="AE199" s="318"/>
      <c r="AF199" s="316">
        <v>0</v>
      </c>
      <c r="AG199" s="317"/>
      <c r="AH199" s="317"/>
      <c r="AI199" s="317"/>
      <c r="AJ199" s="317"/>
      <c r="AK199" s="317"/>
      <c r="AL199" s="317"/>
      <c r="AM199" s="317"/>
      <c r="AN199" s="319"/>
      <c r="AO199" s="320"/>
      <c r="AP199" s="320"/>
      <c r="AQ199" s="320"/>
      <c r="AR199" s="320"/>
      <c r="AS199" s="320"/>
      <c r="AT199" s="320">
        <v>1500</v>
      </c>
      <c r="AU199" s="320"/>
      <c r="AV199" s="320"/>
      <c r="AW199" s="320"/>
      <c r="AX199" s="320"/>
      <c r="AY199" s="320"/>
      <c r="AZ199" s="320"/>
      <c r="BA199" s="320"/>
      <c r="BB199" s="320"/>
      <c r="BC199" s="320"/>
      <c r="BD199" s="320"/>
      <c r="BE199" s="320"/>
      <c r="BF199" s="321"/>
      <c r="BG199" s="322"/>
      <c r="BH199" s="323"/>
      <c r="BI199" s="323"/>
      <c r="BJ199" s="323"/>
      <c r="BK199" s="323"/>
      <c r="BL199" s="323"/>
      <c r="BM199" s="323">
        <v>10</v>
      </c>
      <c r="BN199" s="323"/>
      <c r="BO199" s="323"/>
      <c r="BP199" s="323"/>
      <c r="BQ199" s="323"/>
      <c r="BR199" s="323"/>
      <c r="BS199" s="323"/>
      <c r="BT199" s="323"/>
      <c r="BU199" s="323"/>
      <c r="BV199" s="323"/>
      <c r="BW199" s="323"/>
      <c r="BX199" s="323"/>
      <c r="BY199" s="324"/>
      <c r="BZ199" s="325"/>
      <c r="CA199" s="326"/>
      <c r="CB199" s="326"/>
      <c r="CC199" s="326"/>
      <c r="CD199" s="326"/>
      <c r="CE199" s="326"/>
      <c r="CF199" s="326"/>
      <c r="CG199" s="341">
        <v>2</v>
      </c>
      <c r="CH199" s="342"/>
      <c r="CI199" s="342"/>
      <c r="CJ199" s="342"/>
      <c r="CK199" s="342"/>
      <c r="CL199" s="342"/>
      <c r="CM199" s="342"/>
      <c r="CN199" s="370">
        <v>10</v>
      </c>
      <c r="CO199" s="374"/>
      <c r="CP199" s="374"/>
      <c r="CQ199" s="374"/>
      <c r="CR199" s="374"/>
      <c r="CS199" s="389"/>
      <c r="CT199" s="530">
        <v>1</v>
      </c>
      <c r="CU199" s="402"/>
      <c r="CV199" s="402"/>
      <c r="CW199" s="402"/>
      <c r="CX199" s="402"/>
      <c r="CY199" s="402"/>
      <c r="CZ199" s="402"/>
      <c r="DA199" s="403"/>
      <c r="DB199" s="522">
        <v>1</v>
      </c>
    </row>
    <row r="200" spans="1:106" ht="18.75" x14ac:dyDescent="0.3">
      <c r="C200" s="15"/>
      <c r="D200" s="15"/>
      <c r="I200" s="15"/>
      <c r="J200" s="75"/>
      <c r="K200" s="75" t="s">
        <v>15</v>
      </c>
      <c r="L200" s="75"/>
      <c r="M200" s="75"/>
      <c r="N200" s="419">
        <f>SUM(N5:N199)</f>
        <v>31</v>
      </c>
      <c r="O200" s="420">
        <f t="shared" ref="O200:BZ200" si="0">SUM(O5:O199)</f>
        <v>1</v>
      </c>
      <c r="P200" s="420">
        <f t="shared" si="0"/>
        <v>4</v>
      </c>
      <c r="Q200" s="420">
        <f t="shared" si="0"/>
        <v>7</v>
      </c>
      <c r="R200" s="420">
        <f t="shared" si="0"/>
        <v>38</v>
      </c>
      <c r="S200" s="421">
        <f t="shared" si="0"/>
        <v>11</v>
      </c>
      <c r="T200" s="422">
        <f t="shared" si="0"/>
        <v>10</v>
      </c>
      <c r="U200" s="423">
        <f t="shared" si="0"/>
        <v>11</v>
      </c>
      <c r="V200" s="423">
        <f t="shared" si="0"/>
        <v>6</v>
      </c>
      <c r="W200" s="423">
        <f t="shared" si="0"/>
        <v>30</v>
      </c>
      <c r="X200" s="423">
        <f t="shared" si="0"/>
        <v>6</v>
      </c>
      <c r="Y200" s="423">
        <f t="shared" si="0"/>
        <v>27</v>
      </c>
      <c r="Z200" s="423">
        <f t="shared" si="0"/>
        <v>5</v>
      </c>
      <c r="AA200" s="423">
        <f t="shared" si="0"/>
        <v>50</v>
      </c>
      <c r="AB200" s="419">
        <f t="shared" si="0"/>
        <v>5</v>
      </c>
      <c r="AC200" s="420">
        <f t="shared" si="0"/>
        <v>2</v>
      </c>
      <c r="AD200" s="421">
        <f t="shared" si="0"/>
        <v>2</v>
      </c>
      <c r="AE200" s="426">
        <f t="shared" si="0"/>
        <v>1</v>
      </c>
      <c r="AF200" s="424">
        <f t="shared" si="0"/>
        <v>2</v>
      </c>
      <c r="AG200" s="425">
        <f t="shared" si="0"/>
        <v>5</v>
      </c>
      <c r="AH200" s="425">
        <f t="shared" si="0"/>
        <v>2</v>
      </c>
      <c r="AI200" s="425">
        <f t="shared" si="0"/>
        <v>2</v>
      </c>
      <c r="AJ200" s="425">
        <f t="shared" si="0"/>
        <v>11</v>
      </c>
      <c r="AK200" s="425">
        <f t="shared" si="0"/>
        <v>5</v>
      </c>
      <c r="AL200" s="425">
        <f t="shared" si="0"/>
        <v>1</v>
      </c>
      <c r="AM200" s="425">
        <f t="shared" si="0"/>
        <v>2</v>
      </c>
      <c r="AN200" s="413">
        <f t="shared" si="0"/>
        <v>52500</v>
      </c>
      <c r="AO200" s="414">
        <f t="shared" si="0"/>
        <v>7500</v>
      </c>
      <c r="AP200" s="414">
        <f t="shared" si="0"/>
        <v>27000</v>
      </c>
      <c r="AQ200" s="414">
        <f t="shared" si="0"/>
        <v>3000</v>
      </c>
      <c r="AR200" s="414">
        <f t="shared" si="0"/>
        <v>7500</v>
      </c>
      <c r="AS200" s="414">
        <f t="shared" si="0"/>
        <v>13500</v>
      </c>
      <c r="AT200" s="414">
        <f t="shared" si="0"/>
        <v>18000</v>
      </c>
      <c r="AU200" s="414">
        <f t="shared" si="0"/>
        <v>6000</v>
      </c>
      <c r="AV200" s="414">
        <f t="shared" si="0"/>
        <v>10500</v>
      </c>
      <c r="AW200" s="414">
        <f t="shared" si="0"/>
        <v>3000</v>
      </c>
      <c r="AX200" s="414">
        <f t="shared" si="0"/>
        <v>7500</v>
      </c>
      <c r="AY200" s="414">
        <f t="shared" si="0"/>
        <v>1500</v>
      </c>
      <c r="AZ200" s="414">
        <f t="shared" si="0"/>
        <v>49500</v>
      </c>
      <c r="BA200" s="414">
        <f t="shared" si="0"/>
        <v>18000</v>
      </c>
      <c r="BB200" s="414">
        <f t="shared" si="0"/>
        <v>6000</v>
      </c>
      <c r="BC200" s="414">
        <f t="shared" si="0"/>
        <v>3000</v>
      </c>
      <c r="BD200" s="414">
        <f t="shared" si="0"/>
        <v>34500</v>
      </c>
      <c r="BE200" s="414">
        <f t="shared" si="0"/>
        <v>22500</v>
      </c>
      <c r="BF200" s="415">
        <f t="shared" si="0"/>
        <v>1500</v>
      </c>
      <c r="BG200" s="427">
        <f t="shared" si="0"/>
        <v>350</v>
      </c>
      <c r="BH200" s="428">
        <f t="shared" si="0"/>
        <v>50</v>
      </c>
      <c r="BI200" s="428">
        <f t="shared" si="0"/>
        <v>180</v>
      </c>
      <c r="BJ200" s="428">
        <f t="shared" si="0"/>
        <v>20</v>
      </c>
      <c r="BK200" s="428">
        <f t="shared" si="0"/>
        <v>50</v>
      </c>
      <c r="BL200" s="428">
        <f t="shared" si="0"/>
        <v>90</v>
      </c>
      <c r="BM200" s="428">
        <f t="shared" si="0"/>
        <v>120</v>
      </c>
      <c r="BN200" s="428">
        <f t="shared" si="0"/>
        <v>40</v>
      </c>
      <c r="BO200" s="428">
        <f t="shared" si="0"/>
        <v>70</v>
      </c>
      <c r="BP200" s="428">
        <f t="shared" si="0"/>
        <v>20</v>
      </c>
      <c r="BQ200" s="428">
        <f t="shared" si="0"/>
        <v>50</v>
      </c>
      <c r="BR200" s="428">
        <f t="shared" si="0"/>
        <v>10</v>
      </c>
      <c r="BS200" s="428">
        <f t="shared" si="0"/>
        <v>330</v>
      </c>
      <c r="BT200" s="428">
        <f t="shared" si="0"/>
        <v>120</v>
      </c>
      <c r="BU200" s="428">
        <f t="shared" si="0"/>
        <v>40</v>
      </c>
      <c r="BV200" s="428">
        <f t="shared" si="0"/>
        <v>20</v>
      </c>
      <c r="BW200" s="428">
        <f t="shared" si="0"/>
        <v>230</v>
      </c>
      <c r="BX200" s="428">
        <f t="shared" si="0"/>
        <v>150</v>
      </c>
      <c r="BY200" s="429">
        <f t="shared" si="0"/>
        <v>10</v>
      </c>
      <c r="BZ200" s="430">
        <f t="shared" si="0"/>
        <v>3</v>
      </c>
      <c r="CA200" s="431">
        <f t="shared" ref="CA200:DC200" si="1">SUM(CA5:CA199)</f>
        <v>1</v>
      </c>
      <c r="CB200" s="431">
        <f t="shared" si="1"/>
        <v>7</v>
      </c>
      <c r="CC200" s="431">
        <f t="shared" si="1"/>
        <v>1</v>
      </c>
      <c r="CD200" s="431">
        <f t="shared" si="1"/>
        <v>2</v>
      </c>
      <c r="CE200" s="431">
        <f t="shared" si="1"/>
        <v>2</v>
      </c>
      <c r="CF200" s="431">
        <f t="shared" si="1"/>
        <v>5</v>
      </c>
      <c r="CG200" s="432">
        <f t="shared" si="1"/>
        <v>20</v>
      </c>
      <c r="CH200" s="433">
        <f t="shared" si="1"/>
        <v>26</v>
      </c>
      <c r="CI200" s="433">
        <f t="shared" si="1"/>
        <v>12</v>
      </c>
      <c r="CJ200" s="433">
        <f t="shared" si="1"/>
        <v>116</v>
      </c>
      <c r="CK200" s="433">
        <f t="shared" si="1"/>
        <v>78</v>
      </c>
      <c r="CL200" s="433">
        <f t="shared" si="1"/>
        <v>18</v>
      </c>
      <c r="CM200" s="433">
        <f t="shared" si="1"/>
        <v>116</v>
      </c>
      <c r="CN200" s="434">
        <f t="shared" si="1"/>
        <v>120</v>
      </c>
      <c r="CO200" s="435">
        <f t="shared" si="1"/>
        <v>130</v>
      </c>
      <c r="CP200" s="435">
        <f t="shared" si="1"/>
        <v>60</v>
      </c>
      <c r="CQ200" s="435">
        <f t="shared" si="1"/>
        <v>580</v>
      </c>
      <c r="CR200" s="435">
        <f t="shared" si="1"/>
        <v>390</v>
      </c>
      <c r="CS200" s="525">
        <f t="shared" si="1"/>
        <v>670</v>
      </c>
      <c r="CT200" s="436">
        <f>SUM(CT5:CT199)</f>
        <v>12</v>
      </c>
      <c r="CU200" s="437">
        <f t="shared" si="1"/>
        <v>13</v>
      </c>
      <c r="CV200" s="437">
        <f t="shared" si="1"/>
        <v>6</v>
      </c>
      <c r="CW200" s="437">
        <f t="shared" si="1"/>
        <v>7</v>
      </c>
      <c r="CX200" s="437">
        <f t="shared" si="1"/>
        <v>77</v>
      </c>
      <c r="CY200" s="437">
        <f t="shared" si="1"/>
        <v>13</v>
      </c>
      <c r="CZ200" s="437">
        <f t="shared" si="1"/>
        <v>9</v>
      </c>
      <c r="DA200" s="438">
        <f t="shared" si="1"/>
        <v>58</v>
      </c>
      <c r="DB200" s="527">
        <f t="shared" si="1"/>
        <v>195</v>
      </c>
    </row>
    <row r="201" spans="1:106" ht="18.75" x14ac:dyDescent="0.3">
      <c r="C201" s="15"/>
      <c r="D201" s="15"/>
      <c r="I201" s="15"/>
      <c r="J201" s="75"/>
      <c r="K201" s="75" t="s">
        <v>16</v>
      </c>
      <c r="L201" s="75"/>
      <c r="M201" s="75"/>
      <c r="N201" s="491">
        <f>ROUNDUP((N200*0.15),0)</f>
        <v>5</v>
      </c>
      <c r="O201" s="492"/>
      <c r="P201" s="492"/>
      <c r="Q201" s="492"/>
      <c r="R201" s="492">
        <f t="shared" ref="R201:BS201" si="2">ROUNDUP((R200*0.15),0)</f>
        <v>6</v>
      </c>
      <c r="S201" s="493"/>
      <c r="T201" s="491"/>
      <c r="U201" s="492"/>
      <c r="V201" s="492"/>
      <c r="W201" s="492">
        <f t="shared" si="2"/>
        <v>5</v>
      </c>
      <c r="X201" s="492"/>
      <c r="Y201" s="492">
        <f t="shared" si="2"/>
        <v>5</v>
      </c>
      <c r="Z201" s="492"/>
      <c r="AA201" s="492">
        <f t="shared" si="2"/>
        <v>8</v>
      </c>
      <c r="AB201" s="491"/>
      <c r="AC201" s="492"/>
      <c r="AD201" s="493"/>
      <c r="AE201" s="493"/>
      <c r="AF201" s="491"/>
      <c r="AG201" s="492"/>
      <c r="AH201" s="492"/>
      <c r="AI201" s="492"/>
      <c r="AJ201" s="492"/>
      <c r="AK201" s="492"/>
      <c r="AL201" s="492"/>
      <c r="AM201" s="492"/>
      <c r="AN201" s="491">
        <v>7500</v>
      </c>
      <c r="AO201" s="492">
        <v>1000</v>
      </c>
      <c r="AP201" s="492">
        <v>4000</v>
      </c>
      <c r="AQ201" s="492"/>
      <c r="AR201" s="492">
        <v>1000</v>
      </c>
      <c r="AS201" s="492">
        <v>1500</v>
      </c>
      <c r="AT201" s="492">
        <v>2500</v>
      </c>
      <c r="AU201" s="492"/>
      <c r="AV201" s="492">
        <v>1000</v>
      </c>
      <c r="AW201" s="492"/>
      <c r="AX201" s="492">
        <v>1000</v>
      </c>
      <c r="AY201" s="492"/>
      <c r="AZ201" s="492">
        <v>7000</v>
      </c>
      <c r="BA201" s="492">
        <v>2500</v>
      </c>
      <c r="BB201" s="492">
        <v>500</v>
      </c>
      <c r="BC201" s="492"/>
      <c r="BD201" s="492">
        <v>5000</v>
      </c>
      <c r="BE201" s="492">
        <v>3000</v>
      </c>
      <c r="BF201" s="494"/>
      <c r="BG201" s="491">
        <v>50</v>
      </c>
      <c r="BH201" s="492"/>
      <c r="BI201" s="492">
        <v>30</v>
      </c>
      <c r="BJ201" s="492"/>
      <c r="BK201" s="492"/>
      <c r="BL201" s="492">
        <v>10</v>
      </c>
      <c r="BM201" s="492">
        <v>20</v>
      </c>
      <c r="BN201" s="492"/>
      <c r="BO201" s="492">
        <v>10</v>
      </c>
      <c r="BP201" s="492"/>
      <c r="BQ201" s="492"/>
      <c r="BR201" s="492"/>
      <c r="BS201" s="492">
        <f t="shared" si="2"/>
        <v>50</v>
      </c>
      <c r="BT201" s="492">
        <v>20</v>
      </c>
      <c r="BU201" s="492"/>
      <c r="BV201" s="492"/>
      <c r="BW201" s="492">
        <v>30</v>
      </c>
      <c r="BX201" s="492">
        <v>20</v>
      </c>
      <c r="BY201" s="493"/>
      <c r="BZ201" s="491"/>
      <c r="CA201" s="492"/>
      <c r="CB201" s="492"/>
      <c r="CC201" s="492"/>
      <c r="CD201" s="492"/>
      <c r="CE201" s="492"/>
      <c r="CF201" s="492"/>
      <c r="CG201" s="491"/>
      <c r="CH201" s="492">
        <f t="shared" ref="CH201:CO201" si="3">ROUNDUP((CH200*0.15),0)</f>
        <v>4</v>
      </c>
      <c r="CI201" s="492"/>
      <c r="CJ201" s="492">
        <f t="shared" si="3"/>
        <v>18</v>
      </c>
      <c r="CK201" s="492">
        <f t="shared" si="3"/>
        <v>12</v>
      </c>
      <c r="CL201" s="492"/>
      <c r="CM201" s="492">
        <f t="shared" si="3"/>
        <v>18</v>
      </c>
      <c r="CN201" s="491">
        <v>20</v>
      </c>
      <c r="CO201" s="492">
        <f t="shared" si="3"/>
        <v>20</v>
      </c>
      <c r="CP201" s="492"/>
      <c r="CQ201" s="492">
        <v>80</v>
      </c>
      <c r="CR201" s="492">
        <v>60</v>
      </c>
      <c r="CS201" s="494">
        <v>100</v>
      </c>
      <c r="CT201" s="495"/>
      <c r="CU201" s="496"/>
      <c r="CV201" s="496"/>
      <c r="CW201" s="496"/>
      <c r="CX201" s="496"/>
      <c r="CY201" s="496"/>
      <c r="CZ201" s="496"/>
      <c r="DA201" s="497"/>
      <c r="DB201" s="528"/>
    </row>
    <row r="202" spans="1:106" ht="19.5" thickBot="1" x14ac:dyDescent="0.35">
      <c r="C202" s="15"/>
      <c r="D202" s="15"/>
      <c r="I202" s="15"/>
      <c r="J202" s="75"/>
      <c r="K202" s="75" t="s">
        <v>17</v>
      </c>
      <c r="L202" s="75"/>
      <c r="M202" s="75"/>
      <c r="N202" s="439">
        <f>SUM(N200:N201)</f>
        <v>36</v>
      </c>
      <c r="O202" s="440">
        <f t="shared" ref="O202:BZ202" si="4">SUM(O200:O201)</f>
        <v>1</v>
      </c>
      <c r="P202" s="440">
        <f t="shared" si="4"/>
        <v>4</v>
      </c>
      <c r="Q202" s="440">
        <f t="shared" si="4"/>
        <v>7</v>
      </c>
      <c r="R202" s="440">
        <f t="shared" si="4"/>
        <v>44</v>
      </c>
      <c r="S202" s="441">
        <f t="shared" si="4"/>
        <v>11</v>
      </c>
      <c r="T202" s="442">
        <f t="shared" si="4"/>
        <v>10</v>
      </c>
      <c r="U202" s="443">
        <f t="shared" si="4"/>
        <v>11</v>
      </c>
      <c r="V202" s="443">
        <f t="shared" si="4"/>
        <v>6</v>
      </c>
      <c r="W202" s="443">
        <f t="shared" si="4"/>
        <v>35</v>
      </c>
      <c r="X202" s="443">
        <f t="shared" si="4"/>
        <v>6</v>
      </c>
      <c r="Y202" s="443">
        <f t="shared" si="4"/>
        <v>32</v>
      </c>
      <c r="Z202" s="443">
        <f t="shared" si="4"/>
        <v>5</v>
      </c>
      <c r="AA202" s="443">
        <f t="shared" si="4"/>
        <v>58</v>
      </c>
      <c r="AB202" s="439">
        <f t="shared" si="4"/>
        <v>5</v>
      </c>
      <c r="AC202" s="440">
        <f t="shared" si="4"/>
        <v>2</v>
      </c>
      <c r="AD202" s="441">
        <f t="shared" si="4"/>
        <v>2</v>
      </c>
      <c r="AE202" s="444">
        <f t="shared" si="4"/>
        <v>1</v>
      </c>
      <c r="AF202" s="442">
        <f t="shared" si="4"/>
        <v>2</v>
      </c>
      <c r="AG202" s="443">
        <f t="shared" si="4"/>
        <v>5</v>
      </c>
      <c r="AH202" s="443">
        <f t="shared" si="4"/>
        <v>2</v>
      </c>
      <c r="AI202" s="443">
        <f t="shared" si="4"/>
        <v>2</v>
      </c>
      <c r="AJ202" s="443">
        <f t="shared" si="4"/>
        <v>11</v>
      </c>
      <c r="AK202" s="443">
        <f t="shared" si="4"/>
        <v>5</v>
      </c>
      <c r="AL202" s="443">
        <f t="shared" si="4"/>
        <v>1</v>
      </c>
      <c r="AM202" s="443">
        <f t="shared" si="4"/>
        <v>2</v>
      </c>
      <c r="AN202" s="416">
        <f t="shared" si="4"/>
        <v>60000</v>
      </c>
      <c r="AO202" s="417">
        <f t="shared" si="4"/>
        <v>8500</v>
      </c>
      <c r="AP202" s="417">
        <f t="shared" si="4"/>
        <v>31000</v>
      </c>
      <c r="AQ202" s="417">
        <f t="shared" si="4"/>
        <v>3000</v>
      </c>
      <c r="AR202" s="417">
        <f t="shared" si="4"/>
        <v>8500</v>
      </c>
      <c r="AS202" s="417">
        <f t="shared" si="4"/>
        <v>15000</v>
      </c>
      <c r="AT202" s="417">
        <f t="shared" si="4"/>
        <v>20500</v>
      </c>
      <c r="AU202" s="417">
        <f t="shared" si="4"/>
        <v>6000</v>
      </c>
      <c r="AV202" s="417">
        <f t="shared" si="4"/>
        <v>11500</v>
      </c>
      <c r="AW202" s="417">
        <f t="shared" si="4"/>
        <v>3000</v>
      </c>
      <c r="AX202" s="417">
        <f t="shared" si="4"/>
        <v>8500</v>
      </c>
      <c r="AY202" s="417">
        <f t="shared" si="4"/>
        <v>1500</v>
      </c>
      <c r="AZ202" s="417">
        <f t="shared" si="4"/>
        <v>56500</v>
      </c>
      <c r="BA202" s="417">
        <f t="shared" si="4"/>
        <v>20500</v>
      </c>
      <c r="BB202" s="417">
        <f t="shared" si="4"/>
        <v>6500</v>
      </c>
      <c r="BC202" s="417">
        <f t="shared" si="4"/>
        <v>3000</v>
      </c>
      <c r="BD202" s="417">
        <f t="shared" si="4"/>
        <v>39500</v>
      </c>
      <c r="BE202" s="417">
        <f t="shared" si="4"/>
        <v>25500</v>
      </c>
      <c r="BF202" s="418">
        <f t="shared" si="4"/>
        <v>1500</v>
      </c>
      <c r="BG202" s="445">
        <f t="shared" si="4"/>
        <v>400</v>
      </c>
      <c r="BH202" s="446">
        <f t="shared" si="4"/>
        <v>50</v>
      </c>
      <c r="BI202" s="446">
        <f t="shared" si="4"/>
        <v>210</v>
      </c>
      <c r="BJ202" s="446">
        <f t="shared" si="4"/>
        <v>20</v>
      </c>
      <c r="BK202" s="446">
        <f t="shared" si="4"/>
        <v>50</v>
      </c>
      <c r="BL202" s="446">
        <f t="shared" si="4"/>
        <v>100</v>
      </c>
      <c r="BM202" s="446">
        <f t="shared" si="4"/>
        <v>140</v>
      </c>
      <c r="BN202" s="446">
        <f t="shared" si="4"/>
        <v>40</v>
      </c>
      <c r="BO202" s="446">
        <f t="shared" si="4"/>
        <v>80</v>
      </c>
      <c r="BP202" s="446">
        <f t="shared" si="4"/>
        <v>20</v>
      </c>
      <c r="BQ202" s="446">
        <f t="shared" si="4"/>
        <v>50</v>
      </c>
      <c r="BR202" s="446">
        <f t="shared" si="4"/>
        <v>10</v>
      </c>
      <c r="BS202" s="446">
        <f t="shared" si="4"/>
        <v>380</v>
      </c>
      <c r="BT202" s="446">
        <f t="shared" si="4"/>
        <v>140</v>
      </c>
      <c r="BU202" s="446">
        <f t="shared" si="4"/>
        <v>40</v>
      </c>
      <c r="BV202" s="446">
        <f t="shared" si="4"/>
        <v>20</v>
      </c>
      <c r="BW202" s="446">
        <f t="shared" si="4"/>
        <v>260</v>
      </c>
      <c r="BX202" s="446">
        <f t="shared" si="4"/>
        <v>170</v>
      </c>
      <c r="BY202" s="447">
        <f t="shared" si="4"/>
        <v>10</v>
      </c>
      <c r="BZ202" s="448">
        <f t="shared" si="4"/>
        <v>3</v>
      </c>
      <c r="CA202" s="449">
        <f t="shared" ref="CA202:DC202" si="5">SUM(CA200:CA201)</f>
        <v>1</v>
      </c>
      <c r="CB202" s="449">
        <f t="shared" si="5"/>
        <v>7</v>
      </c>
      <c r="CC202" s="449">
        <f t="shared" si="5"/>
        <v>1</v>
      </c>
      <c r="CD202" s="449">
        <f t="shared" si="5"/>
        <v>2</v>
      </c>
      <c r="CE202" s="449">
        <f t="shared" si="5"/>
        <v>2</v>
      </c>
      <c r="CF202" s="449">
        <f t="shared" si="5"/>
        <v>5</v>
      </c>
      <c r="CG202" s="450">
        <f t="shared" si="5"/>
        <v>20</v>
      </c>
      <c r="CH202" s="451">
        <f t="shared" si="5"/>
        <v>30</v>
      </c>
      <c r="CI202" s="451">
        <f t="shared" si="5"/>
        <v>12</v>
      </c>
      <c r="CJ202" s="451">
        <f t="shared" si="5"/>
        <v>134</v>
      </c>
      <c r="CK202" s="451">
        <f t="shared" si="5"/>
        <v>90</v>
      </c>
      <c r="CL202" s="451">
        <f t="shared" si="5"/>
        <v>18</v>
      </c>
      <c r="CM202" s="451">
        <f t="shared" si="5"/>
        <v>134</v>
      </c>
      <c r="CN202" s="452">
        <f t="shared" si="5"/>
        <v>140</v>
      </c>
      <c r="CO202" s="453">
        <f t="shared" si="5"/>
        <v>150</v>
      </c>
      <c r="CP202" s="453">
        <f t="shared" si="5"/>
        <v>60</v>
      </c>
      <c r="CQ202" s="453">
        <f t="shared" si="5"/>
        <v>660</v>
      </c>
      <c r="CR202" s="453">
        <f t="shared" si="5"/>
        <v>450</v>
      </c>
      <c r="CS202" s="526">
        <f t="shared" si="5"/>
        <v>770</v>
      </c>
      <c r="CT202" s="454">
        <f t="shared" si="5"/>
        <v>12</v>
      </c>
      <c r="CU202" s="455">
        <f t="shared" si="5"/>
        <v>13</v>
      </c>
      <c r="CV202" s="455">
        <f t="shared" si="5"/>
        <v>6</v>
      </c>
      <c r="CW202" s="455">
        <f t="shared" si="5"/>
        <v>7</v>
      </c>
      <c r="CX202" s="455">
        <f t="shared" si="5"/>
        <v>77</v>
      </c>
      <c r="CY202" s="455">
        <f t="shared" si="5"/>
        <v>13</v>
      </c>
      <c r="CZ202" s="455">
        <f t="shared" si="5"/>
        <v>9</v>
      </c>
      <c r="DA202" s="456">
        <f t="shared" si="5"/>
        <v>58</v>
      </c>
      <c r="DB202" s="529">
        <f t="shared" si="5"/>
        <v>195</v>
      </c>
    </row>
    <row r="204" spans="1:106" ht="15.95" customHeight="1" x14ac:dyDescent="0.25">
      <c r="N204" s="457">
        <f>SUM(N202:S202)</f>
        <v>103</v>
      </c>
      <c r="O204" t="s">
        <v>4140</v>
      </c>
      <c r="T204" s="457">
        <f>SUM(T202:AA202)</f>
        <v>163</v>
      </c>
      <c r="U204" t="s">
        <v>4139</v>
      </c>
      <c r="AB204" s="536">
        <f>SUM(AB202:AD202)</f>
        <v>9</v>
      </c>
      <c r="AC204" s="535" t="s">
        <v>4138</v>
      </c>
      <c r="AD204" s="535"/>
      <c r="AF204" s="457">
        <f>SUM(AF202:AM202)</f>
        <v>30</v>
      </c>
      <c r="AG204" t="s">
        <v>4137</v>
      </c>
      <c r="AN204" s="534">
        <f>SUM(AN202:BF202)</f>
        <v>330000</v>
      </c>
      <c r="AO204" s="534"/>
      <c r="AP204" t="s">
        <v>4136</v>
      </c>
      <c r="BG204" s="534">
        <f>SUM(BG202:BY202)</f>
        <v>2190</v>
      </c>
      <c r="BH204" s="534"/>
      <c r="BI204" t="s">
        <v>4133</v>
      </c>
      <c r="BZ204" s="458">
        <f>SUM(BZ202:CF202)</f>
        <v>21</v>
      </c>
      <c r="CA204" t="s">
        <v>4225</v>
      </c>
      <c r="CG204" s="457">
        <f>SUM(CG202:CM202)</f>
        <v>438</v>
      </c>
      <c r="CH204" t="s">
        <v>4134</v>
      </c>
      <c r="CN204" s="534">
        <f>(SUM(CN202:CS202))-CO205</f>
        <v>1510</v>
      </c>
      <c r="CO204" s="534"/>
      <c r="CP204" t="s">
        <v>4224</v>
      </c>
      <c r="CT204" s="457">
        <f>SUM(CT202:DA202)</f>
        <v>195</v>
      </c>
      <c r="CU204" t="s">
        <v>4135</v>
      </c>
    </row>
    <row r="205" spans="1:106" x14ac:dyDescent="0.25">
      <c r="AB205" s="536"/>
      <c r="AC205" s="535"/>
      <c r="AD205" s="535"/>
      <c r="CO205" s="457">
        <f>SUM(CP202:CQ202)</f>
        <v>720</v>
      </c>
      <c r="CP205" t="s">
        <v>4227</v>
      </c>
    </row>
    <row r="206" spans="1:106" x14ac:dyDescent="0.25">
      <c r="AB206" s="504"/>
      <c r="AC206" s="503"/>
      <c r="AD206" s="503"/>
    </row>
    <row r="207" spans="1:106" x14ac:dyDescent="0.25">
      <c r="AB207" s="504"/>
      <c r="AC207" s="503"/>
      <c r="AD207" s="503"/>
    </row>
  </sheetData>
  <mergeCells count="6">
    <mergeCell ref="DB3:DB4"/>
    <mergeCell ref="AB204:AB205"/>
    <mergeCell ref="AC204:AD205"/>
    <mergeCell ref="AN204:AO204"/>
    <mergeCell ref="BG204:BH204"/>
    <mergeCell ref="CN204:CO204"/>
  </mergeCells>
  <conditionalFormatting sqref="A5:XFD199">
    <cfRule type="expression" dxfId="5" priority="1">
      <formula>ISODD(ROW())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553"/>
  <sheetViews>
    <sheetView topLeftCell="G1" zoomScale="90" zoomScaleNormal="90" workbookViewId="0">
      <pane ySplit="4" topLeftCell="A186" activePane="bottomLeft" state="frozen"/>
      <selection activeCell="M16" sqref="M16"/>
      <selection pane="bottomLeft" activeCell="CX5" sqref="CX5:DE199"/>
    </sheetView>
  </sheetViews>
  <sheetFormatPr defaultColWidth="8.875" defaultRowHeight="15.75" x14ac:dyDescent="0.25"/>
  <cols>
    <col min="1" max="1" width="16.5" customWidth="1"/>
    <col min="4" max="4" width="15.875" customWidth="1"/>
    <col min="5" max="5" width="14.875" customWidth="1"/>
    <col min="6" max="6" width="16.75" customWidth="1"/>
    <col min="7" max="7" width="9.25" customWidth="1"/>
    <col min="10" max="10" width="9.75" customWidth="1"/>
    <col min="11" max="11" width="15" customWidth="1"/>
    <col min="12" max="12" width="18.5" customWidth="1"/>
    <col min="13" max="13" width="9.75" customWidth="1"/>
    <col min="14" max="31" width="8" style="15" hidden="1" customWidth="1"/>
    <col min="32" max="32" width="11.875" style="15" hidden="1" customWidth="1"/>
    <col min="33" max="35" width="9.875" hidden="1" customWidth="1"/>
    <col min="36" max="51" width="8.875" hidden="1" customWidth="1"/>
    <col min="52" max="57" width="12.75" hidden="1" customWidth="1"/>
    <col min="58" max="69" width="14.5" hidden="1" customWidth="1"/>
    <col min="70" max="78" width="8.875" hidden="1" customWidth="1"/>
    <col min="79" max="101" width="10.5" hidden="1" customWidth="1"/>
    <col min="102" max="108" width="10.5" customWidth="1"/>
  </cols>
  <sheetData>
    <row r="1" spans="1:112" x14ac:dyDescent="0.25">
      <c r="V1" s="15">
        <v>1500</v>
      </c>
    </row>
    <row r="2" spans="1:112" ht="89.1" customHeight="1" thickBot="1" x14ac:dyDescent="0.3">
      <c r="N2" t="s">
        <v>4031</v>
      </c>
      <c r="AG2" t="s">
        <v>4029</v>
      </c>
      <c r="AZ2" t="s">
        <v>4063</v>
      </c>
      <c r="BF2" t="s">
        <v>4070</v>
      </c>
      <c r="BO2" t="s">
        <v>4082</v>
      </c>
      <c r="BR2" t="s">
        <v>4092</v>
      </c>
      <c r="CA2" t="s">
        <v>4096</v>
      </c>
      <c r="CI2" t="s">
        <v>4101</v>
      </c>
      <c r="CR2" t="s">
        <v>4116</v>
      </c>
      <c r="CX2" t="s">
        <v>4127</v>
      </c>
      <c r="DD2" t="s">
        <v>4132</v>
      </c>
    </row>
    <row r="3" spans="1:112" ht="57" customHeight="1" thickBot="1" x14ac:dyDescent="0.35">
      <c r="A3" s="6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130" t="s">
        <v>4009</v>
      </c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26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8"/>
      <c r="AV3" s="118"/>
      <c r="AW3" s="118"/>
      <c r="AX3" s="118"/>
      <c r="AY3" s="112"/>
      <c r="AZ3" s="113"/>
      <c r="BA3" s="113"/>
      <c r="BB3" s="113"/>
      <c r="BC3" s="113"/>
      <c r="BD3" s="113"/>
      <c r="BE3" s="168"/>
      <c r="BF3" s="176"/>
      <c r="BG3" s="177"/>
      <c r="BH3" s="177"/>
      <c r="BI3" s="177"/>
      <c r="BJ3" s="177"/>
      <c r="BK3" s="177"/>
      <c r="BL3" s="177"/>
      <c r="BM3" s="177"/>
      <c r="BN3" s="212"/>
      <c r="BO3" s="197"/>
      <c r="BP3" s="198"/>
      <c r="BQ3" s="223"/>
      <c r="BR3" s="176"/>
      <c r="BS3" s="177"/>
      <c r="BT3" s="177"/>
      <c r="BU3" s="177"/>
      <c r="BV3" s="177"/>
      <c r="BW3" s="177"/>
      <c r="BX3" s="177"/>
      <c r="BY3" s="177"/>
      <c r="BZ3" s="212"/>
      <c r="CA3" s="241"/>
      <c r="CB3" s="242"/>
      <c r="CC3" s="242"/>
      <c r="CD3" s="242"/>
      <c r="CE3" s="242"/>
      <c r="CF3" s="242"/>
      <c r="CG3" s="242"/>
      <c r="CH3" s="260"/>
      <c r="CI3" s="330"/>
      <c r="CJ3" s="331"/>
      <c r="CK3" s="331"/>
      <c r="CL3" s="331"/>
      <c r="CM3" s="331"/>
      <c r="CN3" s="331"/>
      <c r="CO3" s="331"/>
      <c r="CP3" s="331"/>
      <c r="CQ3" s="346"/>
      <c r="CR3" s="379" t="s">
        <v>4126</v>
      </c>
      <c r="CS3" s="380" t="s">
        <v>4118</v>
      </c>
      <c r="CT3" s="380" t="s">
        <v>3844</v>
      </c>
      <c r="CU3" s="381">
        <v>9.99</v>
      </c>
      <c r="CV3" s="380" t="s">
        <v>4119</v>
      </c>
      <c r="CW3" s="390" t="s">
        <v>4117</v>
      </c>
      <c r="CX3" s="498" t="s">
        <v>4126</v>
      </c>
      <c r="CY3" s="499" t="s">
        <v>4118</v>
      </c>
      <c r="CZ3" s="499" t="s">
        <v>3844</v>
      </c>
      <c r="DA3" s="511" t="s">
        <v>4229</v>
      </c>
      <c r="DB3" s="511" t="s">
        <v>4230</v>
      </c>
      <c r="DC3" s="499" t="s">
        <v>4119</v>
      </c>
      <c r="DD3" s="512" t="s">
        <v>4231</v>
      </c>
      <c r="DE3" s="512" t="s">
        <v>4232</v>
      </c>
      <c r="DF3" s="513"/>
      <c r="DG3" s="141"/>
      <c r="DH3" s="141"/>
    </row>
    <row r="4" spans="1:112" ht="45" thickBot="1" x14ac:dyDescent="0.3">
      <c r="A4" s="106" t="s">
        <v>4</v>
      </c>
      <c r="B4" s="107" t="s">
        <v>5</v>
      </c>
      <c r="C4" s="107" t="s">
        <v>6</v>
      </c>
      <c r="D4" s="108" t="s">
        <v>3725</v>
      </c>
      <c r="E4" s="107" t="s">
        <v>8</v>
      </c>
      <c r="F4" s="107" t="s">
        <v>9</v>
      </c>
      <c r="G4" s="107" t="s">
        <v>10</v>
      </c>
      <c r="H4" s="107" t="s">
        <v>11</v>
      </c>
      <c r="I4" s="107" t="s">
        <v>12</v>
      </c>
      <c r="J4" s="107" t="s">
        <v>13</v>
      </c>
      <c r="K4" s="109" t="s">
        <v>14</v>
      </c>
      <c r="L4" s="110" t="s">
        <v>4008</v>
      </c>
      <c r="M4" s="110" t="s">
        <v>3732</v>
      </c>
      <c r="N4" s="357" t="s">
        <v>4011</v>
      </c>
      <c r="O4" s="357" t="s">
        <v>4018</v>
      </c>
      <c r="P4" s="357" t="s">
        <v>4020</v>
      </c>
      <c r="Q4" s="358" t="s">
        <v>4013</v>
      </c>
      <c r="R4" s="358" t="s">
        <v>4022</v>
      </c>
      <c r="S4" s="358" t="s">
        <v>4016</v>
      </c>
      <c r="T4" s="358" t="s">
        <v>3839</v>
      </c>
      <c r="U4" s="358" t="s">
        <v>3929</v>
      </c>
      <c r="V4" s="358" t="s">
        <v>3951</v>
      </c>
      <c r="W4" s="358" t="s">
        <v>3955</v>
      </c>
      <c r="X4" s="358" t="s">
        <v>3845</v>
      </c>
      <c r="Y4" s="358" t="s">
        <v>3945</v>
      </c>
      <c r="Z4" s="358" t="s">
        <v>3739</v>
      </c>
      <c r="AA4" s="358" t="s">
        <v>3802</v>
      </c>
      <c r="AB4" s="358" t="s">
        <v>3963</v>
      </c>
      <c r="AC4" s="358" t="s">
        <v>3851</v>
      </c>
      <c r="AD4" s="358" t="s">
        <v>3776</v>
      </c>
      <c r="AE4" s="358" t="s">
        <v>3969</v>
      </c>
      <c r="AF4" s="359" t="s">
        <v>3828</v>
      </c>
      <c r="AG4" s="360" t="s">
        <v>4043</v>
      </c>
      <c r="AH4" s="360" t="s">
        <v>4044</v>
      </c>
      <c r="AI4" s="360" t="s">
        <v>4045</v>
      </c>
      <c r="AJ4" s="360" t="s">
        <v>4046</v>
      </c>
      <c r="AK4" s="360" t="s">
        <v>4047</v>
      </c>
      <c r="AL4" s="360" t="s">
        <v>4048</v>
      </c>
      <c r="AM4" s="360" t="s">
        <v>4049</v>
      </c>
      <c r="AN4" s="360" t="s">
        <v>4050</v>
      </c>
      <c r="AO4" s="360" t="s">
        <v>4051</v>
      </c>
      <c r="AP4" s="360" t="s">
        <v>4052</v>
      </c>
      <c r="AQ4" s="360" t="s">
        <v>4053</v>
      </c>
      <c r="AR4" s="360" t="s">
        <v>4054</v>
      </c>
      <c r="AS4" s="360" t="s">
        <v>4055</v>
      </c>
      <c r="AT4" s="360" t="s">
        <v>4056</v>
      </c>
      <c r="AU4" s="360" t="s">
        <v>4057</v>
      </c>
      <c r="AV4" s="360" t="s">
        <v>4058</v>
      </c>
      <c r="AW4" s="360" t="s">
        <v>4059</v>
      </c>
      <c r="AX4" s="360" t="s">
        <v>4060</v>
      </c>
      <c r="AY4" s="361" t="s">
        <v>4061</v>
      </c>
      <c r="AZ4" s="164" t="s">
        <v>4066</v>
      </c>
      <c r="BA4" s="164" t="s">
        <v>4065</v>
      </c>
      <c r="BB4" s="164" t="s">
        <v>4067</v>
      </c>
      <c r="BC4" s="164" t="s">
        <v>4068</v>
      </c>
      <c r="BD4" s="164" t="s">
        <v>4064</v>
      </c>
      <c r="BE4" s="164" t="s">
        <v>4069</v>
      </c>
      <c r="BF4" s="195" t="s">
        <v>4073</v>
      </c>
      <c r="BG4" s="196" t="s">
        <v>4074</v>
      </c>
      <c r="BH4" s="196" t="s">
        <v>4072</v>
      </c>
      <c r="BI4" s="196" t="s">
        <v>4075</v>
      </c>
      <c r="BJ4" s="196" t="s">
        <v>4071</v>
      </c>
      <c r="BK4" s="196" t="s">
        <v>4076</v>
      </c>
      <c r="BL4" s="196" t="s">
        <v>4077</v>
      </c>
      <c r="BM4" s="196" t="s">
        <v>4078</v>
      </c>
      <c r="BN4" s="213" t="s">
        <v>4062</v>
      </c>
      <c r="BO4" s="221" t="s">
        <v>4079</v>
      </c>
      <c r="BP4" s="222" t="s">
        <v>4080</v>
      </c>
      <c r="BQ4" s="224" t="s">
        <v>4081</v>
      </c>
      <c r="BR4" s="178" t="s">
        <v>4083</v>
      </c>
      <c r="BS4" s="179" t="s">
        <v>4084</v>
      </c>
      <c r="BT4" s="179" t="s">
        <v>4085</v>
      </c>
      <c r="BU4" s="179" t="s">
        <v>4086</v>
      </c>
      <c r="BV4" s="179" t="s">
        <v>4087</v>
      </c>
      <c r="BW4" s="179" t="s">
        <v>4088</v>
      </c>
      <c r="BX4" s="179" t="s">
        <v>4089</v>
      </c>
      <c r="BY4" s="179" t="s">
        <v>4090</v>
      </c>
      <c r="BZ4" s="235" t="s">
        <v>4091</v>
      </c>
      <c r="CA4" s="249" t="s">
        <v>4093</v>
      </c>
      <c r="CB4" s="250" t="s">
        <v>4094</v>
      </c>
      <c r="CC4" s="250" t="s">
        <v>4102</v>
      </c>
      <c r="CD4" s="250" t="s">
        <v>4103</v>
      </c>
      <c r="CE4" s="250" t="s">
        <v>4104</v>
      </c>
      <c r="CF4" s="250" t="s">
        <v>4105</v>
      </c>
      <c r="CG4" s="250" t="s">
        <v>4106</v>
      </c>
      <c r="CH4" s="345" t="s">
        <v>4107</v>
      </c>
      <c r="CI4" s="354" t="s">
        <v>4108</v>
      </c>
      <c r="CJ4" s="355" t="s">
        <v>4109</v>
      </c>
      <c r="CK4" s="355" t="s">
        <v>4110</v>
      </c>
      <c r="CL4" s="355" t="s">
        <v>4111</v>
      </c>
      <c r="CM4" s="355" t="s">
        <v>4112</v>
      </c>
      <c r="CN4" s="355" t="s">
        <v>4113</v>
      </c>
      <c r="CO4" s="355" t="s">
        <v>4114</v>
      </c>
      <c r="CP4" s="355" t="s">
        <v>4115</v>
      </c>
      <c r="CQ4" s="362" t="s">
        <v>4095</v>
      </c>
      <c r="CR4" s="382" t="s">
        <v>4121</v>
      </c>
      <c r="CS4" s="383" t="s">
        <v>4122</v>
      </c>
      <c r="CT4" s="383" t="s">
        <v>4123</v>
      </c>
      <c r="CU4" s="383" t="s">
        <v>4124</v>
      </c>
      <c r="CV4" s="383" t="s">
        <v>4125</v>
      </c>
      <c r="CW4" s="391" t="s">
        <v>4120</v>
      </c>
      <c r="CX4" s="507" t="s">
        <v>4128</v>
      </c>
      <c r="CY4" s="508" t="s">
        <v>4129</v>
      </c>
      <c r="CZ4" s="508" t="s">
        <v>4130</v>
      </c>
      <c r="DA4" s="508" t="s">
        <v>4233</v>
      </c>
      <c r="DB4" s="508" t="s">
        <v>4234</v>
      </c>
      <c r="DC4" s="508" t="s">
        <v>4131</v>
      </c>
      <c r="DD4" s="509" t="s">
        <v>4235</v>
      </c>
      <c r="DE4" s="509" t="s">
        <v>4066</v>
      </c>
      <c r="DF4" s="510" t="s">
        <v>4236</v>
      </c>
      <c r="DG4" s="142" t="s">
        <v>2</v>
      </c>
      <c r="DH4" s="142" t="s">
        <v>3</v>
      </c>
    </row>
    <row r="5" spans="1:112" x14ac:dyDescent="0.25">
      <c r="A5" s="15" t="s">
        <v>41</v>
      </c>
      <c r="B5" s="15">
        <v>813</v>
      </c>
      <c r="C5" s="15" t="s">
        <v>434</v>
      </c>
      <c r="D5" s="15">
        <v>41</v>
      </c>
      <c r="E5" s="15" t="s">
        <v>435</v>
      </c>
      <c r="F5" s="15" t="s">
        <v>2990</v>
      </c>
      <c r="G5" s="15" t="s">
        <v>437</v>
      </c>
      <c r="H5" s="15" t="s">
        <v>438</v>
      </c>
      <c r="I5" s="15" t="s">
        <v>46</v>
      </c>
      <c r="J5" s="15" t="s">
        <v>439</v>
      </c>
      <c r="K5" s="15" t="s">
        <v>440</v>
      </c>
      <c r="L5" s="15" t="s">
        <v>3775</v>
      </c>
      <c r="M5" s="15" t="s">
        <v>3776</v>
      </c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>
        <v>1500</v>
      </c>
      <c r="AE5" s="70"/>
      <c r="AF5" s="70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>
        <v>10</v>
      </c>
      <c r="AX5" s="71"/>
      <c r="AY5" s="71"/>
      <c r="AZ5" s="131">
        <f>VLOOKUP(Table7[[#This Row],[Vlookup Store '#]],'Kiosk Stickers'!A$4:$H$538,2,FALSE)</f>
        <v>0</v>
      </c>
      <c r="BA5" s="131">
        <f>VLOOKUP(Table7[[#This Row],[Vlookup Store '#]],'Kiosk Stickers'!A$4:$H$538,2,FALSE)</f>
        <v>0</v>
      </c>
      <c r="BB5" s="131" t="e">
        <f>VLOOKUP(Table7[[#This Row],[General Manager]],'Kiosk Stickers'!C$4:$H$538,2,FALSE)</f>
        <v>#N/A</v>
      </c>
      <c r="BC5" s="131" t="e">
        <f>VLOOKUP(Table7[[#This Row],[Address]],'Kiosk Stickers'!D$4:$H$538,2,FALSE)</f>
        <v>#N/A</v>
      </c>
      <c r="BD5" s="131" t="e">
        <f>VLOOKUP(Table7[[#This Row],[City]],'Kiosk Stickers'!E$4:$H$538,2,FALSE)</f>
        <v>#N/A</v>
      </c>
      <c r="BE5" s="169" t="e">
        <f>VLOOKUP(Table7[[#This Row],[State]],'Kiosk Stickers'!F$4:$H$538,2,FALSE)</f>
        <v>#N/A</v>
      </c>
      <c r="BF5" s="182">
        <f>VLOOKUP(Table7[[#This Row],[Vlookup Store '#]],'Kiosk Stickers'!A$4:$H$538,3,FALSE)</f>
        <v>0</v>
      </c>
      <c r="BG5" s="183"/>
      <c r="BH5" s="183"/>
      <c r="BI5" s="183"/>
      <c r="BJ5" s="183"/>
      <c r="BK5" s="183"/>
      <c r="BL5" s="183"/>
      <c r="BM5" s="183"/>
      <c r="BN5" s="214"/>
      <c r="BO5" s="205">
        <f>VLOOKUP(Table7[[#This Row],[Vlookup Store '#]],'Kiosk Stickers'!A$4:$H$538,4,FALSE)</f>
        <v>0</v>
      </c>
      <c r="BP5" s="206"/>
      <c r="BQ5" s="225"/>
      <c r="BR5" s="228"/>
      <c r="BS5" s="175"/>
      <c r="BT5" s="175"/>
      <c r="BU5" s="175"/>
      <c r="BV5" s="175">
        <f>VLOOKUP(Table7[[#This Row],[Vlookup Store '#]],'Kiosk Stickers'!A$4:$H$538,5,FALSE)</f>
        <v>1</v>
      </c>
      <c r="BW5" s="175"/>
      <c r="BX5" s="175"/>
      <c r="BY5" s="175"/>
      <c r="BZ5" s="236"/>
      <c r="CA5" s="248"/>
      <c r="CB5" s="232"/>
      <c r="CC5" s="232"/>
      <c r="CD5" s="232"/>
      <c r="CE5" s="232"/>
      <c r="CF5" s="232"/>
      <c r="CG5" s="232"/>
      <c r="CH5" s="261"/>
      <c r="CI5" s="352"/>
      <c r="CJ5" s="353"/>
      <c r="CK5" s="353"/>
      <c r="CL5" s="353"/>
      <c r="CM5" s="353"/>
      <c r="CN5" s="353">
        <v>2</v>
      </c>
      <c r="CO5" s="353"/>
      <c r="CP5" s="353"/>
      <c r="CQ5" s="363"/>
      <c r="CR5" s="377"/>
      <c r="CS5" s="378"/>
      <c r="CT5" s="378"/>
      <c r="CU5" s="378"/>
      <c r="CV5" s="378">
        <v>10</v>
      </c>
      <c r="CW5" s="386"/>
      <c r="CX5" s="395"/>
      <c r="CY5" s="396"/>
      <c r="CZ5" s="396"/>
      <c r="DA5" s="396"/>
      <c r="DB5" s="396">
        <v>1</v>
      </c>
      <c r="DC5" s="397"/>
      <c r="DD5" s="397"/>
      <c r="DE5" s="514"/>
      <c r="DF5" s="514">
        <f>SUM(CX5:DE5)</f>
        <v>1</v>
      </c>
      <c r="DG5" s="144"/>
      <c r="DH5" s="143"/>
    </row>
    <row r="6" spans="1:112" x14ac:dyDescent="0.25">
      <c r="A6" s="15" t="s">
        <v>41</v>
      </c>
      <c r="B6" s="15">
        <v>813</v>
      </c>
      <c r="C6" s="15" t="s">
        <v>42</v>
      </c>
      <c r="D6" s="15">
        <v>42</v>
      </c>
      <c r="E6" s="15" t="s">
        <v>43</v>
      </c>
      <c r="F6" s="15" t="s">
        <v>441</v>
      </c>
      <c r="G6" s="15" t="s">
        <v>44</v>
      </c>
      <c r="H6" s="15" t="s">
        <v>45</v>
      </c>
      <c r="I6" s="15" t="s">
        <v>46</v>
      </c>
      <c r="J6" s="15" t="s">
        <v>47</v>
      </c>
      <c r="K6" s="15" t="s">
        <v>48</v>
      </c>
      <c r="L6" s="15" t="s">
        <v>3775</v>
      </c>
      <c r="M6" s="15" t="s">
        <v>3776</v>
      </c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>
        <v>1500</v>
      </c>
      <c r="AE6" s="70"/>
      <c r="AF6" s="70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>
        <v>10</v>
      </c>
      <c r="AX6" s="71"/>
      <c r="AY6" s="71"/>
      <c r="AZ6" s="131">
        <f>VLOOKUP(Table7[[#This Row],[Vlookup Store '#]],'Kiosk Stickers'!A$4:$H$538,2,FALSE)</f>
        <v>0</v>
      </c>
      <c r="BA6" s="131"/>
      <c r="BB6" s="131"/>
      <c r="BC6" s="131"/>
      <c r="BD6" s="131"/>
      <c r="BE6" s="169"/>
      <c r="BF6" s="184">
        <f>VLOOKUP(Table7[[#This Row],[Vlookup Store '#]],'Kiosk Stickers'!A$4:$H$538,3,FALSE)</f>
        <v>0</v>
      </c>
      <c r="BG6" s="173"/>
      <c r="BH6" s="173"/>
      <c r="BI6" s="173"/>
      <c r="BJ6" s="173"/>
      <c r="BK6" s="173"/>
      <c r="BL6" s="173"/>
      <c r="BM6" s="173"/>
      <c r="BN6" s="215"/>
      <c r="BO6" s="199">
        <f>VLOOKUP(Table7[[#This Row],[Vlookup Store '#]],'Kiosk Stickers'!A$4:$H$538,4,FALSE)</f>
        <v>0</v>
      </c>
      <c r="BP6" s="171"/>
      <c r="BQ6" s="226"/>
      <c r="BR6" s="194"/>
      <c r="BS6" s="173"/>
      <c r="BT6" s="173"/>
      <c r="BU6" s="173"/>
      <c r="BV6" s="173">
        <f>VLOOKUP(Table7[[#This Row],[Vlookup Store '#]],'Kiosk Stickers'!A$4:$H$538,5,FALSE)</f>
        <v>1</v>
      </c>
      <c r="BW6" s="173"/>
      <c r="BX6" s="173"/>
      <c r="BY6" s="173"/>
      <c r="BZ6" s="215"/>
      <c r="CA6" s="243"/>
      <c r="CB6" s="233"/>
      <c r="CC6" s="233"/>
      <c r="CD6" s="233"/>
      <c r="CE6" s="233"/>
      <c r="CF6" s="233"/>
      <c r="CG6" s="233"/>
      <c r="CH6" s="262"/>
      <c r="CI6" s="351"/>
      <c r="CJ6" s="350"/>
      <c r="CK6" s="350"/>
      <c r="CL6" s="350"/>
      <c r="CM6" s="350"/>
      <c r="CN6" s="353">
        <v>2</v>
      </c>
      <c r="CO6" s="350"/>
      <c r="CP6" s="350"/>
      <c r="CQ6" s="364"/>
      <c r="CR6" s="370"/>
      <c r="CS6" s="367"/>
      <c r="CT6" s="367"/>
      <c r="CU6" s="367"/>
      <c r="CV6" s="378">
        <v>10</v>
      </c>
      <c r="CW6" s="387"/>
      <c r="CX6" s="398"/>
      <c r="CY6" s="399"/>
      <c r="CZ6" s="399"/>
      <c r="DA6" s="399"/>
      <c r="DB6" s="396">
        <v>1</v>
      </c>
      <c r="DC6" s="400"/>
      <c r="DD6" s="400"/>
      <c r="DE6" s="514"/>
      <c r="DF6" s="514">
        <f t="shared" ref="DF6:DF69" si="0">SUM(CX6:DE6)</f>
        <v>1</v>
      </c>
      <c r="DG6" s="144"/>
      <c r="DH6" s="143"/>
    </row>
    <row r="7" spans="1:112" x14ac:dyDescent="0.25">
      <c r="A7" s="15" t="s">
        <v>41</v>
      </c>
      <c r="B7" s="15">
        <v>813</v>
      </c>
      <c r="C7" s="15" t="s">
        <v>442</v>
      </c>
      <c r="D7" s="15">
        <v>43</v>
      </c>
      <c r="E7" s="15" t="s">
        <v>443</v>
      </c>
      <c r="F7" s="15" t="s">
        <v>2954</v>
      </c>
      <c r="G7" s="15" t="s">
        <v>444</v>
      </c>
      <c r="H7" s="15" t="s">
        <v>144</v>
      </c>
      <c r="I7" s="15" t="s">
        <v>46</v>
      </c>
      <c r="J7" s="15" t="s">
        <v>445</v>
      </c>
      <c r="K7" s="15" t="s">
        <v>446</v>
      </c>
      <c r="L7" s="15" t="s">
        <v>3775</v>
      </c>
      <c r="M7" s="15" t="s">
        <v>3776</v>
      </c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>
        <v>1500</v>
      </c>
      <c r="AE7" s="70"/>
      <c r="AF7" s="70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>
        <v>10</v>
      </c>
      <c r="AX7" s="71"/>
      <c r="AY7" s="71"/>
      <c r="AZ7" s="131">
        <f>VLOOKUP(Table7[[#This Row],[Vlookup Store '#]],'Kiosk Stickers'!A$4:$H$538,2,FALSE)</f>
        <v>0</v>
      </c>
      <c r="BA7" s="131"/>
      <c r="BB7" s="131"/>
      <c r="BC7" s="131"/>
      <c r="BD7" s="131"/>
      <c r="BE7" s="169"/>
      <c r="BF7" s="184">
        <f>VLOOKUP(Table7[[#This Row],[Vlookup Store '#]],'Kiosk Stickers'!A$4:$H$538,3,FALSE)</f>
        <v>0</v>
      </c>
      <c r="BG7" s="173"/>
      <c r="BH7" s="173"/>
      <c r="BI7" s="173"/>
      <c r="BJ7" s="173"/>
      <c r="BK7" s="173"/>
      <c r="BL7" s="173"/>
      <c r="BM7" s="173"/>
      <c r="BN7" s="215"/>
      <c r="BO7" s="199">
        <f>VLOOKUP(Table7[[#This Row],[Vlookup Store '#]],'Kiosk Stickers'!A$4:$H$538,4,FALSE)</f>
        <v>0</v>
      </c>
      <c r="BP7" s="171"/>
      <c r="BQ7" s="226"/>
      <c r="BR7" s="194"/>
      <c r="BS7" s="173"/>
      <c r="BT7" s="173"/>
      <c r="BU7" s="173"/>
      <c r="BV7" s="173">
        <f>VLOOKUP(Table7[[#This Row],[Vlookup Store '#]],'Kiosk Stickers'!A$4:$H$538,5,FALSE)</f>
        <v>1</v>
      </c>
      <c r="BW7" s="173"/>
      <c r="BX7" s="173"/>
      <c r="BY7" s="173"/>
      <c r="BZ7" s="215"/>
      <c r="CA7" s="243"/>
      <c r="CB7" s="233"/>
      <c r="CC7" s="233"/>
      <c r="CD7" s="233"/>
      <c r="CE7" s="233"/>
      <c r="CF7" s="233"/>
      <c r="CG7" s="233"/>
      <c r="CH7" s="262"/>
      <c r="CI7" s="351"/>
      <c r="CJ7" s="350"/>
      <c r="CK7" s="350"/>
      <c r="CL7" s="350"/>
      <c r="CM7" s="350"/>
      <c r="CN7" s="353">
        <v>2</v>
      </c>
      <c r="CO7" s="350"/>
      <c r="CP7" s="350"/>
      <c r="CQ7" s="364"/>
      <c r="CR7" s="370"/>
      <c r="CS7" s="367"/>
      <c r="CT7" s="367"/>
      <c r="CU7" s="367"/>
      <c r="CV7" s="378">
        <v>10</v>
      </c>
      <c r="CW7" s="387"/>
      <c r="CX7" s="398"/>
      <c r="CY7" s="399"/>
      <c r="CZ7" s="399"/>
      <c r="DA7" s="399"/>
      <c r="DB7" s="396">
        <v>1</v>
      </c>
      <c r="DC7" s="400"/>
      <c r="DD7" s="400"/>
      <c r="DE7" s="514"/>
      <c r="DF7" s="514">
        <f t="shared" si="0"/>
        <v>1</v>
      </c>
      <c r="DG7" s="144"/>
      <c r="DH7" s="143"/>
    </row>
    <row r="8" spans="1:112" x14ac:dyDescent="0.25">
      <c r="A8" s="15" t="s">
        <v>41</v>
      </c>
      <c r="B8" s="15">
        <v>813</v>
      </c>
      <c r="C8" s="15" t="s">
        <v>447</v>
      </c>
      <c r="D8" s="15">
        <v>44</v>
      </c>
      <c r="E8" s="15" t="s">
        <v>448</v>
      </c>
      <c r="F8" s="15" t="s">
        <v>436</v>
      </c>
      <c r="G8" s="15" t="s">
        <v>450</v>
      </c>
      <c r="H8" s="15" t="s">
        <v>451</v>
      </c>
      <c r="I8" s="15" t="s">
        <v>46</v>
      </c>
      <c r="J8" s="15" t="s">
        <v>3082</v>
      </c>
      <c r="K8" s="15" t="s">
        <v>452</v>
      </c>
      <c r="L8" s="15" t="s">
        <v>3775</v>
      </c>
      <c r="M8" s="15" t="s">
        <v>3776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>
        <v>1500</v>
      </c>
      <c r="AE8" s="70"/>
      <c r="AF8" s="70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>
        <v>10</v>
      </c>
      <c r="AX8" s="71"/>
      <c r="AY8" s="71"/>
      <c r="AZ8" s="131">
        <f>VLOOKUP(Table7[[#This Row],[Vlookup Store '#]],'Kiosk Stickers'!A$4:$H$538,2,FALSE)</f>
        <v>0</v>
      </c>
      <c r="BA8" s="131"/>
      <c r="BB8" s="131"/>
      <c r="BC8" s="131"/>
      <c r="BD8" s="131"/>
      <c r="BE8" s="169"/>
      <c r="BF8" s="184">
        <f>VLOOKUP(Table7[[#This Row],[Vlookup Store '#]],'Kiosk Stickers'!A$4:$H$538,3,FALSE)</f>
        <v>0</v>
      </c>
      <c r="BG8" s="173"/>
      <c r="BH8" s="173"/>
      <c r="BI8" s="173"/>
      <c r="BJ8" s="173"/>
      <c r="BK8" s="173"/>
      <c r="BL8" s="173"/>
      <c r="BM8" s="173"/>
      <c r="BN8" s="215"/>
      <c r="BO8" s="199">
        <f>VLOOKUP(Table7[[#This Row],[Vlookup Store '#]],'Kiosk Stickers'!A$4:$H$538,4,FALSE)</f>
        <v>0</v>
      </c>
      <c r="BP8" s="171"/>
      <c r="BQ8" s="226"/>
      <c r="BR8" s="194"/>
      <c r="BS8" s="173"/>
      <c r="BT8" s="173"/>
      <c r="BU8" s="173"/>
      <c r="BV8" s="173">
        <f>VLOOKUP(Table7[[#This Row],[Vlookup Store '#]],'Kiosk Stickers'!A$4:$H$538,5,FALSE)</f>
        <v>1</v>
      </c>
      <c r="BW8" s="173"/>
      <c r="BX8" s="173"/>
      <c r="BY8" s="173"/>
      <c r="BZ8" s="215"/>
      <c r="CA8" s="243"/>
      <c r="CB8" s="233"/>
      <c r="CC8" s="233"/>
      <c r="CD8" s="233"/>
      <c r="CE8" s="233"/>
      <c r="CF8" s="233"/>
      <c r="CG8" s="233"/>
      <c r="CH8" s="262"/>
      <c r="CI8" s="351"/>
      <c r="CJ8" s="350"/>
      <c r="CK8" s="350"/>
      <c r="CL8" s="350"/>
      <c r="CM8" s="350"/>
      <c r="CN8" s="353">
        <v>2</v>
      </c>
      <c r="CO8" s="350"/>
      <c r="CP8" s="350"/>
      <c r="CQ8" s="364"/>
      <c r="CR8" s="370"/>
      <c r="CS8" s="367"/>
      <c r="CT8" s="367"/>
      <c r="CU8" s="367"/>
      <c r="CV8" s="378">
        <v>10</v>
      </c>
      <c r="CW8" s="387"/>
      <c r="CX8" s="398"/>
      <c r="CY8" s="399"/>
      <c r="CZ8" s="399"/>
      <c r="DA8" s="399"/>
      <c r="DB8" s="396">
        <v>1</v>
      </c>
      <c r="DC8" s="400"/>
      <c r="DD8" s="400"/>
      <c r="DE8" s="514"/>
      <c r="DF8" s="514">
        <f t="shared" si="0"/>
        <v>1</v>
      </c>
      <c r="DG8" s="144"/>
      <c r="DH8" s="143"/>
    </row>
    <row r="9" spans="1:112" x14ac:dyDescent="0.25">
      <c r="A9" s="15" t="s">
        <v>41</v>
      </c>
      <c r="B9" s="15">
        <v>813</v>
      </c>
      <c r="C9" s="15" t="s">
        <v>453</v>
      </c>
      <c r="D9" s="15">
        <v>45</v>
      </c>
      <c r="E9" s="15" t="s">
        <v>454</v>
      </c>
      <c r="F9" s="15" t="s">
        <v>449</v>
      </c>
      <c r="G9" s="15" t="s">
        <v>455</v>
      </c>
      <c r="H9" s="15" t="s">
        <v>451</v>
      </c>
      <c r="I9" s="15" t="s">
        <v>46</v>
      </c>
      <c r="J9" s="15" t="s">
        <v>456</v>
      </c>
      <c r="K9" s="15" t="s">
        <v>457</v>
      </c>
      <c r="L9" s="15" t="s">
        <v>3775</v>
      </c>
      <c r="M9" s="15" t="s">
        <v>3776</v>
      </c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>
        <v>1500</v>
      </c>
      <c r="AE9" s="70"/>
      <c r="AF9" s="70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>
        <v>10</v>
      </c>
      <c r="AX9" s="71"/>
      <c r="AY9" s="71"/>
      <c r="AZ9" s="131">
        <f>VLOOKUP(Table7[[#This Row],[Vlookup Store '#]],'Kiosk Stickers'!A$4:$H$538,2,FALSE)</f>
        <v>0</v>
      </c>
      <c r="BA9" s="131"/>
      <c r="BB9" s="131"/>
      <c r="BC9" s="131"/>
      <c r="BD9" s="131"/>
      <c r="BE9" s="169"/>
      <c r="BF9" s="184">
        <f>VLOOKUP(Table7[[#This Row],[Vlookup Store '#]],'Kiosk Stickers'!A$4:$H$538,3,FALSE)</f>
        <v>0</v>
      </c>
      <c r="BG9" s="173"/>
      <c r="BH9" s="173"/>
      <c r="BI9" s="173"/>
      <c r="BJ9" s="173"/>
      <c r="BK9" s="173"/>
      <c r="BL9" s="173"/>
      <c r="BM9" s="173"/>
      <c r="BN9" s="215"/>
      <c r="BO9" s="199">
        <f>VLOOKUP(Table7[[#This Row],[Vlookup Store '#]],'Kiosk Stickers'!A$4:$H$538,4,FALSE)</f>
        <v>0</v>
      </c>
      <c r="BP9" s="171"/>
      <c r="BQ9" s="226"/>
      <c r="BR9" s="194"/>
      <c r="BS9" s="173"/>
      <c r="BT9" s="173"/>
      <c r="BU9" s="173"/>
      <c r="BV9" s="173">
        <f>VLOOKUP(Table7[[#This Row],[Vlookup Store '#]],'Kiosk Stickers'!A$4:$H$538,5,FALSE)</f>
        <v>1</v>
      </c>
      <c r="BW9" s="173"/>
      <c r="BX9" s="173"/>
      <c r="BY9" s="173"/>
      <c r="BZ9" s="215"/>
      <c r="CA9" s="243"/>
      <c r="CB9" s="233"/>
      <c r="CC9" s="233"/>
      <c r="CD9" s="233"/>
      <c r="CE9" s="233"/>
      <c r="CF9" s="233"/>
      <c r="CG9" s="233"/>
      <c r="CH9" s="262"/>
      <c r="CI9" s="351"/>
      <c r="CJ9" s="350"/>
      <c r="CK9" s="350"/>
      <c r="CL9" s="350"/>
      <c r="CM9" s="350"/>
      <c r="CN9" s="353">
        <v>2</v>
      </c>
      <c r="CO9" s="350"/>
      <c r="CP9" s="350"/>
      <c r="CQ9" s="364"/>
      <c r="CR9" s="370"/>
      <c r="CS9" s="367"/>
      <c r="CT9" s="367"/>
      <c r="CU9" s="367"/>
      <c r="CV9" s="378">
        <v>10</v>
      </c>
      <c r="CW9" s="387"/>
      <c r="CX9" s="398"/>
      <c r="CY9" s="399"/>
      <c r="CZ9" s="399"/>
      <c r="DA9" s="399"/>
      <c r="DB9" s="396">
        <v>1</v>
      </c>
      <c r="DC9" s="400"/>
      <c r="DD9" s="400"/>
      <c r="DE9" s="514"/>
      <c r="DF9" s="514">
        <f t="shared" si="0"/>
        <v>1</v>
      </c>
      <c r="DG9" s="144"/>
      <c r="DH9" s="143"/>
    </row>
    <row r="10" spans="1:112" x14ac:dyDescent="0.25">
      <c r="A10" s="15" t="s">
        <v>41</v>
      </c>
      <c r="B10" s="15">
        <v>813</v>
      </c>
      <c r="C10" s="15" t="s">
        <v>458</v>
      </c>
      <c r="D10" s="15">
        <v>46</v>
      </c>
      <c r="E10" s="15" t="s">
        <v>459</v>
      </c>
      <c r="F10" s="15" t="s">
        <v>460</v>
      </c>
      <c r="G10" s="15" t="s">
        <v>461</v>
      </c>
      <c r="H10" s="15" t="s">
        <v>451</v>
      </c>
      <c r="I10" s="15" t="s">
        <v>46</v>
      </c>
      <c r="J10" s="15" t="s">
        <v>462</v>
      </c>
      <c r="K10" s="15" t="s">
        <v>463</v>
      </c>
      <c r="L10" s="15" t="s">
        <v>3775</v>
      </c>
      <c r="M10" s="15" t="s">
        <v>3776</v>
      </c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>
        <v>1500</v>
      </c>
      <c r="AE10" s="70"/>
      <c r="AF10" s="70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>
        <v>10</v>
      </c>
      <c r="AX10" s="71"/>
      <c r="AY10" s="71"/>
      <c r="AZ10" s="131">
        <f>VLOOKUP(Table7[[#This Row],[Vlookup Store '#]],'Kiosk Stickers'!A$4:$H$538,2,FALSE)</f>
        <v>0</v>
      </c>
      <c r="BA10" s="131"/>
      <c r="BB10" s="131"/>
      <c r="BC10" s="131"/>
      <c r="BD10" s="131"/>
      <c r="BE10" s="169"/>
      <c r="BF10" s="184">
        <f>VLOOKUP(Table7[[#This Row],[Vlookup Store '#]],'Kiosk Stickers'!A$4:$H$538,3,FALSE)</f>
        <v>0</v>
      </c>
      <c r="BG10" s="173"/>
      <c r="BH10" s="173"/>
      <c r="BI10" s="173"/>
      <c r="BJ10" s="173"/>
      <c r="BK10" s="173"/>
      <c r="BL10" s="173"/>
      <c r="BM10" s="173"/>
      <c r="BN10" s="215"/>
      <c r="BO10" s="199">
        <f>VLOOKUP(Table7[[#This Row],[Vlookup Store '#]],'Kiosk Stickers'!A$4:$H$538,4,FALSE)</f>
        <v>0</v>
      </c>
      <c r="BP10" s="171"/>
      <c r="BQ10" s="226"/>
      <c r="BR10" s="194"/>
      <c r="BS10" s="173"/>
      <c r="BT10" s="173"/>
      <c r="BU10" s="173"/>
      <c r="BV10" s="173">
        <f>VLOOKUP(Table7[[#This Row],[Vlookup Store '#]],'Kiosk Stickers'!A$4:$H$538,5,FALSE)</f>
        <v>1</v>
      </c>
      <c r="BW10" s="173"/>
      <c r="BX10" s="173"/>
      <c r="BY10" s="173"/>
      <c r="BZ10" s="215"/>
      <c r="CA10" s="243"/>
      <c r="CB10" s="233"/>
      <c r="CC10" s="233"/>
      <c r="CD10" s="233"/>
      <c r="CE10" s="233"/>
      <c r="CF10" s="233"/>
      <c r="CG10" s="233"/>
      <c r="CH10" s="262"/>
      <c r="CI10" s="351"/>
      <c r="CJ10" s="350"/>
      <c r="CK10" s="350"/>
      <c r="CL10" s="350"/>
      <c r="CM10" s="350"/>
      <c r="CN10" s="353">
        <v>2</v>
      </c>
      <c r="CO10" s="350"/>
      <c r="CP10" s="350"/>
      <c r="CQ10" s="364"/>
      <c r="CR10" s="370"/>
      <c r="CS10" s="367"/>
      <c r="CT10" s="367"/>
      <c r="CU10" s="367"/>
      <c r="CV10" s="378">
        <v>10</v>
      </c>
      <c r="CW10" s="387"/>
      <c r="CX10" s="398"/>
      <c r="CY10" s="399"/>
      <c r="CZ10" s="399"/>
      <c r="DA10" s="399"/>
      <c r="DB10" s="396">
        <v>1</v>
      </c>
      <c r="DC10" s="400"/>
      <c r="DD10" s="400"/>
      <c r="DE10" s="514"/>
      <c r="DF10" s="514">
        <f t="shared" si="0"/>
        <v>1</v>
      </c>
      <c r="DG10" s="144"/>
      <c r="DH10" s="143"/>
    </row>
    <row r="11" spans="1:112" x14ac:dyDescent="0.25">
      <c r="A11" s="15" t="s">
        <v>41</v>
      </c>
      <c r="B11" s="15">
        <v>813</v>
      </c>
      <c r="C11" s="15" t="s">
        <v>464</v>
      </c>
      <c r="D11" s="15">
        <v>47</v>
      </c>
      <c r="E11" s="15" t="s">
        <v>465</v>
      </c>
      <c r="F11" s="15" t="s">
        <v>466</v>
      </c>
      <c r="G11" s="15" t="s">
        <v>467</v>
      </c>
      <c r="H11" s="15" t="s">
        <v>45</v>
      </c>
      <c r="I11" s="15" t="s">
        <v>46</v>
      </c>
      <c r="J11" s="15" t="s">
        <v>468</v>
      </c>
      <c r="K11" s="15" t="s">
        <v>469</v>
      </c>
      <c r="L11" s="15" t="s">
        <v>3775</v>
      </c>
      <c r="M11" s="15" t="s">
        <v>3776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>
        <v>1500</v>
      </c>
      <c r="AE11" s="70"/>
      <c r="AF11" s="70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>
        <v>10</v>
      </c>
      <c r="AX11" s="71"/>
      <c r="AY11" s="71"/>
      <c r="AZ11" s="131">
        <f>VLOOKUP(Table7[[#This Row],[Vlookup Store '#]],'Kiosk Stickers'!A$4:$H$538,2,FALSE)</f>
        <v>0</v>
      </c>
      <c r="BA11" s="131"/>
      <c r="BB11" s="131"/>
      <c r="BC11" s="131"/>
      <c r="BD11" s="131"/>
      <c r="BE11" s="169"/>
      <c r="BF11" s="184">
        <f>VLOOKUP(Table7[[#This Row],[Vlookup Store '#]],'Kiosk Stickers'!A$4:$H$538,3,FALSE)</f>
        <v>0</v>
      </c>
      <c r="BG11" s="173"/>
      <c r="BH11" s="173"/>
      <c r="BI11" s="173"/>
      <c r="BJ11" s="173"/>
      <c r="BK11" s="173"/>
      <c r="BL11" s="173"/>
      <c r="BM11" s="173"/>
      <c r="BN11" s="215"/>
      <c r="BO11" s="199">
        <f>VLOOKUP(Table7[[#This Row],[Vlookup Store '#]],'Kiosk Stickers'!A$4:$H$538,4,FALSE)</f>
        <v>0</v>
      </c>
      <c r="BP11" s="171"/>
      <c r="BQ11" s="226"/>
      <c r="BR11" s="194"/>
      <c r="BS11" s="173"/>
      <c r="BT11" s="173"/>
      <c r="BU11" s="173"/>
      <c r="BV11" s="173">
        <f>VLOOKUP(Table7[[#This Row],[Vlookup Store '#]],'Kiosk Stickers'!A$4:$H$538,5,FALSE)</f>
        <v>1</v>
      </c>
      <c r="BW11" s="173"/>
      <c r="BX11" s="173"/>
      <c r="BY11" s="173"/>
      <c r="BZ11" s="215"/>
      <c r="CA11" s="243"/>
      <c r="CB11" s="233"/>
      <c r="CC11" s="233"/>
      <c r="CD11" s="233"/>
      <c r="CE11" s="233"/>
      <c r="CF11" s="233"/>
      <c r="CG11" s="233"/>
      <c r="CH11" s="262"/>
      <c r="CI11" s="351"/>
      <c r="CJ11" s="350"/>
      <c r="CK11" s="350"/>
      <c r="CL11" s="350"/>
      <c r="CM11" s="350"/>
      <c r="CN11" s="353">
        <v>2</v>
      </c>
      <c r="CO11" s="350"/>
      <c r="CP11" s="350"/>
      <c r="CQ11" s="364"/>
      <c r="CR11" s="370"/>
      <c r="CS11" s="367"/>
      <c r="CT11" s="367"/>
      <c r="CU11" s="367"/>
      <c r="CV11" s="378">
        <v>10</v>
      </c>
      <c r="CW11" s="387"/>
      <c r="CX11" s="398"/>
      <c r="CY11" s="399"/>
      <c r="CZ11" s="399"/>
      <c r="DA11" s="399"/>
      <c r="DB11" s="396">
        <v>1</v>
      </c>
      <c r="DC11" s="400"/>
      <c r="DD11" s="400"/>
      <c r="DE11" s="514"/>
      <c r="DF11" s="514">
        <f t="shared" si="0"/>
        <v>1</v>
      </c>
      <c r="DG11" s="144"/>
      <c r="DH11" s="143"/>
    </row>
    <row r="12" spans="1:112" x14ac:dyDescent="0.25">
      <c r="A12" s="15" t="s">
        <v>41</v>
      </c>
      <c r="B12" s="15">
        <v>813</v>
      </c>
      <c r="C12" s="15" t="s">
        <v>470</v>
      </c>
      <c r="D12" s="15">
        <v>51</v>
      </c>
      <c r="E12" s="15" t="s">
        <v>471</v>
      </c>
      <c r="F12" s="15" t="s">
        <v>472</v>
      </c>
      <c r="G12" s="15" t="s">
        <v>473</v>
      </c>
      <c r="H12" s="15" t="s">
        <v>474</v>
      </c>
      <c r="I12" s="15" t="s">
        <v>46</v>
      </c>
      <c r="J12" s="15" t="s">
        <v>475</v>
      </c>
      <c r="K12" s="15" t="s">
        <v>476</v>
      </c>
      <c r="L12" s="15" t="s">
        <v>3775</v>
      </c>
      <c r="M12" s="15" t="s">
        <v>3776</v>
      </c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>
        <v>1500</v>
      </c>
      <c r="AE12" s="70"/>
      <c r="AF12" s="70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>
        <v>10</v>
      </c>
      <c r="AX12" s="71"/>
      <c r="AY12" s="71"/>
      <c r="AZ12" s="131">
        <f>VLOOKUP(Table7[[#This Row],[Vlookup Store '#]],'Kiosk Stickers'!A$4:$H$538,2,FALSE)</f>
        <v>0</v>
      </c>
      <c r="BA12" s="131"/>
      <c r="BB12" s="131"/>
      <c r="BC12" s="131"/>
      <c r="BD12" s="131"/>
      <c r="BE12" s="169"/>
      <c r="BF12" s="184">
        <f>VLOOKUP(Table7[[#This Row],[Vlookup Store '#]],'Kiosk Stickers'!A$4:$H$538,3,FALSE)</f>
        <v>0</v>
      </c>
      <c r="BG12" s="173"/>
      <c r="BH12" s="173"/>
      <c r="BI12" s="173"/>
      <c r="BJ12" s="173"/>
      <c r="BK12" s="173"/>
      <c r="BL12" s="173"/>
      <c r="BM12" s="173"/>
      <c r="BN12" s="215"/>
      <c r="BO12" s="199">
        <f>VLOOKUP(Table7[[#This Row],[Vlookup Store '#]],'Kiosk Stickers'!A$4:$H$538,4,FALSE)</f>
        <v>0</v>
      </c>
      <c r="BP12" s="171"/>
      <c r="BQ12" s="226"/>
      <c r="BR12" s="194"/>
      <c r="BS12" s="173"/>
      <c r="BT12" s="173"/>
      <c r="BU12" s="173"/>
      <c r="BV12" s="173">
        <f>VLOOKUP(Table7[[#This Row],[Vlookup Store '#]],'Kiosk Stickers'!A$4:$H$538,5,FALSE)</f>
        <v>1</v>
      </c>
      <c r="BW12" s="173"/>
      <c r="BX12" s="173"/>
      <c r="BY12" s="173"/>
      <c r="BZ12" s="215"/>
      <c r="CA12" s="243"/>
      <c r="CB12" s="233"/>
      <c r="CC12" s="233"/>
      <c r="CD12" s="233"/>
      <c r="CE12" s="233"/>
      <c r="CF12" s="233"/>
      <c r="CG12" s="233"/>
      <c r="CH12" s="262"/>
      <c r="CI12" s="351"/>
      <c r="CJ12" s="350"/>
      <c r="CK12" s="350"/>
      <c r="CL12" s="350"/>
      <c r="CM12" s="350"/>
      <c r="CN12" s="353">
        <v>2</v>
      </c>
      <c r="CO12" s="350"/>
      <c r="CP12" s="350"/>
      <c r="CQ12" s="364"/>
      <c r="CR12" s="370"/>
      <c r="CS12" s="367"/>
      <c r="CT12" s="367"/>
      <c r="CU12" s="367"/>
      <c r="CV12" s="378">
        <v>10</v>
      </c>
      <c r="CW12" s="387"/>
      <c r="CX12" s="398"/>
      <c r="CY12" s="399"/>
      <c r="CZ12" s="399"/>
      <c r="DA12" s="399"/>
      <c r="DB12" s="396">
        <v>1</v>
      </c>
      <c r="DC12" s="400"/>
      <c r="DD12" s="400"/>
      <c r="DE12" s="514"/>
      <c r="DF12" s="514">
        <f t="shared" si="0"/>
        <v>1</v>
      </c>
      <c r="DG12" s="144"/>
      <c r="DH12" s="143"/>
    </row>
    <row r="13" spans="1:112" x14ac:dyDescent="0.25">
      <c r="A13" s="15" t="s">
        <v>41</v>
      </c>
      <c r="B13" s="15">
        <v>813</v>
      </c>
      <c r="C13" s="15" t="s">
        <v>477</v>
      </c>
      <c r="D13" s="15">
        <v>52</v>
      </c>
      <c r="E13" s="15" t="s">
        <v>478</v>
      </c>
      <c r="F13" s="15" t="s">
        <v>479</v>
      </c>
      <c r="G13" s="15" t="s">
        <v>480</v>
      </c>
      <c r="H13" s="15" t="s">
        <v>481</v>
      </c>
      <c r="I13" s="15" t="s">
        <v>46</v>
      </c>
      <c r="J13" s="15" t="s">
        <v>482</v>
      </c>
      <c r="K13" s="15" t="s">
        <v>483</v>
      </c>
      <c r="L13" s="15" t="s">
        <v>3775</v>
      </c>
      <c r="M13" s="15" t="s">
        <v>3776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>
        <v>1500</v>
      </c>
      <c r="AE13" s="70"/>
      <c r="AF13" s="70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>
        <v>10</v>
      </c>
      <c r="AX13" s="71"/>
      <c r="AY13" s="71"/>
      <c r="AZ13" s="131">
        <f>VLOOKUP(Table7[[#This Row],[Vlookup Store '#]],'Kiosk Stickers'!A$4:$H$538,2,FALSE)</f>
        <v>0</v>
      </c>
      <c r="BA13" s="131"/>
      <c r="BB13" s="131"/>
      <c r="BC13" s="131"/>
      <c r="BD13" s="131"/>
      <c r="BE13" s="169"/>
      <c r="BF13" s="184">
        <f>VLOOKUP(Table7[[#This Row],[Vlookup Store '#]],'Kiosk Stickers'!A$4:$H$538,3,FALSE)</f>
        <v>0</v>
      </c>
      <c r="BG13" s="173"/>
      <c r="BH13" s="173"/>
      <c r="BI13" s="173"/>
      <c r="BJ13" s="173"/>
      <c r="BK13" s="173"/>
      <c r="BL13" s="173"/>
      <c r="BM13" s="173"/>
      <c r="BN13" s="215"/>
      <c r="BO13" s="199">
        <f>VLOOKUP(Table7[[#This Row],[Vlookup Store '#]],'Kiosk Stickers'!A$4:$H$538,4,FALSE)</f>
        <v>0</v>
      </c>
      <c r="BP13" s="171"/>
      <c r="BQ13" s="226"/>
      <c r="BR13" s="194"/>
      <c r="BS13" s="173"/>
      <c r="BT13" s="173"/>
      <c r="BU13" s="173"/>
      <c r="BV13" s="173">
        <f>VLOOKUP(Table7[[#This Row],[Vlookup Store '#]],'Kiosk Stickers'!A$4:$H$538,5,FALSE)</f>
        <v>0</v>
      </c>
      <c r="BW13" s="173"/>
      <c r="BX13" s="173"/>
      <c r="BY13" s="173"/>
      <c r="BZ13" s="215"/>
      <c r="CA13" s="244"/>
      <c r="CB13" s="233"/>
      <c r="CC13" s="233"/>
      <c r="CD13" s="233"/>
      <c r="CE13" s="239">
        <f>VLOOKUP(Table7[[#This Row],[Vlookup Store '#]],'Kiosk Stickers'!A$4:$H$538,6,FALSE)</f>
        <v>1</v>
      </c>
      <c r="CF13" s="233"/>
      <c r="CG13" s="233"/>
      <c r="CH13" s="262"/>
      <c r="CI13" s="351"/>
      <c r="CJ13" s="350"/>
      <c r="CK13" s="350"/>
      <c r="CL13" s="350"/>
      <c r="CM13" s="350"/>
      <c r="CN13" s="353">
        <v>2</v>
      </c>
      <c r="CO13" s="350"/>
      <c r="CP13" s="350"/>
      <c r="CQ13" s="364"/>
      <c r="CR13" s="370"/>
      <c r="CS13" s="367"/>
      <c r="CT13" s="367"/>
      <c r="CU13" s="367"/>
      <c r="CV13" s="378">
        <v>10</v>
      </c>
      <c r="CW13" s="387"/>
      <c r="CX13" s="398"/>
      <c r="CY13" s="399"/>
      <c r="CZ13" s="399"/>
      <c r="DA13" s="399"/>
      <c r="DB13" s="396">
        <v>1</v>
      </c>
      <c r="DC13" s="400"/>
      <c r="DD13" s="400"/>
      <c r="DE13" s="514"/>
      <c r="DF13" s="514">
        <f t="shared" si="0"/>
        <v>1</v>
      </c>
      <c r="DG13" s="144"/>
      <c r="DH13" s="143"/>
    </row>
    <row r="14" spans="1:112" x14ac:dyDescent="0.25">
      <c r="A14" s="15" t="s">
        <v>41</v>
      </c>
      <c r="B14" s="15">
        <v>813</v>
      </c>
      <c r="C14" s="15" t="s">
        <v>484</v>
      </c>
      <c r="D14" s="15">
        <v>53</v>
      </c>
      <c r="E14" s="15" t="s">
        <v>485</v>
      </c>
      <c r="F14" s="15" t="s">
        <v>486</v>
      </c>
      <c r="G14" s="15" t="s">
        <v>487</v>
      </c>
      <c r="H14" s="15" t="s">
        <v>474</v>
      </c>
      <c r="I14" s="15" t="s">
        <v>46</v>
      </c>
      <c r="J14" s="15" t="s">
        <v>3083</v>
      </c>
      <c r="K14" s="15" t="s">
        <v>488</v>
      </c>
      <c r="L14" s="15" t="s">
        <v>3775</v>
      </c>
      <c r="M14" s="15" t="s">
        <v>3776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>
        <v>1500</v>
      </c>
      <c r="AE14" s="70"/>
      <c r="AF14" s="70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>
        <v>10</v>
      </c>
      <c r="AX14" s="71"/>
      <c r="AY14" s="71"/>
      <c r="AZ14" s="131">
        <f>VLOOKUP(Table7[[#This Row],[Vlookup Store '#]],'Kiosk Stickers'!A$4:$H$538,2,FALSE)</f>
        <v>0</v>
      </c>
      <c r="BA14" s="131"/>
      <c r="BB14" s="131"/>
      <c r="BC14" s="131"/>
      <c r="BD14" s="131"/>
      <c r="BE14" s="169"/>
      <c r="BF14" s="184">
        <f>VLOOKUP(Table7[[#This Row],[Vlookup Store '#]],'Kiosk Stickers'!A$4:$H$538,3,FALSE)</f>
        <v>0</v>
      </c>
      <c r="BG14" s="173"/>
      <c r="BH14" s="173"/>
      <c r="BI14" s="173"/>
      <c r="BJ14" s="173"/>
      <c r="BK14" s="173"/>
      <c r="BL14" s="173"/>
      <c r="BM14" s="173"/>
      <c r="BN14" s="215"/>
      <c r="BO14" s="199">
        <f>VLOOKUP(Table7[[#This Row],[Vlookup Store '#]],'Kiosk Stickers'!A$4:$H$538,4,FALSE)</f>
        <v>0</v>
      </c>
      <c r="BP14" s="171"/>
      <c r="BQ14" s="226"/>
      <c r="BR14" s="194"/>
      <c r="BS14" s="173"/>
      <c r="BT14" s="173"/>
      <c r="BU14" s="173"/>
      <c r="BV14" s="173">
        <f>VLOOKUP(Table7[[#This Row],[Vlookup Store '#]],'Kiosk Stickers'!A$4:$H$538,5,FALSE)</f>
        <v>1</v>
      </c>
      <c r="BW14" s="173"/>
      <c r="BX14" s="173"/>
      <c r="BY14" s="173"/>
      <c r="BZ14" s="215"/>
      <c r="CA14" s="243"/>
      <c r="CB14" s="233"/>
      <c r="CC14" s="233"/>
      <c r="CD14" s="233"/>
      <c r="CE14" s="233"/>
      <c r="CF14" s="233"/>
      <c r="CG14" s="233"/>
      <c r="CH14" s="262"/>
      <c r="CI14" s="351"/>
      <c r="CJ14" s="350"/>
      <c r="CK14" s="350"/>
      <c r="CL14" s="350"/>
      <c r="CM14" s="350"/>
      <c r="CN14" s="353">
        <v>2</v>
      </c>
      <c r="CO14" s="350"/>
      <c r="CP14" s="350"/>
      <c r="CQ14" s="364"/>
      <c r="CR14" s="370"/>
      <c r="CS14" s="367"/>
      <c r="CT14" s="367"/>
      <c r="CU14" s="367"/>
      <c r="CV14" s="378">
        <v>10</v>
      </c>
      <c r="CW14" s="387"/>
      <c r="CX14" s="398"/>
      <c r="CY14" s="399"/>
      <c r="CZ14" s="399"/>
      <c r="DA14" s="399"/>
      <c r="DB14" s="396">
        <v>1</v>
      </c>
      <c r="DC14" s="400"/>
      <c r="DD14" s="400"/>
      <c r="DE14" s="514"/>
      <c r="DF14" s="514">
        <f t="shared" si="0"/>
        <v>1</v>
      </c>
      <c r="DG14" s="144"/>
      <c r="DH14" s="143"/>
    </row>
    <row r="15" spans="1:112" x14ac:dyDescent="0.25">
      <c r="A15" s="15" t="s">
        <v>100</v>
      </c>
      <c r="B15" s="15">
        <v>806</v>
      </c>
      <c r="C15" s="15" t="s">
        <v>545</v>
      </c>
      <c r="D15" s="15">
        <v>326</v>
      </c>
      <c r="E15" s="15" t="s">
        <v>546</v>
      </c>
      <c r="F15" s="15" t="s">
        <v>558</v>
      </c>
      <c r="G15" s="15" t="s">
        <v>547</v>
      </c>
      <c r="H15" s="15" t="s">
        <v>104</v>
      </c>
      <c r="I15" s="15" t="s">
        <v>105</v>
      </c>
      <c r="J15" s="15" t="s">
        <v>548</v>
      </c>
      <c r="K15" s="15" t="s">
        <v>549</v>
      </c>
      <c r="L15" s="15" t="s">
        <v>3737</v>
      </c>
      <c r="M15" s="15" t="s">
        <v>3739</v>
      </c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>
        <v>1500</v>
      </c>
      <c r="AA15" s="70"/>
      <c r="AB15" s="70"/>
      <c r="AC15" s="70"/>
      <c r="AD15" s="70"/>
      <c r="AE15" s="70"/>
      <c r="AF15" s="70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>
        <v>10</v>
      </c>
      <c r="AT15" s="71"/>
      <c r="AU15" s="71"/>
      <c r="AV15" s="71"/>
      <c r="AW15" s="71"/>
      <c r="AX15" s="71"/>
      <c r="AY15" s="71"/>
      <c r="AZ15" s="131">
        <f>VLOOKUP(Table7[[#This Row],[Vlookup Store '#]],'Kiosk Stickers'!A$4:$H$538,2,FALSE)</f>
        <v>0</v>
      </c>
      <c r="BA15" s="131"/>
      <c r="BB15" s="131"/>
      <c r="BC15" s="131"/>
      <c r="BD15" s="131"/>
      <c r="BE15" s="169"/>
      <c r="BF15" s="184">
        <f>VLOOKUP(Table7[[#This Row],[Vlookup Store '#]],'Kiosk Stickers'!A$4:$H$538,3,FALSE)</f>
        <v>0</v>
      </c>
      <c r="BG15" s="173"/>
      <c r="BH15" s="173"/>
      <c r="BI15" s="173"/>
      <c r="BJ15" s="173"/>
      <c r="BK15" s="173"/>
      <c r="BL15" s="173"/>
      <c r="BM15" s="173"/>
      <c r="BN15" s="215"/>
      <c r="BO15" s="199">
        <f>VLOOKUP(Table7[[#This Row],[Vlookup Store '#]],'Kiosk Stickers'!A$4:$H$538,4,FALSE)</f>
        <v>0</v>
      </c>
      <c r="BP15" s="171"/>
      <c r="BQ15" s="226"/>
      <c r="BR15" s="184">
        <f>VLOOKUP(Table7[[#This Row],[Vlookup Store '#]],'Kiosk Stickers'!A$4:$H$538,5,FALSE)</f>
        <v>0</v>
      </c>
      <c r="BS15" s="173"/>
      <c r="BT15" s="173"/>
      <c r="BU15" s="173"/>
      <c r="BV15" s="173"/>
      <c r="BW15" s="173"/>
      <c r="BX15" s="173"/>
      <c r="BY15" s="173"/>
      <c r="BZ15" s="215"/>
      <c r="CA15" s="244"/>
      <c r="CB15" s="233"/>
      <c r="CC15" s="239">
        <f>VLOOKUP(Table7[[#This Row],[Vlookup Store '#]],'Kiosk Stickers'!A$4:$H$538,6,FALSE)</f>
        <v>1</v>
      </c>
      <c r="CD15" s="233"/>
      <c r="CE15" s="233"/>
      <c r="CF15" s="233"/>
      <c r="CG15" s="233"/>
      <c r="CH15" s="262"/>
      <c r="CI15" s="351"/>
      <c r="CJ15" s="350"/>
      <c r="CK15" s="350"/>
      <c r="CL15" s="350">
        <v>2</v>
      </c>
      <c r="CM15" s="350"/>
      <c r="CN15" s="350"/>
      <c r="CO15" s="350"/>
      <c r="CP15" s="350"/>
      <c r="CQ15" s="364"/>
      <c r="CR15" s="370"/>
      <c r="CS15" s="367"/>
      <c r="CT15" s="367"/>
      <c r="CU15" s="367">
        <v>10</v>
      </c>
      <c r="CV15" s="367"/>
      <c r="CW15" s="387"/>
      <c r="CX15" s="398"/>
      <c r="CY15" s="399"/>
      <c r="CZ15" s="399"/>
      <c r="DA15" s="399"/>
      <c r="DB15" s="399">
        <v>1</v>
      </c>
      <c r="DC15" s="400"/>
      <c r="DD15" s="400"/>
      <c r="DE15" s="514"/>
      <c r="DF15" s="514">
        <f t="shared" si="0"/>
        <v>1</v>
      </c>
      <c r="DG15" s="144"/>
      <c r="DH15" s="143"/>
    </row>
    <row r="16" spans="1:112" x14ac:dyDescent="0.25">
      <c r="A16" s="15" t="s">
        <v>100</v>
      </c>
      <c r="B16" s="15">
        <v>806</v>
      </c>
      <c r="C16" s="15" t="s">
        <v>550</v>
      </c>
      <c r="D16" s="15">
        <v>327</v>
      </c>
      <c r="E16" s="15" t="s">
        <v>551</v>
      </c>
      <c r="F16" s="15" t="s">
        <v>552</v>
      </c>
      <c r="G16" s="15" t="s">
        <v>553</v>
      </c>
      <c r="H16" s="15" t="s">
        <v>104</v>
      </c>
      <c r="I16" s="15" t="s">
        <v>105</v>
      </c>
      <c r="J16" s="15" t="s">
        <v>3149</v>
      </c>
      <c r="K16" s="15" t="s">
        <v>554</v>
      </c>
      <c r="L16" s="15" t="s">
        <v>3737</v>
      </c>
      <c r="M16" s="15" t="s">
        <v>3739</v>
      </c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>
        <v>1500</v>
      </c>
      <c r="AA16" s="70"/>
      <c r="AB16" s="70"/>
      <c r="AC16" s="70"/>
      <c r="AD16" s="70"/>
      <c r="AE16" s="70"/>
      <c r="AF16" s="70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>
        <v>10</v>
      </c>
      <c r="AT16" s="71"/>
      <c r="AU16" s="71"/>
      <c r="AV16" s="71"/>
      <c r="AW16" s="71"/>
      <c r="AX16" s="71"/>
      <c r="AY16" s="71"/>
      <c r="AZ16" s="131">
        <f>VLOOKUP(Table7[[#This Row],[Vlookup Store '#]],'Kiosk Stickers'!A$4:$H$538,2,FALSE)</f>
        <v>0</v>
      </c>
      <c r="BA16" s="131"/>
      <c r="BB16" s="131"/>
      <c r="BC16" s="131"/>
      <c r="BD16" s="131"/>
      <c r="BE16" s="169"/>
      <c r="BF16" s="184">
        <f>VLOOKUP(Table7[[#This Row],[Vlookup Store '#]],'Kiosk Stickers'!A$4:$H$538,3,FALSE)</f>
        <v>0</v>
      </c>
      <c r="BG16" s="173"/>
      <c r="BH16" s="173"/>
      <c r="BI16" s="173"/>
      <c r="BJ16" s="173"/>
      <c r="BK16" s="173"/>
      <c r="BL16" s="173"/>
      <c r="BM16" s="173"/>
      <c r="BN16" s="215"/>
      <c r="BO16" s="199">
        <f>VLOOKUP(Table7[[#This Row],[Vlookup Store '#]],'Kiosk Stickers'!A$4:$H$538,4,FALSE)</f>
        <v>0</v>
      </c>
      <c r="BP16" s="171"/>
      <c r="BQ16" s="226"/>
      <c r="BR16" s="184">
        <f>VLOOKUP(Table7[[#This Row],[Vlookup Store '#]],'Kiosk Stickers'!A$4:$H$538,5,FALSE)</f>
        <v>0</v>
      </c>
      <c r="BS16" s="173"/>
      <c r="BT16" s="173"/>
      <c r="BU16" s="173"/>
      <c r="BV16" s="173"/>
      <c r="BW16" s="173"/>
      <c r="BX16" s="173"/>
      <c r="BY16" s="173"/>
      <c r="BZ16" s="215"/>
      <c r="CA16" s="244"/>
      <c r="CB16" s="233"/>
      <c r="CC16" s="239">
        <f>VLOOKUP(Table7[[#This Row],[Vlookup Store '#]],'Kiosk Stickers'!A$4:$H$538,6,FALSE)</f>
        <v>1</v>
      </c>
      <c r="CD16" s="233"/>
      <c r="CE16" s="233"/>
      <c r="CF16" s="233"/>
      <c r="CG16" s="233"/>
      <c r="CH16" s="262"/>
      <c r="CI16" s="351"/>
      <c r="CJ16" s="350"/>
      <c r="CK16" s="350"/>
      <c r="CL16" s="350">
        <v>2</v>
      </c>
      <c r="CM16" s="350"/>
      <c r="CN16" s="350"/>
      <c r="CO16" s="350"/>
      <c r="CP16" s="350"/>
      <c r="CQ16" s="364"/>
      <c r="CR16" s="370"/>
      <c r="CS16" s="367"/>
      <c r="CT16" s="367"/>
      <c r="CU16" s="367">
        <v>10</v>
      </c>
      <c r="CV16" s="367"/>
      <c r="CW16" s="387"/>
      <c r="CX16" s="398"/>
      <c r="CY16" s="399"/>
      <c r="CZ16" s="399"/>
      <c r="DA16" s="399"/>
      <c r="DB16" s="399">
        <v>1</v>
      </c>
      <c r="DC16" s="400"/>
      <c r="DD16" s="400"/>
      <c r="DE16" s="514"/>
      <c r="DF16" s="514">
        <f t="shared" si="0"/>
        <v>1</v>
      </c>
      <c r="DG16" s="144"/>
      <c r="DH16" s="143"/>
    </row>
    <row r="17" spans="1:112" x14ac:dyDescent="0.25">
      <c r="A17" s="15" t="s">
        <v>100</v>
      </c>
      <c r="B17" s="15">
        <v>806</v>
      </c>
      <c r="C17" s="15" t="s">
        <v>101</v>
      </c>
      <c r="D17" s="15">
        <v>328</v>
      </c>
      <c r="E17" s="15" t="s">
        <v>102</v>
      </c>
      <c r="F17" s="15" t="s">
        <v>555</v>
      </c>
      <c r="G17" s="15" t="s">
        <v>103</v>
      </c>
      <c r="H17" s="15" t="s">
        <v>104</v>
      </c>
      <c r="I17" s="15" t="s">
        <v>105</v>
      </c>
      <c r="J17" s="15" t="s">
        <v>3150</v>
      </c>
      <c r="K17" s="15" t="s">
        <v>106</v>
      </c>
      <c r="L17" s="15" t="s">
        <v>3737</v>
      </c>
      <c r="M17" s="15" t="s">
        <v>3739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>
        <v>1500</v>
      </c>
      <c r="AA17" s="70"/>
      <c r="AB17" s="70"/>
      <c r="AC17" s="70"/>
      <c r="AD17" s="70"/>
      <c r="AE17" s="70"/>
      <c r="AF17" s="70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>
        <v>10</v>
      </c>
      <c r="AT17" s="71"/>
      <c r="AU17" s="71"/>
      <c r="AV17" s="71"/>
      <c r="AW17" s="71"/>
      <c r="AX17" s="71"/>
      <c r="AY17" s="71"/>
      <c r="AZ17" s="131">
        <f>VLOOKUP(Table7[[#This Row],[Vlookup Store '#]],'Kiosk Stickers'!A$4:$H$538,2,FALSE)</f>
        <v>0</v>
      </c>
      <c r="BA17" s="131"/>
      <c r="BB17" s="131"/>
      <c r="BC17" s="131"/>
      <c r="BD17" s="131"/>
      <c r="BE17" s="169"/>
      <c r="BF17" s="184">
        <f>VLOOKUP(Table7[[#This Row],[Vlookup Store '#]],'Kiosk Stickers'!A$4:$H$538,3,FALSE)</f>
        <v>0</v>
      </c>
      <c r="BG17" s="173"/>
      <c r="BH17" s="173"/>
      <c r="BI17" s="173"/>
      <c r="BJ17" s="173"/>
      <c r="BK17" s="173"/>
      <c r="BL17" s="173"/>
      <c r="BM17" s="173"/>
      <c r="BN17" s="215"/>
      <c r="BO17" s="199">
        <f>VLOOKUP(Table7[[#This Row],[Vlookup Store '#]],'Kiosk Stickers'!A$4:$H$538,4,FALSE)</f>
        <v>0</v>
      </c>
      <c r="BP17" s="171"/>
      <c r="BQ17" s="226"/>
      <c r="BR17" s="184">
        <f>VLOOKUP(Table7[[#This Row],[Vlookup Store '#]],'Kiosk Stickers'!A$4:$H$538,5,FALSE)</f>
        <v>0</v>
      </c>
      <c r="BS17" s="173"/>
      <c r="BT17" s="173"/>
      <c r="BU17" s="173"/>
      <c r="BV17" s="173"/>
      <c r="BW17" s="173"/>
      <c r="BX17" s="173"/>
      <c r="BY17" s="173"/>
      <c r="BZ17" s="215"/>
      <c r="CA17" s="244"/>
      <c r="CB17" s="233"/>
      <c r="CC17" s="239">
        <f>VLOOKUP(Table7[[#This Row],[Vlookup Store '#]],'Kiosk Stickers'!A$4:$H$538,6,FALSE)</f>
        <v>1</v>
      </c>
      <c r="CD17" s="233"/>
      <c r="CE17" s="233"/>
      <c r="CF17" s="233"/>
      <c r="CG17" s="233"/>
      <c r="CH17" s="262"/>
      <c r="CI17" s="351"/>
      <c r="CJ17" s="350"/>
      <c r="CK17" s="350"/>
      <c r="CL17" s="350">
        <v>2</v>
      </c>
      <c r="CM17" s="350"/>
      <c r="CN17" s="350"/>
      <c r="CO17" s="350"/>
      <c r="CP17" s="350"/>
      <c r="CQ17" s="364"/>
      <c r="CR17" s="370"/>
      <c r="CS17" s="367"/>
      <c r="CT17" s="367"/>
      <c r="CU17" s="367">
        <v>10</v>
      </c>
      <c r="CV17" s="367"/>
      <c r="CW17" s="387"/>
      <c r="CX17" s="398"/>
      <c r="CY17" s="399"/>
      <c r="CZ17" s="399"/>
      <c r="DA17" s="399"/>
      <c r="DB17" s="399">
        <v>1</v>
      </c>
      <c r="DC17" s="400"/>
      <c r="DD17" s="400"/>
      <c r="DE17" s="514"/>
      <c r="DF17" s="514">
        <f t="shared" si="0"/>
        <v>1</v>
      </c>
      <c r="DG17" s="144"/>
      <c r="DH17" s="143"/>
    </row>
    <row r="18" spans="1:112" x14ac:dyDescent="0.25">
      <c r="A18" s="15" t="s">
        <v>100</v>
      </c>
      <c r="B18" s="15">
        <v>806</v>
      </c>
      <c r="C18" s="15" t="s">
        <v>570</v>
      </c>
      <c r="D18" s="15">
        <v>335</v>
      </c>
      <c r="E18" s="15" t="s">
        <v>571</v>
      </c>
      <c r="F18" s="15">
        <v>0</v>
      </c>
      <c r="G18" s="15" t="s">
        <v>572</v>
      </c>
      <c r="H18" s="15" t="s">
        <v>104</v>
      </c>
      <c r="I18" s="15" t="s">
        <v>105</v>
      </c>
      <c r="J18" s="15" t="s">
        <v>3151</v>
      </c>
      <c r="K18" s="15" t="s">
        <v>573</v>
      </c>
      <c r="L18" s="15" t="s">
        <v>4004</v>
      </c>
      <c r="M18" s="15" t="s">
        <v>3739</v>
      </c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>
        <v>1500</v>
      </c>
      <c r="AA18" s="70"/>
      <c r="AB18" s="70"/>
      <c r="AC18" s="70"/>
      <c r="AD18" s="70"/>
      <c r="AE18" s="70"/>
      <c r="AF18" s="70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>
        <v>10</v>
      </c>
      <c r="AT18" s="71"/>
      <c r="AU18" s="71"/>
      <c r="AV18" s="71"/>
      <c r="AW18" s="71"/>
      <c r="AX18" s="71"/>
      <c r="AY18" s="71"/>
      <c r="AZ18" s="131">
        <f>VLOOKUP(Table7[[#This Row],[Vlookup Store '#]],'Kiosk Stickers'!A$4:$H$538,2,FALSE)</f>
        <v>0</v>
      </c>
      <c r="BA18" s="131"/>
      <c r="BB18" s="131"/>
      <c r="BC18" s="131"/>
      <c r="BD18" s="131"/>
      <c r="BE18" s="169"/>
      <c r="BF18" s="184">
        <f>VLOOKUP(Table7[[#This Row],[Vlookup Store '#]],'Kiosk Stickers'!A$4:$H$538,3,FALSE)</f>
        <v>0</v>
      </c>
      <c r="BG18" s="173"/>
      <c r="BH18" s="173"/>
      <c r="BI18" s="173"/>
      <c r="BJ18" s="173"/>
      <c r="BK18" s="173"/>
      <c r="BL18" s="173"/>
      <c r="BM18" s="173"/>
      <c r="BN18" s="215"/>
      <c r="BO18" s="199">
        <f>VLOOKUP(Table7[[#This Row],[Vlookup Store '#]],'Kiosk Stickers'!A$4:$H$538,4,FALSE)</f>
        <v>0</v>
      </c>
      <c r="BP18" s="171"/>
      <c r="BQ18" s="226"/>
      <c r="BR18" s="184">
        <f>VLOOKUP(Table7[[#This Row],[Vlookup Store '#]],'Kiosk Stickers'!A$4:$H$538,5,FALSE)</f>
        <v>0</v>
      </c>
      <c r="BS18" s="173"/>
      <c r="BT18" s="173"/>
      <c r="BU18" s="173"/>
      <c r="BV18" s="173"/>
      <c r="BW18" s="173"/>
      <c r="BX18" s="173"/>
      <c r="BY18" s="173"/>
      <c r="BZ18" s="215"/>
      <c r="CA18" s="244"/>
      <c r="CB18" s="233"/>
      <c r="CC18" s="239">
        <f>VLOOKUP(Table7[[#This Row],[Vlookup Store '#]],'Kiosk Stickers'!A$4:$H$538,6,FALSE)</f>
        <v>1</v>
      </c>
      <c r="CD18" s="233"/>
      <c r="CE18" s="233"/>
      <c r="CF18" s="233"/>
      <c r="CG18" s="233"/>
      <c r="CH18" s="262"/>
      <c r="CI18" s="351"/>
      <c r="CJ18" s="350"/>
      <c r="CK18" s="350"/>
      <c r="CL18" s="350">
        <v>2</v>
      </c>
      <c r="CM18" s="350"/>
      <c r="CN18" s="350"/>
      <c r="CO18" s="350"/>
      <c r="CP18" s="350"/>
      <c r="CQ18" s="364"/>
      <c r="CR18" s="370"/>
      <c r="CS18" s="367"/>
      <c r="CT18" s="367"/>
      <c r="CU18" s="367">
        <v>10</v>
      </c>
      <c r="CV18" s="367"/>
      <c r="CW18" s="387"/>
      <c r="CX18" s="398"/>
      <c r="CY18" s="399"/>
      <c r="CZ18" s="399"/>
      <c r="DA18" s="399"/>
      <c r="DB18" s="399">
        <v>1</v>
      </c>
      <c r="DC18" s="400"/>
      <c r="DD18" s="400"/>
      <c r="DE18" s="514"/>
      <c r="DF18" s="514">
        <f t="shared" si="0"/>
        <v>1</v>
      </c>
      <c r="DG18" s="144"/>
      <c r="DH18" s="143"/>
    </row>
    <row r="19" spans="1:112" x14ac:dyDescent="0.25">
      <c r="A19" s="15" t="s">
        <v>100</v>
      </c>
      <c r="B19" s="15">
        <v>806</v>
      </c>
      <c r="C19" s="15" t="s">
        <v>3466</v>
      </c>
      <c r="D19" s="15">
        <v>1329</v>
      </c>
      <c r="E19" s="15" t="s">
        <v>510</v>
      </c>
      <c r="F19" s="15" t="s">
        <v>511</v>
      </c>
      <c r="G19" s="15" t="s">
        <v>512</v>
      </c>
      <c r="H19" s="15" t="s">
        <v>104</v>
      </c>
      <c r="I19" s="15" t="s">
        <v>105</v>
      </c>
      <c r="J19" s="15" t="s">
        <v>3467</v>
      </c>
      <c r="K19" s="15" t="s">
        <v>513</v>
      </c>
      <c r="L19" s="15" t="s">
        <v>3737</v>
      </c>
      <c r="M19" s="15" t="s">
        <v>3739</v>
      </c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>
        <v>1500</v>
      </c>
      <c r="AA19" s="70"/>
      <c r="AB19" s="70"/>
      <c r="AC19" s="70"/>
      <c r="AD19" s="70"/>
      <c r="AE19" s="70"/>
      <c r="AF19" s="70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>
        <v>10</v>
      </c>
      <c r="AT19" s="71"/>
      <c r="AU19" s="71"/>
      <c r="AV19" s="71"/>
      <c r="AW19" s="71"/>
      <c r="AX19" s="71"/>
      <c r="AY19" s="71"/>
      <c r="AZ19" s="165"/>
      <c r="BA19" s="131"/>
      <c r="BB19" s="131"/>
      <c r="BC19" s="131"/>
      <c r="BD19" s="131">
        <f>VLOOKUP(Table7[[#This Row],[Vlookup Store '#]],'Kiosk Stickers'!A$4:$H$538,2,FALSE)</f>
        <v>2</v>
      </c>
      <c r="BE19" s="169"/>
      <c r="BF19" s="184">
        <f>VLOOKUP(Table7[[#This Row],[Vlookup Store '#]],'Kiosk Stickers'!A$4:$H$538,3,FALSE)</f>
        <v>0</v>
      </c>
      <c r="BG19" s="173"/>
      <c r="BH19" s="173"/>
      <c r="BI19" s="173"/>
      <c r="BJ19" s="173"/>
      <c r="BK19" s="173"/>
      <c r="BL19" s="173"/>
      <c r="BM19" s="173"/>
      <c r="BN19" s="215"/>
      <c r="BO19" s="199">
        <f>VLOOKUP(Table7[[#This Row],[Vlookup Store '#]],'Kiosk Stickers'!A$4:$H$538,4,FALSE)</f>
        <v>0</v>
      </c>
      <c r="BP19" s="171"/>
      <c r="BQ19" s="226"/>
      <c r="BR19" s="184">
        <f>VLOOKUP(Table7[[#This Row],[Vlookup Store '#]],'Kiosk Stickers'!A$4:$H$538,5,FALSE)</f>
        <v>0</v>
      </c>
      <c r="BS19" s="173"/>
      <c r="BT19" s="173"/>
      <c r="BU19" s="173"/>
      <c r="BV19" s="173"/>
      <c r="BW19" s="173"/>
      <c r="BX19" s="173"/>
      <c r="BY19" s="173"/>
      <c r="BZ19" s="215"/>
      <c r="CA19" s="243"/>
      <c r="CB19" s="233"/>
      <c r="CC19" s="233"/>
      <c r="CD19" s="233"/>
      <c r="CE19" s="233"/>
      <c r="CF19" s="233"/>
      <c r="CG19" s="233"/>
      <c r="CH19" s="262"/>
      <c r="CI19" s="351"/>
      <c r="CJ19" s="350"/>
      <c r="CK19" s="350"/>
      <c r="CL19" s="350">
        <v>2</v>
      </c>
      <c r="CM19" s="350"/>
      <c r="CN19" s="350"/>
      <c r="CO19" s="350"/>
      <c r="CP19" s="350"/>
      <c r="CQ19" s="364"/>
      <c r="CR19" s="370"/>
      <c r="CS19" s="367"/>
      <c r="CT19" s="367"/>
      <c r="CU19" s="367">
        <v>10</v>
      </c>
      <c r="CV19" s="367"/>
      <c r="CW19" s="387"/>
      <c r="CX19" s="398"/>
      <c r="CY19" s="399"/>
      <c r="CZ19" s="399"/>
      <c r="DA19" s="399"/>
      <c r="DB19" s="399">
        <v>1</v>
      </c>
      <c r="DC19" s="400"/>
      <c r="DD19" s="400"/>
      <c r="DE19" s="514"/>
      <c r="DF19" s="514">
        <f t="shared" si="0"/>
        <v>1</v>
      </c>
      <c r="DG19" s="144"/>
      <c r="DH19" s="143"/>
    </row>
    <row r="20" spans="1:112" x14ac:dyDescent="0.25">
      <c r="A20" s="15" t="s">
        <v>100</v>
      </c>
      <c r="B20" s="15">
        <v>806</v>
      </c>
      <c r="C20" s="15" t="s">
        <v>3468</v>
      </c>
      <c r="D20" s="15">
        <v>1331</v>
      </c>
      <c r="E20" s="15" t="s">
        <v>514</v>
      </c>
      <c r="F20" s="15" t="s">
        <v>515</v>
      </c>
      <c r="G20" s="15" t="s">
        <v>516</v>
      </c>
      <c r="H20" s="15" t="s">
        <v>104</v>
      </c>
      <c r="I20" s="15" t="s">
        <v>105</v>
      </c>
      <c r="J20" s="15" t="s">
        <v>3459</v>
      </c>
      <c r="K20" s="15" t="s">
        <v>517</v>
      </c>
      <c r="L20" s="15" t="s">
        <v>3737</v>
      </c>
      <c r="M20" s="15" t="s">
        <v>3739</v>
      </c>
      <c r="N20" s="70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0">
        <v>1500</v>
      </c>
      <c r="AA20" s="72"/>
      <c r="AB20" s="72"/>
      <c r="AC20" s="72"/>
      <c r="AD20" s="72"/>
      <c r="AE20" s="72"/>
      <c r="AF20" s="72"/>
      <c r="AG20" s="71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71">
        <v>10</v>
      </c>
      <c r="AT20" s="119"/>
      <c r="AU20" s="119"/>
      <c r="AV20" s="119"/>
      <c r="AW20" s="119"/>
      <c r="AX20" s="119"/>
      <c r="AY20" s="119"/>
      <c r="AZ20" s="166"/>
      <c r="BA20" s="131"/>
      <c r="BB20" s="131"/>
      <c r="BC20" s="131"/>
      <c r="BD20" s="131">
        <v>1</v>
      </c>
      <c r="BE20" s="169"/>
      <c r="BF20" s="184"/>
      <c r="BG20" s="173"/>
      <c r="BH20" s="173"/>
      <c r="BI20" s="173"/>
      <c r="BJ20" s="173"/>
      <c r="BK20" s="173"/>
      <c r="BL20" s="173"/>
      <c r="BM20" s="173"/>
      <c r="BN20" s="215"/>
      <c r="BO20" s="199"/>
      <c r="BP20" s="171"/>
      <c r="BQ20" s="226"/>
      <c r="BR20" s="184"/>
      <c r="BS20" s="173"/>
      <c r="BT20" s="173"/>
      <c r="BU20" s="173"/>
      <c r="BV20" s="173"/>
      <c r="BW20" s="173"/>
      <c r="BX20" s="173"/>
      <c r="BY20" s="173"/>
      <c r="BZ20" s="215"/>
      <c r="CA20" s="243"/>
      <c r="CB20" s="233"/>
      <c r="CC20" s="233"/>
      <c r="CD20" s="233"/>
      <c r="CE20" s="233"/>
      <c r="CF20" s="233"/>
      <c r="CG20" s="233"/>
      <c r="CH20" s="262"/>
      <c r="CI20" s="351"/>
      <c r="CJ20" s="350"/>
      <c r="CK20" s="350"/>
      <c r="CL20" s="350">
        <v>2</v>
      </c>
      <c r="CM20" s="350"/>
      <c r="CN20" s="350"/>
      <c r="CO20" s="350"/>
      <c r="CP20" s="350"/>
      <c r="CQ20" s="364"/>
      <c r="CR20" s="370"/>
      <c r="CS20" s="367"/>
      <c r="CT20" s="367"/>
      <c r="CU20" s="367">
        <v>10</v>
      </c>
      <c r="CV20" s="367"/>
      <c r="CW20" s="387"/>
      <c r="CX20" s="398"/>
      <c r="CY20" s="399"/>
      <c r="CZ20" s="399"/>
      <c r="DA20" s="399"/>
      <c r="DB20" s="399">
        <v>1</v>
      </c>
      <c r="DC20" s="400"/>
      <c r="DD20" s="400"/>
      <c r="DE20" s="514"/>
      <c r="DF20" s="514">
        <f t="shared" si="0"/>
        <v>1</v>
      </c>
      <c r="DG20" s="144"/>
      <c r="DH20" s="143"/>
    </row>
    <row r="21" spans="1:112" x14ac:dyDescent="0.25">
      <c r="A21" s="15" t="s">
        <v>100</v>
      </c>
      <c r="B21" s="15">
        <v>806</v>
      </c>
      <c r="C21" s="15" t="s">
        <v>3692</v>
      </c>
      <c r="D21" s="15">
        <v>2552</v>
      </c>
      <c r="E21" s="15" t="s">
        <v>518</v>
      </c>
      <c r="F21" s="15" t="s">
        <v>503</v>
      </c>
      <c r="G21" s="15" t="s">
        <v>520</v>
      </c>
      <c r="H21" s="15" t="s">
        <v>104</v>
      </c>
      <c r="I21" s="15" t="s">
        <v>105</v>
      </c>
      <c r="J21" s="15" t="s">
        <v>3153</v>
      </c>
      <c r="K21" s="15" t="s">
        <v>521</v>
      </c>
      <c r="L21" s="15" t="s">
        <v>3737</v>
      </c>
      <c r="M21" s="15" t="s">
        <v>3739</v>
      </c>
      <c r="N21" s="70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0">
        <v>1500</v>
      </c>
      <c r="AA21" s="72"/>
      <c r="AB21" s="72"/>
      <c r="AC21" s="72"/>
      <c r="AD21" s="72"/>
      <c r="AE21" s="72"/>
      <c r="AF21" s="72"/>
      <c r="AG21" s="71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71">
        <v>10</v>
      </c>
      <c r="AT21" s="119"/>
      <c r="AU21" s="119"/>
      <c r="AV21" s="119"/>
      <c r="AW21" s="119"/>
      <c r="AX21" s="119"/>
      <c r="AY21" s="119"/>
      <c r="AZ21" s="166"/>
      <c r="BA21" s="131"/>
      <c r="BB21" s="131"/>
      <c r="BC21" s="131"/>
      <c r="BD21" s="131">
        <f>VLOOKUP(Table7[[#This Row],[Vlookup Store '#]],'Kiosk Stickers'!A$4:$H$538,2,FALSE)</f>
        <v>1</v>
      </c>
      <c r="BE21" s="169"/>
      <c r="BF21" s="184">
        <f>VLOOKUP(Table7[[#This Row],[Vlookup Store '#]],'Kiosk Stickers'!A$4:$H$538,3,FALSE)</f>
        <v>0</v>
      </c>
      <c r="BG21" s="173"/>
      <c r="BH21" s="173"/>
      <c r="BI21" s="173"/>
      <c r="BJ21" s="173"/>
      <c r="BK21" s="173"/>
      <c r="BL21" s="173"/>
      <c r="BM21" s="173"/>
      <c r="BN21" s="215"/>
      <c r="BO21" s="199">
        <f>VLOOKUP(Table7[[#This Row],[Vlookup Store '#]],'Kiosk Stickers'!A$4:$H$538,4,FALSE)</f>
        <v>0</v>
      </c>
      <c r="BP21" s="171"/>
      <c r="BQ21" s="226"/>
      <c r="BR21" s="184">
        <f>VLOOKUP(Table7[[#This Row],[Vlookup Store '#]],'Kiosk Stickers'!A$4:$H$538,5,FALSE)</f>
        <v>0</v>
      </c>
      <c r="BS21" s="173"/>
      <c r="BT21" s="173"/>
      <c r="BU21" s="173"/>
      <c r="BV21" s="173"/>
      <c r="BW21" s="173"/>
      <c r="BX21" s="173"/>
      <c r="BY21" s="173"/>
      <c r="BZ21" s="215"/>
      <c r="CA21" s="243"/>
      <c r="CB21" s="233"/>
      <c r="CC21" s="233"/>
      <c r="CD21" s="233"/>
      <c r="CE21" s="233"/>
      <c r="CF21" s="233"/>
      <c r="CG21" s="233"/>
      <c r="CH21" s="262"/>
      <c r="CI21" s="351"/>
      <c r="CJ21" s="350"/>
      <c r="CK21" s="350"/>
      <c r="CL21" s="350">
        <v>2</v>
      </c>
      <c r="CM21" s="350"/>
      <c r="CN21" s="350"/>
      <c r="CO21" s="350"/>
      <c r="CP21" s="350"/>
      <c r="CQ21" s="364"/>
      <c r="CR21" s="370"/>
      <c r="CS21" s="367"/>
      <c r="CT21" s="367"/>
      <c r="CU21" s="367">
        <v>10</v>
      </c>
      <c r="CV21" s="367"/>
      <c r="CW21" s="387"/>
      <c r="CX21" s="398"/>
      <c r="CY21" s="399"/>
      <c r="CZ21" s="399"/>
      <c r="DA21" s="399"/>
      <c r="DB21" s="399">
        <v>1</v>
      </c>
      <c r="DC21" s="400"/>
      <c r="DD21" s="400"/>
      <c r="DE21" s="514"/>
      <c r="DF21" s="514">
        <f t="shared" si="0"/>
        <v>1</v>
      </c>
      <c r="DG21" s="144"/>
      <c r="DH21" s="143"/>
    </row>
    <row r="22" spans="1:112" x14ac:dyDescent="0.25">
      <c r="A22" s="15" t="s">
        <v>100</v>
      </c>
      <c r="B22" s="15">
        <v>806</v>
      </c>
      <c r="C22" s="15" t="s">
        <v>3695</v>
      </c>
      <c r="D22" s="15">
        <v>2557</v>
      </c>
      <c r="E22" s="15" t="s">
        <v>522</v>
      </c>
      <c r="F22" s="15" t="s">
        <v>523</v>
      </c>
      <c r="G22" s="15" t="s">
        <v>524</v>
      </c>
      <c r="H22" s="15" t="s">
        <v>104</v>
      </c>
      <c r="I22" s="15" t="s">
        <v>105</v>
      </c>
      <c r="J22" s="15" t="s">
        <v>3154</v>
      </c>
      <c r="K22" s="15" t="s">
        <v>525</v>
      </c>
      <c r="L22" s="15" t="s">
        <v>3737</v>
      </c>
      <c r="M22" s="15" t="s">
        <v>3739</v>
      </c>
      <c r="N22" s="70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0">
        <v>1500</v>
      </c>
      <c r="AA22" s="72"/>
      <c r="AB22" s="72"/>
      <c r="AC22" s="72"/>
      <c r="AD22" s="72"/>
      <c r="AE22" s="72"/>
      <c r="AF22" s="72"/>
      <c r="AG22" s="71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71">
        <v>10</v>
      </c>
      <c r="AT22" s="119"/>
      <c r="AU22" s="119"/>
      <c r="AV22" s="119"/>
      <c r="AW22" s="119"/>
      <c r="AX22" s="119"/>
      <c r="AY22" s="119"/>
      <c r="AZ22" s="166"/>
      <c r="BA22" s="131"/>
      <c r="BB22" s="131"/>
      <c r="BC22" s="131"/>
      <c r="BD22" s="131">
        <f>VLOOKUP(Table7[[#This Row],[Vlookup Store '#]],'Kiosk Stickers'!A$4:$H$538,2,FALSE)</f>
        <v>1</v>
      </c>
      <c r="BE22" s="169"/>
      <c r="BF22" s="184">
        <f>VLOOKUP(Table7[[#This Row],[Vlookup Store '#]],'Kiosk Stickers'!A$4:$H$538,3,FALSE)</f>
        <v>0</v>
      </c>
      <c r="BG22" s="173"/>
      <c r="BH22" s="173"/>
      <c r="BI22" s="173"/>
      <c r="BJ22" s="173"/>
      <c r="BK22" s="173"/>
      <c r="BL22" s="173"/>
      <c r="BM22" s="173"/>
      <c r="BN22" s="215"/>
      <c r="BO22" s="199">
        <f>VLOOKUP(Table7[[#This Row],[Vlookup Store '#]],'Kiosk Stickers'!A$4:$H$538,4,FALSE)</f>
        <v>0</v>
      </c>
      <c r="BP22" s="171"/>
      <c r="BQ22" s="226"/>
      <c r="BR22" s="184">
        <f>VLOOKUP(Table7[[#This Row],[Vlookup Store '#]],'Kiosk Stickers'!A$4:$H$538,5,FALSE)</f>
        <v>0</v>
      </c>
      <c r="BS22" s="173"/>
      <c r="BT22" s="173"/>
      <c r="BU22" s="173"/>
      <c r="BV22" s="173"/>
      <c r="BW22" s="173"/>
      <c r="BX22" s="173"/>
      <c r="BY22" s="173"/>
      <c r="BZ22" s="215"/>
      <c r="CA22" s="243"/>
      <c r="CB22" s="233"/>
      <c r="CC22" s="233"/>
      <c r="CD22" s="233"/>
      <c r="CE22" s="233"/>
      <c r="CF22" s="233"/>
      <c r="CG22" s="233"/>
      <c r="CH22" s="262"/>
      <c r="CI22" s="351"/>
      <c r="CJ22" s="350"/>
      <c r="CK22" s="350"/>
      <c r="CL22" s="350">
        <v>2</v>
      </c>
      <c r="CM22" s="350"/>
      <c r="CN22" s="350"/>
      <c r="CO22" s="350"/>
      <c r="CP22" s="350"/>
      <c r="CQ22" s="364"/>
      <c r="CR22" s="370"/>
      <c r="CS22" s="367"/>
      <c r="CT22" s="367"/>
      <c r="CU22" s="367">
        <v>10</v>
      </c>
      <c r="CV22" s="367"/>
      <c r="CW22" s="387"/>
      <c r="CX22" s="398"/>
      <c r="CY22" s="399"/>
      <c r="CZ22" s="399"/>
      <c r="DA22" s="399"/>
      <c r="DB22" s="399">
        <v>1</v>
      </c>
      <c r="DC22" s="400"/>
      <c r="DD22" s="400"/>
      <c r="DE22" s="514"/>
      <c r="DF22" s="514">
        <f t="shared" si="0"/>
        <v>1</v>
      </c>
      <c r="DG22" s="144"/>
      <c r="DH22" s="143"/>
    </row>
    <row r="23" spans="1:112" x14ac:dyDescent="0.25">
      <c r="A23" s="15" t="s">
        <v>222</v>
      </c>
      <c r="B23" s="15">
        <v>830</v>
      </c>
      <c r="C23" s="15" t="s">
        <v>3335</v>
      </c>
      <c r="D23" s="15">
        <v>1016</v>
      </c>
      <c r="E23" s="15" t="s">
        <v>626</v>
      </c>
      <c r="F23" s="15" t="s">
        <v>607</v>
      </c>
      <c r="G23" s="15" t="s">
        <v>627</v>
      </c>
      <c r="H23" s="15" t="s">
        <v>225</v>
      </c>
      <c r="I23" s="15" t="s">
        <v>220</v>
      </c>
      <c r="J23" s="15" t="s">
        <v>3321</v>
      </c>
      <c r="K23" s="15" t="s">
        <v>628</v>
      </c>
      <c r="L23" s="15" t="s">
        <v>3737</v>
      </c>
      <c r="M23" s="15" t="s">
        <v>3739</v>
      </c>
      <c r="N23" s="70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0">
        <v>1500</v>
      </c>
      <c r="AA23" s="72"/>
      <c r="AB23" s="72"/>
      <c r="AC23" s="72"/>
      <c r="AD23" s="72"/>
      <c r="AE23" s="72"/>
      <c r="AF23" s="72"/>
      <c r="AG23" s="71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71">
        <v>10</v>
      </c>
      <c r="AT23" s="119"/>
      <c r="AU23" s="119"/>
      <c r="AV23" s="119"/>
      <c r="AW23" s="119"/>
      <c r="AX23" s="119"/>
      <c r="AY23" s="119"/>
      <c r="AZ23" s="166"/>
      <c r="BA23" s="131"/>
      <c r="BB23" s="131"/>
      <c r="BC23" s="131"/>
      <c r="BD23" s="131">
        <f>VLOOKUP(Table7[[#This Row],[Vlookup Store '#]],'Kiosk Stickers'!A$4:$H$538,2,FALSE)</f>
        <v>0</v>
      </c>
      <c r="BE23" s="169"/>
      <c r="BF23" s="194"/>
      <c r="BG23" s="173"/>
      <c r="BH23" s="173"/>
      <c r="BI23" s="173">
        <f>VLOOKUP(Table7[[#This Row],[Vlookup Store '#]],'Kiosk Stickers'!A$4:$H$538,3,FALSE)</f>
        <v>2</v>
      </c>
      <c r="BJ23" s="173"/>
      <c r="BK23" s="173"/>
      <c r="BL23" s="173"/>
      <c r="BM23" s="173"/>
      <c r="BN23" s="215"/>
      <c r="BO23" s="199">
        <f>VLOOKUP(Table7[[#This Row],[Vlookup Store '#]],'Kiosk Stickers'!A$4:$H$538,4,FALSE)</f>
        <v>0</v>
      </c>
      <c r="BP23" s="171"/>
      <c r="BQ23" s="226"/>
      <c r="BR23" s="184">
        <f>VLOOKUP(Table7[[#This Row],[Vlookup Store '#]],'Kiosk Stickers'!A$4:$H$538,5,FALSE)</f>
        <v>0</v>
      </c>
      <c r="BS23" s="173"/>
      <c r="BT23" s="173"/>
      <c r="BU23" s="173"/>
      <c r="BV23" s="173"/>
      <c r="BW23" s="173"/>
      <c r="BX23" s="173"/>
      <c r="BY23" s="173"/>
      <c r="BZ23" s="215"/>
      <c r="CA23" s="243"/>
      <c r="CB23" s="233"/>
      <c r="CC23" s="233"/>
      <c r="CD23" s="233"/>
      <c r="CE23" s="233"/>
      <c r="CF23" s="233"/>
      <c r="CG23" s="233"/>
      <c r="CH23" s="262"/>
      <c r="CI23" s="351"/>
      <c r="CJ23" s="350"/>
      <c r="CK23" s="350"/>
      <c r="CL23" s="350">
        <v>2</v>
      </c>
      <c r="CM23" s="350"/>
      <c r="CN23" s="350"/>
      <c r="CO23" s="350"/>
      <c r="CP23" s="350"/>
      <c r="CQ23" s="364"/>
      <c r="CR23" s="370"/>
      <c r="CS23" s="367"/>
      <c r="CT23" s="367"/>
      <c r="CU23" s="367">
        <v>10</v>
      </c>
      <c r="CV23" s="367"/>
      <c r="CW23" s="387"/>
      <c r="CX23" s="398"/>
      <c r="CY23" s="399"/>
      <c r="CZ23" s="399"/>
      <c r="DA23" s="399"/>
      <c r="DB23" s="399">
        <v>1</v>
      </c>
      <c r="DC23" s="400"/>
      <c r="DD23" s="400"/>
      <c r="DE23" s="514"/>
      <c r="DF23" s="514">
        <f t="shared" si="0"/>
        <v>1</v>
      </c>
      <c r="DG23" s="144"/>
      <c r="DH23" s="143"/>
    </row>
    <row r="24" spans="1:112" x14ac:dyDescent="0.25">
      <c r="A24" s="15" t="s">
        <v>222</v>
      </c>
      <c r="B24" s="15">
        <v>830</v>
      </c>
      <c r="C24" s="15" t="s">
        <v>3344</v>
      </c>
      <c r="D24" s="15">
        <v>1034</v>
      </c>
      <c r="E24" s="15" t="s">
        <v>629</v>
      </c>
      <c r="F24" s="15" t="s">
        <v>630</v>
      </c>
      <c r="G24" s="15" t="s">
        <v>631</v>
      </c>
      <c r="H24" s="15" t="s">
        <v>632</v>
      </c>
      <c r="I24" s="15" t="s">
        <v>220</v>
      </c>
      <c r="J24" s="15" t="s">
        <v>3345</v>
      </c>
      <c r="K24" s="15" t="s">
        <v>633</v>
      </c>
      <c r="L24" s="15" t="s">
        <v>3737</v>
      </c>
      <c r="M24" s="15" t="s">
        <v>3739</v>
      </c>
      <c r="N24" s="70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0">
        <v>1500</v>
      </c>
      <c r="AA24" s="72"/>
      <c r="AB24" s="72"/>
      <c r="AC24" s="72"/>
      <c r="AD24" s="72"/>
      <c r="AE24" s="72"/>
      <c r="AF24" s="72"/>
      <c r="AG24" s="71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71">
        <v>10</v>
      </c>
      <c r="AT24" s="119"/>
      <c r="AU24" s="119"/>
      <c r="AV24" s="119"/>
      <c r="AW24" s="119"/>
      <c r="AX24" s="119"/>
      <c r="AY24" s="119"/>
      <c r="AZ24" s="166"/>
      <c r="BA24" s="131"/>
      <c r="BB24" s="131"/>
      <c r="BC24" s="131"/>
      <c r="BD24" s="131">
        <f>VLOOKUP(Table7[[#This Row],[Vlookup Store '#]],'Kiosk Stickers'!A$4:$H$538,2,FALSE)</f>
        <v>2</v>
      </c>
      <c r="BE24" s="169"/>
      <c r="BF24" s="194"/>
      <c r="BG24" s="173"/>
      <c r="BH24" s="173"/>
      <c r="BI24" s="173">
        <f>VLOOKUP(Table7[[#This Row],[Vlookup Store '#]],'Kiosk Stickers'!A$4:$H$538,3,FALSE)</f>
        <v>0</v>
      </c>
      <c r="BJ24" s="173"/>
      <c r="BK24" s="173"/>
      <c r="BL24" s="173"/>
      <c r="BM24" s="173"/>
      <c r="BN24" s="215"/>
      <c r="BO24" s="199">
        <f>VLOOKUP(Table7[[#This Row],[Vlookup Store '#]],'Kiosk Stickers'!A$4:$H$538,4,FALSE)</f>
        <v>0</v>
      </c>
      <c r="BP24" s="171"/>
      <c r="BQ24" s="226"/>
      <c r="BR24" s="184">
        <f>VLOOKUP(Table7[[#This Row],[Vlookup Store '#]],'Kiosk Stickers'!A$4:$H$538,5,FALSE)</f>
        <v>0</v>
      </c>
      <c r="BS24" s="173"/>
      <c r="BT24" s="173"/>
      <c r="BU24" s="173"/>
      <c r="BV24" s="173"/>
      <c r="BW24" s="173"/>
      <c r="BX24" s="173"/>
      <c r="BY24" s="173"/>
      <c r="BZ24" s="215"/>
      <c r="CA24" s="243"/>
      <c r="CB24" s="233"/>
      <c r="CC24" s="233"/>
      <c r="CD24" s="233"/>
      <c r="CE24" s="233"/>
      <c r="CF24" s="233"/>
      <c r="CG24" s="233"/>
      <c r="CH24" s="262"/>
      <c r="CI24" s="351"/>
      <c r="CJ24" s="350"/>
      <c r="CK24" s="350"/>
      <c r="CL24" s="350">
        <v>2</v>
      </c>
      <c r="CM24" s="350"/>
      <c r="CN24" s="350"/>
      <c r="CO24" s="350"/>
      <c r="CP24" s="350"/>
      <c r="CQ24" s="364"/>
      <c r="CR24" s="370"/>
      <c r="CS24" s="367"/>
      <c r="CT24" s="367"/>
      <c r="CU24" s="367">
        <v>10</v>
      </c>
      <c r="CV24" s="367"/>
      <c r="CW24" s="387"/>
      <c r="CX24" s="398"/>
      <c r="CY24" s="399"/>
      <c r="CZ24" s="399"/>
      <c r="DA24" s="399"/>
      <c r="DB24" s="399">
        <v>1</v>
      </c>
      <c r="DC24" s="400"/>
      <c r="DD24" s="400"/>
      <c r="DE24" s="514"/>
      <c r="DF24" s="514">
        <f t="shared" si="0"/>
        <v>1</v>
      </c>
      <c r="DG24" s="144"/>
      <c r="DH24" s="143"/>
    </row>
    <row r="25" spans="1:112" x14ac:dyDescent="0.25">
      <c r="A25" s="15" t="s">
        <v>222</v>
      </c>
      <c r="B25" s="15">
        <v>830</v>
      </c>
      <c r="C25" s="15" t="s">
        <v>3346</v>
      </c>
      <c r="D25" s="15">
        <v>1035</v>
      </c>
      <c r="E25" s="15" t="s">
        <v>634</v>
      </c>
      <c r="F25" s="15" t="s">
        <v>635</v>
      </c>
      <c r="G25" s="15" t="s">
        <v>636</v>
      </c>
      <c r="H25" s="15" t="s">
        <v>225</v>
      </c>
      <c r="I25" s="15" t="s">
        <v>220</v>
      </c>
      <c r="J25" s="15" t="s">
        <v>3347</v>
      </c>
      <c r="K25" s="15" t="s">
        <v>637</v>
      </c>
      <c r="L25" s="15" t="s">
        <v>3737</v>
      </c>
      <c r="M25" s="15" t="s">
        <v>3739</v>
      </c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>
        <v>1500</v>
      </c>
      <c r="AA25" s="70"/>
      <c r="AB25" s="70"/>
      <c r="AC25" s="70"/>
      <c r="AD25" s="70"/>
      <c r="AE25" s="70"/>
      <c r="AF25" s="70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>
        <v>10</v>
      </c>
      <c r="AT25" s="71"/>
      <c r="AU25" s="71"/>
      <c r="AV25" s="71"/>
      <c r="AW25" s="71"/>
      <c r="AX25" s="71"/>
      <c r="AY25" s="71"/>
      <c r="AZ25" s="166"/>
      <c r="BA25" s="131"/>
      <c r="BB25" s="131"/>
      <c r="BC25" s="131"/>
      <c r="BD25" s="131">
        <v>1</v>
      </c>
      <c r="BE25" s="169"/>
      <c r="BF25" s="194"/>
      <c r="BG25" s="173"/>
      <c r="BH25" s="173"/>
      <c r="BI25" s="173"/>
      <c r="BJ25" s="173"/>
      <c r="BK25" s="173"/>
      <c r="BL25" s="173"/>
      <c r="BM25" s="173"/>
      <c r="BN25" s="215"/>
      <c r="BO25" s="199"/>
      <c r="BP25" s="171"/>
      <c r="BQ25" s="226"/>
      <c r="BR25" s="184"/>
      <c r="BS25" s="173"/>
      <c r="BT25" s="173"/>
      <c r="BU25" s="173"/>
      <c r="BV25" s="173"/>
      <c r="BW25" s="173"/>
      <c r="BX25" s="173"/>
      <c r="BY25" s="173"/>
      <c r="BZ25" s="215"/>
      <c r="CA25" s="243"/>
      <c r="CB25" s="233"/>
      <c r="CC25" s="233"/>
      <c r="CD25" s="233"/>
      <c r="CE25" s="233"/>
      <c r="CF25" s="233"/>
      <c r="CG25" s="233"/>
      <c r="CH25" s="262"/>
      <c r="CI25" s="351"/>
      <c r="CJ25" s="350"/>
      <c r="CK25" s="350"/>
      <c r="CL25" s="350">
        <v>2</v>
      </c>
      <c r="CM25" s="350"/>
      <c r="CN25" s="350"/>
      <c r="CO25" s="350"/>
      <c r="CP25" s="350"/>
      <c r="CQ25" s="364"/>
      <c r="CR25" s="370"/>
      <c r="CS25" s="367"/>
      <c r="CT25" s="367"/>
      <c r="CU25" s="367">
        <v>10</v>
      </c>
      <c r="CV25" s="367"/>
      <c r="CW25" s="387"/>
      <c r="CX25" s="398"/>
      <c r="CY25" s="399"/>
      <c r="CZ25" s="399"/>
      <c r="DA25" s="399"/>
      <c r="DB25" s="399">
        <v>1</v>
      </c>
      <c r="DC25" s="400"/>
      <c r="DD25" s="400"/>
      <c r="DE25" s="514"/>
      <c r="DF25" s="514">
        <f t="shared" si="0"/>
        <v>1</v>
      </c>
      <c r="DG25" s="144"/>
      <c r="DH25" s="143"/>
    </row>
    <row r="26" spans="1:112" x14ac:dyDescent="0.25">
      <c r="A26" s="15" t="s">
        <v>222</v>
      </c>
      <c r="B26" s="15">
        <v>830</v>
      </c>
      <c r="C26" s="15" t="s">
        <v>3350</v>
      </c>
      <c r="D26" s="15">
        <v>1038</v>
      </c>
      <c r="E26" s="15" t="s">
        <v>638</v>
      </c>
      <c r="F26" s="15" t="s">
        <v>639</v>
      </c>
      <c r="G26" s="15" t="s">
        <v>640</v>
      </c>
      <c r="H26" s="15" t="s">
        <v>225</v>
      </c>
      <c r="I26" s="15" t="s">
        <v>220</v>
      </c>
      <c r="J26" s="15" t="s">
        <v>3351</v>
      </c>
      <c r="K26" s="15" t="s">
        <v>641</v>
      </c>
      <c r="L26" s="15" t="s">
        <v>3737</v>
      </c>
      <c r="M26" s="15" t="s">
        <v>3739</v>
      </c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>
        <v>1500</v>
      </c>
      <c r="AA26" s="70"/>
      <c r="AB26" s="70"/>
      <c r="AC26" s="70"/>
      <c r="AD26" s="70"/>
      <c r="AE26" s="70"/>
      <c r="AF26" s="70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>
        <v>10</v>
      </c>
      <c r="AT26" s="71"/>
      <c r="AU26" s="71"/>
      <c r="AV26" s="71"/>
      <c r="AW26" s="71"/>
      <c r="AX26" s="71"/>
      <c r="AY26" s="71"/>
      <c r="AZ26" s="166"/>
      <c r="BA26" s="131"/>
      <c r="BB26" s="131"/>
      <c r="BC26" s="131"/>
      <c r="BD26" s="131">
        <f>VLOOKUP(Table7[[#This Row],[Vlookup Store '#]],'Kiosk Stickers'!A$4:$H$538,2,FALSE)</f>
        <v>2</v>
      </c>
      <c r="BE26" s="169"/>
      <c r="BF26" s="194"/>
      <c r="BG26" s="173"/>
      <c r="BH26" s="173"/>
      <c r="BI26" s="173">
        <f>VLOOKUP(Table7[[#This Row],[Vlookup Store '#]],'Kiosk Stickers'!A$4:$H$538,3,FALSE)</f>
        <v>0</v>
      </c>
      <c r="BJ26" s="173"/>
      <c r="BK26" s="173"/>
      <c r="BL26" s="173"/>
      <c r="BM26" s="173"/>
      <c r="BN26" s="215"/>
      <c r="BO26" s="199">
        <f>VLOOKUP(Table7[[#This Row],[Vlookup Store '#]],'Kiosk Stickers'!A$4:$H$538,4,FALSE)</f>
        <v>0</v>
      </c>
      <c r="BP26" s="171"/>
      <c r="BQ26" s="226"/>
      <c r="BR26" s="184">
        <f>VLOOKUP(Table7[[#This Row],[Vlookup Store '#]],'Kiosk Stickers'!A$4:$H$538,5,FALSE)</f>
        <v>0</v>
      </c>
      <c r="BS26" s="173"/>
      <c r="BT26" s="173"/>
      <c r="BU26" s="173"/>
      <c r="BV26" s="173"/>
      <c r="BW26" s="173"/>
      <c r="BX26" s="173"/>
      <c r="BY26" s="173"/>
      <c r="BZ26" s="215"/>
      <c r="CA26" s="243"/>
      <c r="CB26" s="233"/>
      <c r="CC26" s="233"/>
      <c r="CD26" s="233"/>
      <c r="CE26" s="233"/>
      <c r="CF26" s="233"/>
      <c r="CG26" s="233"/>
      <c r="CH26" s="262"/>
      <c r="CI26" s="351"/>
      <c r="CJ26" s="350"/>
      <c r="CK26" s="350"/>
      <c r="CL26" s="350">
        <v>2</v>
      </c>
      <c r="CM26" s="350"/>
      <c r="CN26" s="350"/>
      <c r="CO26" s="350"/>
      <c r="CP26" s="350"/>
      <c r="CQ26" s="364"/>
      <c r="CR26" s="370"/>
      <c r="CS26" s="367"/>
      <c r="CT26" s="367"/>
      <c r="CU26" s="367">
        <v>10</v>
      </c>
      <c r="CV26" s="367"/>
      <c r="CW26" s="387"/>
      <c r="CX26" s="398"/>
      <c r="CY26" s="399"/>
      <c r="CZ26" s="399"/>
      <c r="DA26" s="399"/>
      <c r="DB26" s="399">
        <v>1</v>
      </c>
      <c r="DC26" s="400"/>
      <c r="DD26" s="400"/>
      <c r="DE26" s="514"/>
      <c r="DF26" s="514">
        <f t="shared" si="0"/>
        <v>1</v>
      </c>
      <c r="DG26" s="144"/>
      <c r="DH26" s="143"/>
    </row>
    <row r="27" spans="1:112" x14ac:dyDescent="0.25">
      <c r="A27" s="15" t="s">
        <v>222</v>
      </c>
      <c r="B27" s="15">
        <v>830</v>
      </c>
      <c r="C27" s="15" t="s">
        <v>3366</v>
      </c>
      <c r="D27" s="15">
        <v>1058</v>
      </c>
      <c r="E27" s="15" t="s">
        <v>656</v>
      </c>
      <c r="F27" s="15" t="s">
        <v>3014</v>
      </c>
      <c r="G27" s="15" t="s">
        <v>658</v>
      </c>
      <c r="H27" s="15" t="s">
        <v>225</v>
      </c>
      <c r="I27" s="15" t="s">
        <v>220</v>
      </c>
      <c r="J27" s="15" t="s">
        <v>3319</v>
      </c>
      <c r="K27" s="15" t="s">
        <v>659</v>
      </c>
      <c r="L27" s="15" t="s">
        <v>3737</v>
      </c>
      <c r="M27" s="15" t="s">
        <v>3739</v>
      </c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>
        <v>1500</v>
      </c>
      <c r="AA27" s="70"/>
      <c r="AB27" s="70"/>
      <c r="AC27" s="70"/>
      <c r="AD27" s="70"/>
      <c r="AE27" s="70"/>
      <c r="AF27" s="70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>
        <v>10</v>
      </c>
      <c r="AT27" s="71"/>
      <c r="AU27" s="71"/>
      <c r="AV27" s="71"/>
      <c r="AW27" s="71"/>
      <c r="AX27" s="71"/>
      <c r="AY27" s="71"/>
      <c r="AZ27" s="166"/>
      <c r="BA27" s="131"/>
      <c r="BB27" s="131"/>
      <c r="BC27" s="131"/>
      <c r="BD27" s="131">
        <f>VLOOKUP(Table7[[#This Row],[Vlookup Store '#]],'Kiosk Stickers'!A$4:$H$538,2,FALSE)</f>
        <v>2</v>
      </c>
      <c r="BE27" s="169"/>
      <c r="BF27" s="194"/>
      <c r="BG27" s="173"/>
      <c r="BH27" s="173"/>
      <c r="BI27" s="173">
        <f>VLOOKUP(Table7[[#This Row],[Vlookup Store '#]],'Kiosk Stickers'!A$4:$H$538,3,FALSE)</f>
        <v>0</v>
      </c>
      <c r="BJ27" s="173"/>
      <c r="BK27" s="173"/>
      <c r="BL27" s="173"/>
      <c r="BM27" s="173"/>
      <c r="BN27" s="215"/>
      <c r="BO27" s="199">
        <f>VLOOKUP(Table7[[#This Row],[Vlookup Store '#]],'Kiosk Stickers'!A$4:$H$538,4,FALSE)</f>
        <v>0</v>
      </c>
      <c r="BP27" s="171"/>
      <c r="BQ27" s="226"/>
      <c r="BR27" s="184">
        <f>VLOOKUP(Table7[[#This Row],[Vlookup Store '#]],'Kiosk Stickers'!A$4:$H$538,5,FALSE)</f>
        <v>0</v>
      </c>
      <c r="BS27" s="173"/>
      <c r="BT27" s="173"/>
      <c r="BU27" s="173"/>
      <c r="BV27" s="173"/>
      <c r="BW27" s="173"/>
      <c r="BX27" s="173"/>
      <c r="BY27" s="173"/>
      <c r="BZ27" s="215"/>
      <c r="CA27" s="243"/>
      <c r="CB27" s="233"/>
      <c r="CC27" s="233"/>
      <c r="CD27" s="233"/>
      <c r="CE27" s="233"/>
      <c r="CF27" s="233"/>
      <c r="CG27" s="233"/>
      <c r="CH27" s="262"/>
      <c r="CI27" s="351"/>
      <c r="CJ27" s="350"/>
      <c r="CK27" s="350"/>
      <c r="CL27" s="350">
        <v>2</v>
      </c>
      <c r="CM27" s="350"/>
      <c r="CN27" s="350"/>
      <c r="CO27" s="350"/>
      <c r="CP27" s="350"/>
      <c r="CQ27" s="364"/>
      <c r="CR27" s="370"/>
      <c r="CS27" s="367"/>
      <c r="CT27" s="367"/>
      <c r="CU27" s="367">
        <v>10</v>
      </c>
      <c r="CV27" s="367"/>
      <c r="CW27" s="387"/>
      <c r="CX27" s="398"/>
      <c r="CY27" s="399"/>
      <c r="CZ27" s="399"/>
      <c r="DA27" s="399"/>
      <c r="DB27" s="399">
        <v>1</v>
      </c>
      <c r="DC27" s="400"/>
      <c r="DD27" s="400"/>
      <c r="DE27" s="514"/>
      <c r="DF27" s="514">
        <f t="shared" si="0"/>
        <v>1</v>
      </c>
      <c r="DG27" s="144"/>
      <c r="DH27" s="143"/>
    </row>
    <row r="28" spans="1:112" x14ac:dyDescent="0.25">
      <c r="A28" s="15" t="s">
        <v>227</v>
      </c>
      <c r="B28" s="15">
        <v>830</v>
      </c>
      <c r="C28" s="15" t="s">
        <v>3332</v>
      </c>
      <c r="D28" s="15">
        <v>1013</v>
      </c>
      <c r="E28" s="15" t="s">
        <v>668</v>
      </c>
      <c r="F28" s="15" t="s">
        <v>661</v>
      </c>
      <c r="G28" s="15" t="s">
        <v>669</v>
      </c>
      <c r="H28" s="15" t="s">
        <v>663</v>
      </c>
      <c r="I28" s="15" t="s">
        <v>220</v>
      </c>
      <c r="J28" s="15" t="s">
        <v>3333</v>
      </c>
      <c r="K28" s="15" t="s">
        <v>670</v>
      </c>
      <c r="L28" s="15" t="s">
        <v>3737</v>
      </c>
      <c r="M28" s="15" t="s">
        <v>3739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>
        <v>1500</v>
      </c>
      <c r="AA28" s="70"/>
      <c r="AB28" s="70"/>
      <c r="AC28" s="70"/>
      <c r="AD28" s="70"/>
      <c r="AE28" s="70"/>
      <c r="AF28" s="70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>
        <v>10</v>
      </c>
      <c r="AT28" s="71"/>
      <c r="AU28" s="71"/>
      <c r="AV28" s="71"/>
      <c r="AW28" s="71"/>
      <c r="AX28" s="71"/>
      <c r="AY28" s="71"/>
      <c r="AZ28" s="166"/>
      <c r="BA28" s="131"/>
      <c r="BB28" s="131"/>
      <c r="BC28" s="131"/>
      <c r="BD28" s="131">
        <f>VLOOKUP(Table7[[#This Row],[Vlookup Store '#]],'Kiosk Stickers'!A$4:$H$538,2,FALSE)</f>
        <v>0</v>
      </c>
      <c r="BE28" s="169"/>
      <c r="BF28" s="194"/>
      <c r="BG28" s="173"/>
      <c r="BH28" s="173"/>
      <c r="BI28" s="173">
        <f>VLOOKUP(Table7[[#This Row],[Vlookup Store '#]],'Kiosk Stickers'!A$4:$H$538,3,FALSE)</f>
        <v>2</v>
      </c>
      <c r="BJ28" s="173"/>
      <c r="BK28" s="173"/>
      <c r="BL28" s="173"/>
      <c r="BM28" s="173"/>
      <c r="BN28" s="215"/>
      <c r="BO28" s="199">
        <f>VLOOKUP(Table7[[#This Row],[Vlookup Store '#]],'Kiosk Stickers'!A$4:$H$538,4,FALSE)</f>
        <v>0</v>
      </c>
      <c r="BP28" s="171"/>
      <c r="BQ28" s="226"/>
      <c r="BR28" s="184">
        <f>VLOOKUP(Table7[[#This Row],[Vlookup Store '#]],'Kiosk Stickers'!A$4:$H$538,5,FALSE)</f>
        <v>0</v>
      </c>
      <c r="BS28" s="173"/>
      <c r="BT28" s="173"/>
      <c r="BU28" s="173"/>
      <c r="BV28" s="173"/>
      <c r="BW28" s="173"/>
      <c r="BX28" s="173"/>
      <c r="BY28" s="173"/>
      <c r="BZ28" s="215"/>
      <c r="CA28" s="243"/>
      <c r="CB28" s="233"/>
      <c r="CC28" s="233"/>
      <c r="CD28" s="233"/>
      <c r="CE28" s="233"/>
      <c r="CF28" s="233"/>
      <c r="CG28" s="233"/>
      <c r="CH28" s="262"/>
      <c r="CI28" s="351"/>
      <c r="CJ28" s="350"/>
      <c r="CK28" s="350"/>
      <c r="CL28" s="350">
        <v>2</v>
      </c>
      <c r="CM28" s="350"/>
      <c r="CN28" s="350"/>
      <c r="CO28" s="350"/>
      <c r="CP28" s="350"/>
      <c r="CQ28" s="364"/>
      <c r="CR28" s="370"/>
      <c r="CS28" s="367"/>
      <c r="CT28" s="367"/>
      <c r="CU28" s="367">
        <v>10</v>
      </c>
      <c r="CV28" s="367"/>
      <c r="CW28" s="387"/>
      <c r="CX28" s="398"/>
      <c r="CY28" s="399"/>
      <c r="CZ28" s="399"/>
      <c r="DA28" s="399"/>
      <c r="DB28" s="399">
        <v>1</v>
      </c>
      <c r="DC28" s="400"/>
      <c r="DD28" s="400"/>
      <c r="DE28" s="514"/>
      <c r="DF28" s="514">
        <f t="shared" si="0"/>
        <v>1</v>
      </c>
      <c r="DG28" s="144"/>
      <c r="DH28" s="143"/>
    </row>
    <row r="29" spans="1:112" x14ac:dyDescent="0.25">
      <c r="A29" s="15" t="s">
        <v>227</v>
      </c>
      <c r="B29" s="15">
        <v>830</v>
      </c>
      <c r="C29" s="15" t="s">
        <v>3336</v>
      </c>
      <c r="D29" s="15">
        <v>1018</v>
      </c>
      <c r="E29" s="15" t="s">
        <v>671</v>
      </c>
      <c r="F29" s="15" t="s">
        <v>672</v>
      </c>
      <c r="G29" s="15" t="s">
        <v>673</v>
      </c>
      <c r="H29" s="15" t="s">
        <v>674</v>
      </c>
      <c r="I29" s="15" t="s">
        <v>220</v>
      </c>
      <c r="J29" s="15" t="s">
        <v>3337</v>
      </c>
      <c r="K29" s="15" t="s">
        <v>675</v>
      </c>
      <c r="L29" s="15" t="s">
        <v>3737</v>
      </c>
      <c r="M29" s="15" t="s">
        <v>3739</v>
      </c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>
        <v>1500</v>
      </c>
      <c r="AA29" s="70"/>
      <c r="AB29" s="70"/>
      <c r="AC29" s="70"/>
      <c r="AD29" s="70"/>
      <c r="AE29" s="70"/>
      <c r="AF29" s="70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>
        <v>10</v>
      </c>
      <c r="AT29" s="71"/>
      <c r="AU29" s="71"/>
      <c r="AV29" s="71"/>
      <c r="AW29" s="71"/>
      <c r="AX29" s="71"/>
      <c r="AY29" s="71"/>
      <c r="AZ29" s="166"/>
      <c r="BA29" s="131"/>
      <c r="BB29" s="131"/>
      <c r="BC29" s="131"/>
      <c r="BD29" s="131">
        <f>VLOOKUP(Table7[[#This Row],[Vlookup Store '#]],'Kiosk Stickers'!A$4:$H$538,2,FALSE)</f>
        <v>2</v>
      </c>
      <c r="BE29" s="169"/>
      <c r="BF29" s="194"/>
      <c r="BG29" s="173"/>
      <c r="BH29" s="173"/>
      <c r="BI29" s="173">
        <f>VLOOKUP(Table7[[#This Row],[Vlookup Store '#]],'Kiosk Stickers'!A$4:$H$538,3,FALSE)</f>
        <v>0</v>
      </c>
      <c r="BJ29" s="173"/>
      <c r="BK29" s="173"/>
      <c r="BL29" s="173"/>
      <c r="BM29" s="173"/>
      <c r="BN29" s="215"/>
      <c r="BO29" s="199">
        <f>VLOOKUP(Table7[[#This Row],[Vlookup Store '#]],'Kiosk Stickers'!A$4:$H$538,4,FALSE)</f>
        <v>0</v>
      </c>
      <c r="BP29" s="171"/>
      <c r="BQ29" s="226"/>
      <c r="BR29" s="184">
        <f>VLOOKUP(Table7[[#This Row],[Vlookup Store '#]],'Kiosk Stickers'!A$4:$H$538,5,FALSE)</f>
        <v>0</v>
      </c>
      <c r="BS29" s="173"/>
      <c r="BT29" s="173"/>
      <c r="BU29" s="173"/>
      <c r="BV29" s="173"/>
      <c r="BW29" s="173"/>
      <c r="BX29" s="173"/>
      <c r="BY29" s="173"/>
      <c r="BZ29" s="215"/>
      <c r="CA29" s="243"/>
      <c r="CB29" s="233"/>
      <c r="CC29" s="233"/>
      <c r="CD29" s="233"/>
      <c r="CE29" s="233"/>
      <c r="CF29" s="233"/>
      <c r="CG29" s="233"/>
      <c r="CH29" s="262"/>
      <c r="CI29" s="351"/>
      <c r="CJ29" s="350"/>
      <c r="CK29" s="350"/>
      <c r="CL29" s="350">
        <v>2</v>
      </c>
      <c r="CM29" s="350"/>
      <c r="CN29" s="350"/>
      <c r="CO29" s="350"/>
      <c r="CP29" s="350"/>
      <c r="CQ29" s="364"/>
      <c r="CR29" s="370"/>
      <c r="CS29" s="367"/>
      <c r="CT29" s="367"/>
      <c r="CU29" s="367">
        <v>10</v>
      </c>
      <c r="CV29" s="367"/>
      <c r="CW29" s="387"/>
      <c r="CX29" s="398"/>
      <c r="CY29" s="399"/>
      <c r="CZ29" s="399"/>
      <c r="DA29" s="399"/>
      <c r="DB29" s="399">
        <v>1</v>
      </c>
      <c r="DC29" s="400"/>
      <c r="DD29" s="400"/>
      <c r="DE29" s="514"/>
      <c r="DF29" s="514">
        <f t="shared" si="0"/>
        <v>1</v>
      </c>
      <c r="DG29" s="144"/>
      <c r="DH29" s="143"/>
    </row>
    <row r="30" spans="1:112" x14ac:dyDescent="0.25">
      <c r="A30" s="15" t="s">
        <v>227</v>
      </c>
      <c r="B30" s="15">
        <v>830</v>
      </c>
      <c r="C30" s="15" t="s">
        <v>3340</v>
      </c>
      <c r="D30" s="15">
        <v>1027</v>
      </c>
      <c r="E30" s="15" t="s">
        <v>676</v>
      </c>
      <c r="F30" s="15" t="s">
        <v>677</v>
      </c>
      <c r="G30" s="15" t="s">
        <v>678</v>
      </c>
      <c r="H30" s="15" t="s">
        <v>679</v>
      </c>
      <c r="I30" s="15" t="s">
        <v>220</v>
      </c>
      <c r="J30" s="15" t="s">
        <v>3341</v>
      </c>
      <c r="K30" s="15" t="s">
        <v>680</v>
      </c>
      <c r="L30" s="15" t="s">
        <v>3737</v>
      </c>
      <c r="M30" s="15" t="s">
        <v>3739</v>
      </c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>
        <v>1500</v>
      </c>
      <c r="AA30" s="70"/>
      <c r="AB30" s="70"/>
      <c r="AC30" s="70"/>
      <c r="AD30" s="70"/>
      <c r="AE30" s="70"/>
      <c r="AF30" s="70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>
        <v>10</v>
      </c>
      <c r="AT30" s="71"/>
      <c r="AU30" s="71"/>
      <c r="AV30" s="71"/>
      <c r="AW30" s="71"/>
      <c r="AX30" s="71"/>
      <c r="AY30" s="71"/>
      <c r="AZ30" s="166"/>
      <c r="BA30" s="131"/>
      <c r="BB30" s="131"/>
      <c r="BC30" s="131"/>
      <c r="BD30" s="131">
        <f>VLOOKUP(Table7[[#This Row],[Vlookup Store '#]],'Kiosk Stickers'!A$4:$H$538,2,FALSE)</f>
        <v>2</v>
      </c>
      <c r="BE30" s="169"/>
      <c r="BF30" s="194"/>
      <c r="BG30" s="173"/>
      <c r="BH30" s="173"/>
      <c r="BI30" s="173">
        <f>VLOOKUP(Table7[[#This Row],[Vlookup Store '#]],'Kiosk Stickers'!A$4:$H$538,3,FALSE)</f>
        <v>0</v>
      </c>
      <c r="BJ30" s="173"/>
      <c r="BK30" s="173"/>
      <c r="BL30" s="173"/>
      <c r="BM30" s="173"/>
      <c r="BN30" s="215"/>
      <c r="BO30" s="199">
        <f>VLOOKUP(Table7[[#This Row],[Vlookup Store '#]],'Kiosk Stickers'!A$4:$H$538,4,FALSE)</f>
        <v>0</v>
      </c>
      <c r="BP30" s="171"/>
      <c r="BQ30" s="226"/>
      <c r="BR30" s="184">
        <f>VLOOKUP(Table7[[#This Row],[Vlookup Store '#]],'Kiosk Stickers'!A$4:$H$538,5,FALSE)</f>
        <v>0</v>
      </c>
      <c r="BS30" s="173"/>
      <c r="BT30" s="173"/>
      <c r="BU30" s="173"/>
      <c r="BV30" s="173"/>
      <c r="BW30" s="173"/>
      <c r="BX30" s="173"/>
      <c r="BY30" s="173"/>
      <c r="BZ30" s="215"/>
      <c r="CA30" s="243"/>
      <c r="CB30" s="233"/>
      <c r="CC30" s="233"/>
      <c r="CD30" s="233"/>
      <c r="CE30" s="233"/>
      <c r="CF30" s="233"/>
      <c r="CG30" s="233"/>
      <c r="CH30" s="262"/>
      <c r="CI30" s="351"/>
      <c r="CJ30" s="350"/>
      <c r="CK30" s="350"/>
      <c r="CL30" s="350">
        <v>2</v>
      </c>
      <c r="CM30" s="350"/>
      <c r="CN30" s="350"/>
      <c r="CO30" s="350"/>
      <c r="CP30" s="350"/>
      <c r="CQ30" s="364"/>
      <c r="CR30" s="370"/>
      <c r="CS30" s="367"/>
      <c r="CT30" s="367"/>
      <c r="CU30" s="367">
        <v>10</v>
      </c>
      <c r="CV30" s="367"/>
      <c r="CW30" s="387"/>
      <c r="CX30" s="398"/>
      <c r="CY30" s="399"/>
      <c r="CZ30" s="399"/>
      <c r="DA30" s="399"/>
      <c r="DB30" s="399">
        <v>1</v>
      </c>
      <c r="DC30" s="400"/>
      <c r="DD30" s="400"/>
      <c r="DE30" s="514"/>
      <c r="DF30" s="514">
        <f t="shared" si="0"/>
        <v>1</v>
      </c>
      <c r="DG30" s="144"/>
      <c r="DH30" s="143"/>
    </row>
    <row r="31" spans="1:112" x14ac:dyDescent="0.25">
      <c r="A31" s="15" t="s">
        <v>227</v>
      </c>
      <c r="B31" s="15">
        <v>830</v>
      </c>
      <c r="C31" s="15" t="s">
        <v>3348</v>
      </c>
      <c r="D31" s="15">
        <v>1037</v>
      </c>
      <c r="E31" s="15" t="s">
        <v>228</v>
      </c>
      <c r="F31" s="15" t="s">
        <v>681</v>
      </c>
      <c r="G31" s="15" t="s">
        <v>229</v>
      </c>
      <c r="H31" s="15" t="s">
        <v>230</v>
      </c>
      <c r="I31" s="15" t="s">
        <v>220</v>
      </c>
      <c r="J31" s="15" t="s">
        <v>3349</v>
      </c>
      <c r="K31" s="15" t="s">
        <v>231</v>
      </c>
      <c r="L31" s="15" t="s">
        <v>3737</v>
      </c>
      <c r="M31" s="15" t="s">
        <v>3739</v>
      </c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>
        <v>1500</v>
      </c>
      <c r="AA31" s="70"/>
      <c r="AB31" s="70"/>
      <c r="AC31" s="70"/>
      <c r="AD31" s="70"/>
      <c r="AE31" s="70"/>
      <c r="AF31" s="70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>
        <v>10</v>
      </c>
      <c r="AT31" s="71"/>
      <c r="AU31" s="71"/>
      <c r="AV31" s="71"/>
      <c r="AW31" s="71"/>
      <c r="AX31" s="71"/>
      <c r="AY31" s="71"/>
      <c r="AZ31" s="166"/>
      <c r="BA31" s="131"/>
      <c r="BB31" s="131"/>
      <c r="BC31" s="131"/>
      <c r="BD31" s="131">
        <f>VLOOKUP(Table7[[#This Row],[Vlookup Store '#]],'Kiosk Stickers'!A$4:$H$538,2,FALSE)</f>
        <v>2</v>
      </c>
      <c r="BE31" s="169"/>
      <c r="BF31" s="194"/>
      <c r="BG31" s="173"/>
      <c r="BH31" s="173"/>
      <c r="BI31" s="173">
        <f>VLOOKUP(Table7[[#This Row],[Vlookup Store '#]],'Kiosk Stickers'!A$4:$H$538,3,FALSE)</f>
        <v>0</v>
      </c>
      <c r="BJ31" s="173"/>
      <c r="BK31" s="173"/>
      <c r="BL31" s="173"/>
      <c r="BM31" s="173"/>
      <c r="BN31" s="215"/>
      <c r="BO31" s="199">
        <f>VLOOKUP(Table7[[#This Row],[Vlookup Store '#]],'Kiosk Stickers'!A$4:$H$538,4,FALSE)</f>
        <v>0</v>
      </c>
      <c r="BP31" s="171"/>
      <c r="BQ31" s="226"/>
      <c r="BR31" s="184">
        <f>VLOOKUP(Table7[[#This Row],[Vlookup Store '#]],'Kiosk Stickers'!A$4:$H$538,5,FALSE)</f>
        <v>0</v>
      </c>
      <c r="BS31" s="173"/>
      <c r="BT31" s="173"/>
      <c r="BU31" s="173"/>
      <c r="BV31" s="173"/>
      <c r="BW31" s="173"/>
      <c r="BX31" s="173"/>
      <c r="BY31" s="173"/>
      <c r="BZ31" s="215"/>
      <c r="CA31" s="243"/>
      <c r="CB31" s="233"/>
      <c r="CC31" s="233"/>
      <c r="CD31" s="233"/>
      <c r="CE31" s="233"/>
      <c r="CF31" s="233"/>
      <c r="CG31" s="233"/>
      <c r="CH31" s="262"/>
      <c r="CI31" s="351"/>
      <c r="CJ31" s="350"/>
      <c r="CK31" s="350"/>
      <c r="CL31" s="350">
        <v>2</v>
      </c>
      <c r="CM31" s="350"/>
      <c r="CN31" s="350"/>
      <c r="CO31" s="350"/>
      <c r="CP31" s="350"/>
      <c r="CQ31" s="364"/>
      <c r="CR31" s="370"/>
      <c r="CS31" s="367"/>
      <c r="CT31" s="367"/>
      <c r="CU31" s="367">
        <v>10</v>
      </c>
      <c r="CV31" s="367"/>
      <c r="CW31" s="387"/>
      <c r="CX31" s="398"/>
      <c r="CY31" s="399"/>
      <c r="CZ31" s="399"/>
      <c r="DA31" s="399"/>
      <c r="DB31" s="399">
        <v>1</v>
      </c>
      <c r="DC31" s="400"/>
      <c r="DD31" s="400"/>
      <c r="DE31" s="514"/>
      <c r="DF31" s="514">
        <f t="shared" si="0"/>
        <v>1</v>
      </c>
      <c r="DG31" s="144"/>
      <c r="DH31" s="143"/>
    </row>
    <row r="32" spans="1:112" x14ac:dyDescent="0.25">
      <c r="A32" s="15" t="s">
        <v>215</v>
      </c>
      <c r="B32" s="15">
        <v>831</v>
      </c>
      <c r="C32" s="15" t="s">
        <v>731</v>
      </c>
      <c r="D32" s="15">
        <v>915</v>
      </c>
      <c r="E32" s="15" t="s">
        <v>732</v>
      </c>
      <c r="F32" s="15" t="s">
        <v>733</v>
      </c>
      <c r="G32" s="15" t="s">
        <v>734</v>
      </c>
      <c r="H32" s="15" t="s">
        <v>708</v>
      </c>
      <c r="I32" s="15" t="s">
        <v>220</v>
      </c>
      <c r="J32" s="15" t="s">
        <v>3296</v>
      </c>
      <c r="K32" s="15" t="s">
        <v>735</v>
      </c>
      <c r="L32" s="15" t="s">
        <v>3737</v>
      </c>
      <c r="M32" s="15" t="s">
        <v>3739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>
        <v>1500</v>
      </c>
      <c r="AA32" s="70"/>
      <c r="AB32" s="70"/>
      <c r="AC32" s="70"/>
      <c r="AD32" s="70"/>
      <c r="AE32" s="70"/>
      <c r="AF32" s="70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>
        <v>10</v>
      </c>
      <c r="AT32" s="71"/>
      <c r="AU32" s="71"/>
      <c r="AV32" s="71"/>
      <c r="AW32" s="71"/>
      <c r="AX32" s="71"/>
      <c r="AY32" s="71"/>
      <c r="AZ32" s="166"/>
      <c r="BA32" s="131"/>
      <c r="BB32" s="131"/>
      <c r="BC32" s="131"/>
      <c r="BD32" s="131">
        <f>VLOOKUP(Table7[[#This Row],[Vlookup Store '#]],'Kiosk Stickers'!A$4:$H$538,2,FALSE)</f>
        <v>0</v>
      </c>
      <c r="BE32" s="169"/>
      <c r="BF32" s="194"/>
      <c r="BG32" s="173"/>
      <c r="BH32" s="173"/>
      <c r="BI32" s="173">
        <f>VLOOKUP(Table7[[#This Row],[Vlookup Store '#]],'Kiosk Stickers'!A$4:$H$538,3,FALSE)</f>
        <v>1</v>
      </c>
      <c r="BJ32" s="173"/>
      <c r="BK32" s="173"/>
      <c r="BL32" s="173"/>
      <c r="BM32" s="173"/>
      <c r="BN32" s="215"/>
      <c r="BO32" s="199">
        <f>VLOOKUP(Table7[[#This Row],[Vlookup Store '#]],'Kiosk Stickers'!A$4:$H$538,4,FALSE)</f>
        <v>0</v>
      </c>
      <c r="BP32" s="171"/>
      <c r="BQ32" s="226"/>
      <c r="BR32" s="184">
        <f>VLOOKUP(Table7[[#This Row],[Vlookup Store '#]],'Kiosk Stickers'!A$4:$H$538,5,FALSE)</f>
        <v>0</v>
      </c>
      <c r="BS32" s="173"/>
      <c r="BT32" s="173"/>
      <c r="BU32" s="173"/>
      <c r="BV32" s="173"/>
      <c r="BW32" s="173"/>
      <c r="BX32" s="173"/>
      <c r="BY32" s="173"/>
      <c r="BZ32" s="215"/>
      <c r="CA32" s="243"/>
      <c r="CB32" s="233"/>
      <c r="CC32" s="233"/>
      <c r="CD32" s="233"/>
      <c r="CE32" s="233"/>
      <c r="CF32" s="233"/>
      <c r="CG32" s="233"/>
      <c r="CH32" s="262"/>
      <c r="CI32" s="351"/>
      <c r="CJ32" s="350"/>
      <c r="CK32" s="350"/>
      <c r="CL32" s="350">
        <v>2</v>
      </c>
      <c r="CM32" s="350"/>
      <c r="CN32" s="350"/>
      <c r="CO32" s="350"/>
      <c r="CP32" s="350"/>
      <c r="CQ32" s="364"/>
      <c r="CR32" s="370"/>
      <c r="CS32" s="367"/>
      <c r="CT32" s="367"/>
      <c r="CU32" s="367">
        <v>10</v>
      </c>
      <c r="CV32" s="367"/>
      <c r="CW32" s="387"/>
      <c r="CX32" s="398"/>
      <c r="CY32" s="399"/>
      <c r="CZ32" s="399"/>
      <c r="DA32" s="399"/>
      <c r="DB32" s="399">
        <v>1</v>
      </c>
      <c r="DC32" s="400"/>
      <c r="DD32" s="400"/>
      <c r="DE32" s="514"/>
      <c r="DF32" s="514">
        <f t="shared" si="0"/>
        <v>1</v>
      </c>
      <c r="DG32" s="144"/>
      <c r="DH32" s="143"/>
    </row>
    <row r="33" spans="1:112" x14ac:dyDescent="0.25">
      <c r="A33" s="15" t="s">
        <v>215</v>
      </c>
      <c r="B33" s="15">
        <v>830</v>
      </c>
      <c r="C33" s="15" t="s">
        <v>3371</v>
      </c>
      <c r="D33" s="15">
        <v>1076</v>
      </c>
      <c r="E33" s="15" t="s">
        <v>710</v>
      </c>
      <c r="F33" s="15" t="s">
        <v>711</v>
      </c>
      <c r="G33" s="15" t="s">
        <v>712</v>
      </c>
      <c r="H33" s="15" t="s">
        <v>713</v>
      </c>
      <c r="I33" s="15" t="s">
        <v>220</v>
      </c>
      <c r="J33" s="15" t="s">
        <v>3310</v>
      </c>
      <c r="K33" s="15" t="s">
        <v>714</v>
      </c>
      <c r="L33" s="15" t="s">
        <v>3737</v>
      </c>
      <c r="M33" s="15" t="s">
        <v>3739</v>
      </c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>
        <v>1500</v>
      </c>
      <c r="AA33" s="70"/>
      <c r="AB33" s="70"/>
      <c r="AC33" s="70"/>
      <c r="AD33" s="70"/>
      <c r="AE33" s="70"/>
      <c r="AF33" s="70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>
        <v>10</v>
      </c>
      <c r="AT33" s="71"/>
      <c r="AU33" s="71"/>
      <c r="AV33" s="71"/>
      <c r="AW33" s="71"/>
      <c r="AX33" s="71"/>
      <c r="AY33" s="71"/>
      <c r="AZ33" s="166"/>
      <c r="BA33" s="131"/>
      <c r="BB33" s="131"/>
      <c r="BC33" s="131"/>
      <c r="BD33" s="131">
        <f>VLOOKUP(Table7[[#This Row],[Vlookup Store '#]],'Kiosk Stickers'!A$4:$H$538,2,FALSE)</f>
        <v>2</v>
      </c>
      <c r="BE33" s="169"/>
      <c r="BF33" s="184">
        <f>VLOOKUP(Table7[[#This Row],[Vlookup Store '#]],'Kiosk Stickers'!A$4:$H$538,3,FALSE)</f>
        <v>0</v>
      </c>
      <c r="BG33" s="173"/>
      <c r="BH33" s="173"/>
      <c r="BI33" s="173"/>
      <c r="BJ33" s="173"/>
      <c r="BK33" s="173"/>
      <c r="BL33" s="173"/>
      <c r="BM33" s="173"/>
      <c r="BN33" s="215"/>
      <c r="BO33" s="199">
        <f>VLOOKUP(Table7[[#This Row],[Vlookup Store '#]],'Kiosk Stickers'!A$4:$H$538,4,FALSE)</f>
        <v>0</v>
      </c>
      <c r="BP33" s="171"/>
      <c r="BQ33" s="226"/>
      <c r="BR33" s="184">
        <f>VLOOKUP(Table7[[#This Row],[Vlookup Store '#]],'Kiosk Stickers'!A$4:$H$538,5,FALSE)</f>
        <v>0</v>
      </c>
      <c r="BS33" s="173"/>
      <c r="BT33" s="173"/>
      <c r="BU33" s="173"/>
      <c r="BV33" s="173"/>
      <c r="BW33" s="173"/>
      <c r="BX33" s="173"/>
      <c r="BY33" s="173"/>
      <c r="BZ33" s="215"/>
      <c r="CA33" s="243"/>
      <c r="CB33" s="233"/>
      <c r="CC33" s="233"/>
      <c r="CD33" s="233"/>
      <c r="CE33" s="233"/>
      <c r="CF33" s="233"/>
      <c r="CG33" s="233"/>
      <c r="CH33" s="262"/>
      <c r="CI33" s="351"/>
      <c r="CJ33" s="350"/>
      <c r="CK33" s="350"/>
      <c r="CL33" s="350">
        <v>2</v>
      </c>
      <c r="CM33" s="350"/>
      <c r="CN33" s="350"/>
      <c r="CO33" s="350"/>
      <c r="CP33" s="350"/>
      <c r="CQ33" s="364"/>
      <c r="CR33" s="370"/>
      <c r="CS33" s="367"/>
      <c r="CT33" s="367"/>
      <c r="CU33" s="367">
        <v>10</v>
      </c>
      <c r="CV33" s="367"/>
      <c r="CW33" s="387"/>
      <c r="CX33" s="398"/>
      <c r="CY33" s="399"/>
      <c r="CZ33" s="399"/>
      <c r="DA33" s="399"/>
      <c r="DB33" s="399">
        <v>1</v>
      </c>
      <c r="DC33" s="400"/>
      <c r="DD33" s="400"/>
      <c r="DE33" s="514"/>
      <c r="DF33" s="514">
        <f t="shared" si="0"/>
        <v>1</v>
      </c>
      <c r="DG33" s="144"/>
      <c r="DH33" s="143"/>
    </row>
    <row r="34" spans="1:112" x14ac:dyDescent="0.25">
      <c r="A34" s="15" t="s">
        <v>232</v>
      </c>
      <c r="B34" s="15">
        <v>830</v>
      </c>
      <c r="C34" s="15" t="s">
        <v>3352</v>
      </c>
      <c r="D34" s="15">
        <v>1039</v>
      </c>
      <c r="E34" s="15" t="s">
        <v>233</v>
      </c>
      <c r="F34" s="15" t="s">
        <v>829</v>
      </c>
      <c r="G34" s="15" t="s">
        <v>234</v>
      </c>
      <c r="H34" s="15" t="s">
        <v>235</v>
      </c>
      <c r="I34" s="15" t="s">
        <v>220</v>
      </c>
      <c r="J34" s="15" t="s">
        <v>3353</v>
      </c>
      <c r="K34" s="15" t="s">
        <v>236</v>
      </c>
      <c r="L34" s="15" t="s">
        <v>3766</v>
      </c>
      <c r="M34" s="15" t="s">
        <v>4011</v>
      </c>
      <c r="N34" s="70">
        <v>1500</v>
      </c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1">
        <v>10</v>
      </c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131">
        <f>VLOOKUP(Table7[[#This Row],[Vlookup Store '#]],'Kiosk Stickers'!A$4:$H$538,2,FALSE)</f>
        <v>2</v>
      </c>
      <c r="BA34" s="131"/>
      <c r="BB34" s="131"/>
      <c r="BC34" s="131"/>
      <c r="BD34" s="131"/>
      <c r="BE34" s="169"/>
      <c r="BF34" s="184">
        <f>VLOOKUP(Table7[[#This Row],[Vlookup Store '#]],'Kiosk Stickers'!A$4:$H$538,3,FALSE)</f>
        <v>0</v>
      </c>
      <c r="BG34" s="173"/>
      <c r="BH34" s="173"/>
      <c r="BI34" s="173"/>
      <c r="BJ34" s="173"/>
      <c r="BK34" s="173"/>
      <c r="BL34" s="173"/>
      <c r="BM34" s="173"/>
      <c r="BN34" s="215"/>
      <c r="BO34" s="199">
        <f>VLOOKUP(Table7[[#This Row],[Vlookup Store '#]],'Kiosk Stickers'!A$4:$H$538,4,FALSE)</f>
        <v>0</v>
      </c>
      <c r="BP34" s="171"/>
      <c r="BQ34" s="226"/>
      <c r="BR34" s="184">
        <f>VLOOKUP(Table7[[#This Row],[Vlookup Store '#]],'Kiosk Stickers'!A$4:$H$538,5,FALSE)</f>
        <v>0</v>
      </c>
      <c r="BS34" s="173"/>
      <c r="BT34" s="173"/>
      <c r="BU34" s="173"/>
      <c r="BV34" s="173"/>
      <c r="BW34" s="173"/>
      <c r="BX34" s="173"/>
      <c r="BY34" s="173"/>
      <c r="BZ34" s="215"/>
      <c r="CA34" s="243"/>
      <c r="CB34" s="233"/>
      <c r="CC34" s="233"/>
      <c r="CD34" s="233"/>
      <c r="CE34" s="233"/>
      <c r="CF34" s="233"/>
      <c r="CG34" s="233"/>
      <c r="CH34" s="262"/>
      <c r="CI34" s="351"/>
      <c r="CJ34" s="350"/>
      <c r="CK34" s="350"/>
      <c r="CL34" s="350"/>
      <c r="CM34" s="350"/>
      <c r="CN34" s="350"/>
      <c r="CO34" s="350"/>
      <c r="CP34" s="350">
        <v>2</v>
      </c>
      <c r="CQ34" s="364"/>
      <c r="CR34" s="370"/>
      <c r="CS34" s="367"/>
      <c r="CT34" s="367"/>
      <c r="CU34" s="367"/>
      <c r="CV34" s="367"/>
      <c r="CW34" s="387">
        <v>10</v>
      </c>
      <c r="CX34" s="398"/>
      <c r="CY34" s="399"/>
      <c r="CZ34" s="399"/>
      <c r="DA34" s="399"/>
      <c r="DB34" s="399"/>
      <c r="DC34" s="400"/>
      <c r="DD34" s="400"/>
      <c r="DE34" s="514">
        <v>1</v>
      </c>
      <c r="DF34" s="514">
        <f t="shared" si="0"/>
        <v>1</v>
      </c>
      <c r="DG34" s="144"/>
      <c r="DH34" s="143"/>
    </row>
    <row r="35" spans="1:112" x14ac:dyDescent="0.25">
      <c r="A35" s="15" t="s">
        <v>232</v>
      </c>
      <c r="B35" s="15">
        <v>830</v>
      </c>
      <c r="C35" s="15" t="s">
        <v>3369</v>
      </c>
      <c r="D35" s="15">
        <v>1072</v>
      </c>
      <c r="E35" s="15" t="s">
        <v>847</v>
      </c>
      <c r="F35" s="15" t="s">
        <v>848</v>
      </c>
      <c r="G35" s="15" t="s">
        <v>849</v>
      </c>
      <c r="H35" s="15" t="s">
        <v>850</v>
      </c>
      <c r="I35" s="15" t="s">
        <v>220</v>
      </c>
      <c r="J35" s="15" t="s">
        <v>3370</v>
      </c>
      <c r="K35" s="15" t="s">
        <v>851</v>
      </c>
      <c r="L35" s="15" t="s">
        <v>3766</v>
      </c>
      <c r="M35" s="15" t="s">
        <v>4011</v>
      </c>
      <c r="N35" s="70">
        <v>1500</v>
      </c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1">
        <v>10</v>
      </c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131">
        <f>VLOOKUP(Table7[[#This Row],[Vlookup Store '#]],'Kiosk Stickers'!A$4:$H$538,2,FALSE)</f>
        <v>2</v>
      </c>
      <c r="BA35" s="131"/>
      <c r="BB35" s="131"/>
      <c r="BC35" s="131"/>
      <c r="BD35" s="131"/>
      <c r="BE35" s="169"/>
      <c r="BF35" s="184">
        <f>VLOOKUP(Table7[[#This Row],[Vlookup Store '#]],'Kiosk Stickers'!A$4:$H$538,3,FALSE)</f>
        <v>0</v>
      </c>
      <c r="BG35" s="173"/>
      <c r="BH35" s="173"/>
      <c r="BI35" s="173"/>
      <c r="BJ35" s="173"/>
      <c r="BK35" s="173"/>
      <c r="BL35" s="173"/>
      <c r="BM35" s="173"/>
      <c r="BN35" s="215"/>
      <c r="BO35" s="199">
        <f>VLOOKUP(Table7[[#This Row],[Vlookup Store '#]],'Kiosk Stickers'!A$4:$H$538,4,FALSE)</f>
        <v>0</v>
      </c>
      <c r="BP35" s="171"/>
      <c r="BQ35" s="226"/>
      <c r="BR35" s="184">
        <f>VLOOKUP(Table7[[#This Row],[Vlookup Store '#]],'Kiosk Stickers'!A$4:$H$538,5,FALSE)</f>
        <v>0</v>
      </c>
      <c r="BS35" s="173"/>
      <c r="BT35" s="173"/>
      <c r="BU35" s="173"/>
      <c r="BV35" s="173"/>
      <c r="BW35" s="173"/>
      <c r="BX35" s="173"/>
      <c r="BY35" s="173"/>
      <c r="BZ35" s="215"/>
      <c r="CA35" s="243"/>
      <c r="CB35" s="233"/>
      <c r="CC35" s="233"/>
      <c r="CD35" s="233"/>
      <c r="CE35" s="233"/>
      <c r="CF35" s="233"/>
      <c r="CG35" s="233"/>
      <c r="CH35" s="262"/>
      <c r="CI35" s="351"/>
      <c r="CJ35" s="350"/>
      <c r="CK35" s="350"/>
      <c r="CL35" s="350"/>
      <c r="CM35" s="350"/>
      <c r="CN35" s="350"/>
      <c r="CO35" s="350"/>
      <c r="CP35" s="350">
        <v>2</v>
      </c>
      <c r="CQ35" s="364"/>
      <c r="CR35" s="370"/>
      <c r="CS35" s="367"/>
      <c r="CT35" s="367"/>
      <c r="CU35" s="367"/>
      <c r="CV35" s="367"/>
      <c r="CW35" s="387">
        <v>10</v>
      </c>
      <c r="CX35" s="398"/>
      <c r="CY35" s="399"/>
      <c r="CZ35" s="399"/>
      <c r="DA35" s="399"/>
      <c r="DB35" s="399"/>
      <c r="DC35" s="400"/>
      <c r="DD35" s="400"/>
      <c r="DE35" s="514">
        <v>1</v>
      </c>
      <c r="DF35" s="514">
        <f t="shared" si="0"/>
        <v>1</v>
      </c>
      <c r="DG35" s="144"/>
      <c r="DH35" s="143"/>
    </row>
    <row r="36" spans="1:112" x14ac:dyDescent="0.25">
      <c r="A36" s="15" t="s">
        <v>269</v>
      </c>
      <c r="B36" s="15">
        <v>830</v>
      </c>
      <c r="C36" s="15" t="s">
        <v>3338</v>
      </c>
      <c r="D36" s="15">
        <v>1019</v>
      </c>
      <c r="E36" s="15" t="s">
        <v>852</v>
      </c>
      <c r="F36" s="15" t="s">
        <v>853</v>
      </c>
      <c r="G36" s="15" t="s">
        <v>854</v>
      </c>
      <c r="H36" s="15" t="s">
        <v>855</v>
      </c>
      <c r="I36" s="15" t="s">
        <v>220</v>
      </c>
      <c r="J36" s="15" t="s">
        <v>3339</v>
      </c>
      <c r="K36" s="15" t="s">
        <v>856</v>
      </c>
      <c r="L36" s="15" t="s">
        <v>3737</v>
      </c>
      <c r="M36" s="15" t="s">
        <v>3739</v>
      </c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>
        <v>1500</v>
      </c>
      <c r="AA36" s="70"/>
      <c r="AB36" s="70"/>
      <c r="AC36" s="70"/>
      <c r="AD36" s="70"/>
      <c r="AE36" s="70"/>
      <c r="AF36" s="70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>
        <v>10</v>
      </c>
      <c r="AT36" s="71"/>
      <c r="AU36" s="71"/>
      <c r="AV36" s="71"/>
      <c r="AW36" s="71"/>
      <c r="AX36" s="71"/>
      <c r="AY36" s="71"/>
      <c r="AZ36" s="165"/>
      <c r="BA36" s="131"/>
      <c r="BB36" s="131"/>
      <c r="BC36" s="131"/>
      <c r="BD36" s="131">
        <f>VLOOKUP(Table7[[#This Row],[Vlookup Store '#]],'Kiosk Stickers'!A$4:$H$538,2,FALSE)</f>
        <v>1</v>
      </c>
      <c r="BE36" s="169"/>
      <c r="BF36" s="184">
        <f>VLOOKUP(Table7[[#This Row],[Vlookup Store '#]],'Kiosk Stickers'!A$4:$H$538,3,FALSE)</f>
        <v>0</v>
      </c>
      <c r="BG36" s="173"/>
      <c r="BH36" s="173"/>
      <c r="BI36" s="173"/>
      <c r="BJ36" s="173"/>
      <c r="BK36" s="173"/>
      <c r="BL36" s="173"/>
      <c r="BM36" s="173"/>
      <c r="BN36" s="215"/>
      <c r="BO36" s="199">
        <f>VLOOKUP(Table7[[#This Row],[Vlookup Store '#]],'Kiosk Stickers'!A$4:$H$538,4,FALSE)</f>
        <v>0</v>
      </c>
      <c r="BP36" s="171"/>
      <c r="BQ36" s="226"/>
      <c r="BR36" s="184">
        <f>VLOOKUP(Table7[[#This Row],[Vlookup Store '#]],'Kiosk Stickers'!A$4:$H$538,5,FALSE)</f>
        <v>0</v>
      </c>
      <c r="BS36" s="173"/>
      <c r="BT36" s="173"/>
      <c r="BU36" s="173"/>
      <c r="BV36" s="173"/>
      <c r="BW36" s="173"/>
      <c r="BX36" s="173"/>
      <c r="BY36" s="173"/>
      <c r="BZ36" s="215"/>
      <c r="CA36" s="243"/>
      <c r="CB36" s="233"/>
      <c r="CC36" s="233"/>
      <c r="CD36" s="233"/>
      <c r="CE36" s="233"/>
      <c r="CF36" s="233"/>
      <c r="CG36" s="233"/>
      <c r="CH36" s="262"/>
      <c r="CI36" s="351"/>
      <c r="CJ36" s="350"/>
      <c r="CK36" s="350"/>
      <c r="CL36" s="350">
        <v>2</v>
      </c>
      <c r="CM36" s="350"/>
      <c r="CN36" s="350"/>
      <c r="CO36" s="350"/>
      <c r="CP36" s="350"/>
      <c r="CQ36" s="364"/>
      <c r="CR36" s="370"/>
      <c r="CS36" s="367"/>
      <c r="CT36" s="367"/>
      <c r="CU36" s="367">
        <v>10</v>
      </c>
      <c r="CV36" s="367"/>
      <c r="CW36" s="387"/>
      <c r="CX36" s="398"/>
      <c r="CY36" s="399"/>
      <c r="CZ36" s="399"/>
      <c r="DA36" s="399"/>
      <c r="DB36" s="399">
        <v>1</v>
      </c>
      <c r="DC36" s="400"/>
      <c r="DD36" s="400"/>
      <c r="DE36" s="514"/>
      <c r="DF36" s="514">
        <f t="shared" si="0"/>
        <v>1</v>
      </c>
      <c r="DG36" s="144"/>
      <c r="DH36" s="143"/>
    </row>
    <row r="37" spans="1:112" x14ac:dyDescent="0.25">
      <c r="A37" s="15" t="s">
        <v>269</v>
      </c>
      <c r="B37" s="15">
        <v>830</v>
      </c>
      <c r="C37" s="15" t="s">
        <v>3342</v>
      </c>
      <c r="D37" s="15">
        <v>1031</v>
      </c>
      <c r="E37" s="15" t="s">
        <v>857</v>
      </c>
      <c r="F37" s="15" t="s">
        <v>868</v>
      </c>
      <c r="G37" s="15" t="s">
        <v>858</v>
      </c>
      <c r="H37" s="15" t="s">
        <v>859</v>
      </c>
      <c r="I37" s="15" t="s">
        <v>220</v>
      </c>
      <c r="J37" s="15" t="s">
        <v>3343</v>
      </c>
      <c r="K37" s="15" t="s">
        <v>860</v>
      </c>
      <c r="L37" s="15" t="s">
        <v>3737</v>
      </c>
      <c r="M37" s="15" t="s">
        <v>3739</v>
      </c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>
        <v>1500</v>
      </c>
      <c r="AA37" s="70"/>
      <c r="AB37" s="70"/>
      <c r="AC37" s="70"/>
      <c r="AD37" s="70"/>
      <c r="AE37" s="70"/>
      <c r="AF37" s="70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>
        <v>10</v>
      </c>
      <c r="AT37" s="71"/>
      <c r="AU37" s="71"/>
      <c r="AV37" s="71"/>
      <c r="AW37" s="71"/>
      <c r="AX37" s="71"/>
      <c r="AY37" s="71"/>
      <c r="AZ37" s="166"/>
      <c r="BA37" s="131"/>
      <c r="BB37" s="131"/>
      <c r="BC37" s="131"/>
      <c r="BD37" s="131">
        <f>VLOOKUP(Table7[[#This Row],[Vlookup Store '#]],'Kiosk Stickers'!A$4:$H$538,2,FALSE)</f>
        <v>2</v>
      </c>
      <c r="BE37" s="169"/>
      <c r="BF37" s="184">
        <f>VLOOKUP(Table7[[#This Row],[Vlookup Store '#]],'Kiosk Stickers'!A$4:$H$538,3,FALSE)</f>
        <v>0</v>
      </c>
      <c r="BG37" s="173"/>
      <c r="BH37" s="173"/>
      <c r="BI37" s="173"/>
      <c r="BJ37" s="173"/>
      <c r="BK37" s="173"/>
      <c r="BL37" s="173"/>
      <c r="BM37" s="173"/>
      <c r="BN37" s="215"/>
      <c r="BO37" s="199">
        <f>VLOOKUP(Table7[[#This Row],[Vlookup Store '#]],'Kiosk Stickers'!A$4:$H$538,4,FALSE)</f>
        <v>0</v>
      </c>
      <c r="BP37" s="171"/>
      <c r="BQ37" s="226"/>
      <c r="BR37" s="184">
        <f>VLOOKUP(Table7[[#This Row],[Vlookup Store '#]],'Kiosk Stickers'!A$4:$H$538,5,FALSE)</f>
        <v>0</v>
      </c>
      <c r="BS37" s="173"/>
      <c r="BT37" s="173"/>
      <c r="BU37" s="173"/>
      <c r="BV37" s="173"/>
      <c r="BW37" s="173"/>
      <c r="BX37" s="173"/>
      <c r="BY37" s="173"/>
      <c r="BZ37" s="215"/>
      <c r="CA37" s="243"/>
      <c r="CB37" s="233"/>
      <c r="CC37" s="233"/>
      <c r="CD37" s="233"/>
      <c r="CE37" s="233"/>
      <c r="CF37" s="233"/>
      <c r="CG37" s="233"/>
      <c r="CH37" s="262"/>
      <c r="CI37" s="351"/>
      <c r="CJ37" s="350"/>
      <c r="CK37" s="350"/>
      <c r="CL37" s="350">
        <v>2</v>
      </c>
      <c r="CM37" s="350"/>
      <c r="CN37" s="350"/>
      <c r="CO37" s="350"/>
      <c r="CP37" s="350"/>
      <c r="CQ37" s="364"/>
      <c r="CR37" s="370"/>
      <c r="CS37" s="367"/>
      <c r="CT37" s="367"/>
      <c r="CU37" s="367">
        <v>10</v>
      </c>
      <c r="CV37" s="367"/>
      <c r="CW37" s="387"/>
      <c r="CX37" s="398"/>
      <c r="CY37" s="399"/>
      <c r="CZ37" s="399"/>
      <c r="DA37" s="399"/>
      <c r="DB37" s="399">
        <v>1</v>
      </c>
      <c r="DC37" s="400"/>
      <c r="DD37" s="400"/>
      <c r="DE37" s="514"/>
      <c r="DF37" s="514">
        <f t="shared" si="0"/>
        <v>1</v>
      </c>
      <c r="DG37" s="144"/>
      <c r="DH37" s="143"/>
    </row>
    <row r="38" spans="1:112" x14ac:dyDescent="0.25">
      <c r="A38" s="15" t="s">
        <v>269</v>
      </c>
      <c r="B38" s="15">
        <v>830</v>
      </c>
      <c r="C38" s="15" t="s">
        <v>3367</v>
      </c>
      <c r="D38" s="15">
        <v>1064</v>
      </c>
      <c r="E38" s="15" t="s">
        <v>861</v>
      </c>
      <c r="F38" s="15" t="s">
        <v>2957</v>
      </c>
      <c r="G38" s="15" t="s">
        <v>862</v>
      </c>
      <c r="H38" s="15" t="s">
        <v>855</v>
      </c>
      <c r="I38" s="15" t="s">
        <v>220</v>
      </c>
      <c r="J38" s="15" t="s">
        <v>3368</v>
      </c>
      <c r="K38" s="15" t="s">
        <v>863</v>
      </c>
      <c r="L38" s="15" t="s">
        <v>3737</v>
      </c>
      <c r="M38" s="15" t="s">
        <v>3739</v>
      </c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>
        <v>1500</v>
      </c>
      <c r="AA38" s="70"/>
      <c r="AB38" s="70"/>
      <c r="AC38" s="70"/>
      <c r="AD38" s="70"/>
      <c r="AE38" s="70"/>
      <c r="AF38" s="70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>
        <v>10</v>
      </c>
      <c r="AT38" s="71"/>
      <c r="AU38" s="71"/>
      <c r="AV38" s="71"/>
      <c r="AW38" s="71"/>
      <c r="AX38" s="71"/>
      <c r="AY38" s="71"/>
      <c r="AZ38" s="166"/>
      <c r="BA38" s="131"/>
      <c r="BB38" s="131"/>
      <c r="BC38" s="131"/>
      <c r="BD38" s="131">
        <f>VLOOKUP(Table7[[#This Row],[Vlookup Store '#]],'Kiosk Stickers'!A$4:$H$538,2,FALSE)</f>
        <v>1</v>
      </c>
      <c r="BE38" s="169"/>
      <c r="BF38" s="184">
        <f>VLOOKUP(Table7[[#This Row],[Vlookup Store '#]],'Kiosk Stickers'!A$4:$H$538,3,FALSE)</f>
        <v>0</v>
      </c>
      <c r="BG38" s="173"/>
      <c r="BH38" s="173"/>
      <c r="BI38" s="173"/>
      <c r="BJ38" s="173"/>
      <c r="BK38" s="173"/>
      <c r="BL38" s="173"/>
      <c r="BM38" s="173"/>
      <c r="BN38" s="215"/>
      <c r="BO38" s="199">
        <f>VLOOKUP(Table7[[#This Row],[Vlookup Store '#]],'Kiosk Stickers'!A$4:$H$538,4,FALSE)</f>
        <v>0</v>
      </c>
      <c r="BP38" s="171"/>
      <c r="BQ38" s="226"/>
      <c r="BR38" s="184">
        <f>VLOOKUP(Table7[[#This Row],[Vlookup Store '#]],'Kiosk Stickers'!A$4:$H$538,5,FALSE)</f>
        <v>0</v>
      </c>
      <c r="BS38" s="173"/>
      <c r="BT38" s="173"/>
      <c r="BU38" s="173"/>
      <c r="BV38" s="173"/>
      <c r="BW38" s="173"/>
      <c r="BX38" s="173"/>
      <c r="BY38" s="173"/>
      <c r="BZ38" s="215"/>
      <c r="CA38" s="243"/>
      <c r="CB38" s="233"/>
      <c r="CC38" s="233"/>
      <c r="CD38" s="233"/>
      <c r="CE38" s="233"/>
      <c r="CF38" s="233"/>
      <c r="CG38" s="233"/>
      <c r="CH38" s="262"/>
      <c r="CI38" s="351"/>
      <c r="CJ38" s="350"/>
      <c r="CK38" s="350"/>
      <c r="CL38" s="350">
        <v>2</v>
      </c>
      <c r="CM38" s="350"/>
      <c r="CN38" s="350"/>
      <c r="CO38" s="350"/>
      <c r="CP38" s="350"/>
      <c r="CQ38" s="364"/>
      <c r="CR38" s="370"/>
      <c r="CS38" s="367"/>
      <c r="CT38" s="367"/>
      <c r="CU38" s="367">
        <v>10</v>
      </c>
      <c r="CV38" s="367"/>
      <c r="CW38" s="387"/>
      <c r="CX38" s="398"/>
      <c r="CY38" s="399"/>
      <c r="CZ38" s="399"/>
      <c r="DA38" s="399"/>
      <c r="DB38" s="399">
        <v>1</v>
      </c>
      <c r="DC38" s="400"/>
      <c r="DD38" s="400"/>
      <c r="DE38" s="514"/>
      <c r="DF38" s="514">
        <f t="shared" si="0"/>
        <v>1</v>
      </c>
      <c r="DG38" s="144"/>
      <c r="DH38" s="143"/>
    </row>
    <row r="39" spans="1:112" x14ac:dyDescent="0.25">
      <c r="A39" s="15" t="s">
        <v>107</v>
      </c>
      <c r="B39" s="15">
        <v>810</v>
      </c>
      <c r="C39" s="15" t="s">
        <v>898</v>
      </c>
      <c r="D39" s="15">
        <v>341</v>
      </c>
      <c r="E39" s="15" t="s">
        <v>899</v>
      </c>
      <c r="F39" s="15" t="s">
        <v>900</v>
      </c>
      <c r="G39" s="15" t="s">
        <v>901</v>
      </c>
      <c r="H39" s="15" t="s">
        <v>902</v>
      </c>
      <c r="I39" s="15" t="s">
        <v>112</v>
      </c>
      <c r="J39" s="15" t="s">
        <v>3157</v>
      </c>
      <c r="K39" s="15" t="s">
        <v>903</v>
      </c>
      <c r="L39" s="15" t="s">
        <v>3928</v>
      </c>
      <c r="M39" s="15" t="s">
        <v>3955</v>
      </c>
      <c r="N39" s="70"/>
      <c r="O39" s="70"/>
      <c r="P39" s="70"/>
      <c r="Q39" s="70"/>
      <c r="R39" s="70"/>
      <c r="S39" s="70"/>
      <c r="T39" s="70"/>
      <c r="U39" s="70"/>
      <c r="V39" s="70"/>
      <c r="W39" s="70">
        <v>1500</v>
      </c>
      <c r="X39" s="70"/>
      <c r="Y39" s="70"/>
      <c r="Z39" s="70"/>
      <c r="AA39" s="70"/>
      <c r="AB39" s="70"/>
      <c r="AC39" s="70"/>
      <c r="AD39" s="70"/>
      <c r="AE39" s="70"/>
      <c r="AF39" s="70"/>
      <c r="AG39" s="71"/>
      <c r="AH39" s="71"/>
      <c r="AI39" s="71"/>
      <c r="AJ39" s="71"/>
      <c r="AK39" s="71"/>
      <c r="AL39" s="71"/>
      <c r="AM39" s="71"/>
      <c r="AN39" s="71"/>
      <c r="AO39" s="71"/>
      <c r="AP39" s="71">
        <v>10</v>
      </c>
      <c r="AQ39" s="71"/>
      <c r="AR39" s="71"/>
      <c r="AS39" s="71"/>
      <c r="AT39" s="71"/>
      <c r="AU39" s="71"/>
      <c r="AV39" s="71"/>
      <c r="AW39" s="71"/>
      <c r="AX39" s="71"/>
      <c r="AY39" s="71"/>
      <c r="AZ39" s="131">
        <f>VLOOKUP(Table7[[#This Row],[Vlookup Store '#]],'Kiosk Stickers'!A$4:$H$538,2,FALSE)</f>
        <v>0</v>
      </c>
      <c r="BA39" s="131"/>
      <c r="BB39" s="131"/>
      <c r="BC39" s="131"/>
      <c r="BD39" s="131"/>
      <c r="BE39" s="169"/>
      <c r="BF39" s="184">
        <f>VLOOKUP(Table7[[#This Row],[Vlookup Store '#]],'Kiosk Stickers'!A$4:$H$538,3,FALSE)</f>
        <v>0</v>
      </c>
      <c r="BG39" s="173"/>
      <c r="BH39" s="173"/>
      <c r="BI39" s="173"/>
      <c r="BJ39" s="173"/>
      <c r="BK39" s="173"/>
      <c r="BL39" s="173"/>
      <c r="BM39" s="173"/>
      <c r="BN39" s="215"/>
      <c r="BO39" s="199">
        <f>VLOOKUP(Table7[[#This Row],[Vlookup Store '#]],'Kiosk Stickers'!A$4:$H$538,4,FALSE)</f>
        <v>0</v>
      </c>
      <c r="BP39" s="171"/>
      <c r="BQ39" s="226"/>
      <c r="BR39" s="184">
        <f>VLOOKUP(Table7[[#This Row],[Vlookup Store '#]],'Kiosk Stickers'!A$4:$H$538,5,FALSE)</f>
        <v>0</v>
      </c>
      <c r="BS39" s="173"/>
      <c r="BT39" s="173"/>
      <c r="BU39" s="173"/>
      <c r="BV39" s="173"/>
      <c r="BW39" s="173"/>
      <c r="BX39" s="173"/>
      <c r="BY39" s="173"/>
      <c r="BZ39" s="215"/>
      <c r="CA39" s="244"/>
      <c r="CB39" s="239">
        <f>VLOOKUP(Table7[[#This Row],[Vlookup Store '#]],'Kiosk Stickers'!A$4:$H$538,6,FALSE)</f>
        <v>1</v>
      </c>
      <c r="CC39" s="233"/>
      <c r="CD39" s="233"/>
      <c r="CE39" s="233"/>
      <c r="CF39" s="233"/>
      <c r="CG39" s="233"/>
      <c r="CH39" s="262"/>
      <c r="CI39" s="351"/>
      <c r="CJ39" s="350">
        <v>2</v>
      </c>
      <c r="CK39" s="350"/>
      <c r="CL39" s="350"/>
      <c r="CM39" s="350"/>
      <c r="CN39" s="350"/>
      <c r="CO39" s="350"/>
      <c r="CP39" s="350"/>
      <c r="CQ39" s="364"/>
      <c r="CR39" s="370"/>
      <c r="CS39" s="367">
        <v>10</v>
      </c>
      <c r="CT39" s="367"/>
      <c r="CU39" s="367"/>
      <c r="CV39" s="367"/>
      <c r="CW39" s="387"/>
      <c r="CX39" s="398"/>
      <c r="CY39" s="399">
        <v>1</v>
      </c>
      <c r="CZ39" s="399"/>
      <c r="DA39" s="399"/>
      <c r="DB39" s="399"/>
      <c r="DC39" s="400"/>
      <c r="DD39" s="400"/>
      <c r="DE39" s="514"/>
      <c r="DF39" s="514">
        <f t="shared" si="0"/>
        <v>1</v>
      </c>
      <c r="DG39" s="144"/>
      <c r="DH39" s="143"/>
    </row>
    <row r="40" spans="1:112" x14ac:dyDescent="0.25">
      <c r="A40" s="15" t="s">
        <v>107</v>
      </c>
      <c r="B40" s="15">
        <v>810</v>
      </c>
      <c r="C40" s="15" t="s">
        <v>904</v>
      </c>
      <c r="D40" s="15">
        <v>343</v>
      </c>
      <c r="E40" s="15" t="s">
        <v>905</v>
      </c>
      <c r="F40" s="15" t="s">
        <v>906</v>
      </c>
      <c r="G40" s="15" t="s">
        <v>907</v>
      </c>
      <c r="H40" s="15" t="s">
        <v>877</v>
      </c>
      <c r="I40" s="15" t="s">
        <v>112</v>
      </c>
      <c r="J40" s="15" t="s">
        <v>908</v>
      </c>
      <c r="K40" s="15" t="s">
        <v>909</v>
      </c>
      <c r="L40" s="15" t="s">
        <v>3928</v>
      </c>
      <c r="M40" s="15" t="s">
        <v>3951</v>
      </c>
      <c r="N40" s="70"/>
      <c r="O40" s="70"/>
      <c r="P40" s="70"/>
      <c r="Q40" s="70"/>
      <c r="R40" s="70"/>
      <c r="S40" s="70"/>
      <c r="T40" s="70"/>
      <c r="U40" s="70"/>
      <c r="V40" s="70">
        <v>1500</v>
      </c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1"/>
      <c r="AH40" s="71"/>
      <c r="AI40" s="71"/>
      <c r="AJ40" s="71"/>
      <c r="AK40" s="71"/>
      <c r="AL40" s="71"/>
      <c r="AM40" s="71"/>
      <c r="AN40" s="71"/>
      <c r="AO40" s="71">
        <v>10</v>
      </c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165"/>
      <c r="BA40" s="131"/>
      <c r="BB40" s="131"/>
      <c r="BC40" s="131">
        <f>VLOOKUP(Table7[[#This Row],[Vlookup Store '#]],'Kiosk Stickers'!A$4:$H$538,2,FALSE)</f>
        <v>2</v>
      </c>
      <c r="BD40" s="131"/>
      <c r="BE40" s="169"/>
      <c r="BF40" s="184">
        <f>VLOOKUP(Table7[[#This Row],[Vlookup Store '#]],'Kiosk Stickers'!A$4:$H$538,3,FALSE)</f>
        <v>0</v>
      </c>
      <c r="BG40" s="173"/>
      <c r="BH40" s="173"/>
      <c r="BI40" s="173"/>
      <c r="BJ40" s="173"/>
      <c r="BK40" s="173"/>
      <c r="BL40" s="173"/>
      <c r="BM40" s="173"/>
      <c r="BN40" s="215"/>
      <c r="BO40" s="199">
        <f>VLOOKUP(Table7[[#This Row],[Vlookup Store '#]],'Kiosk Stickers'!A$4:$H$538,4,FALSE)</f>
        <v>0</v>
      </c>
      <c r="BP40" s="171"/>
      <c r="BQ40" s="226"/>
      <c r="BR40" s="184">
        <f>VLOOKUP(Table7[[#This Row],[Vlookup Store '#]],'Kiosk Stickers'!A$4:$H$538,5,FALSE)</f>
        <v>0</v>
      </c>
      <c r="BS40" s="173"/>
      <c r="BT40" s="173"/>
      <c r="BU40" s="173"/>
      <c r="BV40" s="173"/>
      <c r="BW40" s="173"/>
      <c r="BX40" s="173"/>
      <c r="BY40" s="173"/>
      <c r="BZ40" s="215"/>
      <c r="CA40" s="243"/>
      <c r="CB40" s="233"/>
      <c r="CC40" s="233"/>
      <c r="CD40" s="233"/>
      <c r="CE40" s="233"/>
      <c r="CF40" s="233"/>
      <c r="CG40" s="233"/>
      <c r="CH40" s="262"/>
      <c r="CI40" s="351"/>
      <c r="CJ40" s="350">
        <v>2</v>
      </c>
      <c r="CK40" s="350"/>
      <c r="CL40" s="350"/>
      <c r="CM40" s="350"/>
      <c r="CN40" s="350"/>
      <c r="CO40" s="350"/>
      <c r="CP40" s="350"/>
      <c r="CQ40" s="364"/>
      <c r="CR40" s="370"/>
      <c r="CS40" s="367">
        <v>10</v>
      </c>
      <c r="CT40" s="367"/>
      <c r="CU40" s="367"/>
      <c r="CV40" s="367"/>
      <c r="CW40" s="387"/>
      <c r="CX40" s="398"/>
      <c r="CY40" s="399">
        <v>1</v>
      </c>
      <c r="CZ40" s="399"/>
      <c r="DA40" s="399"/>
      <c r="DB40" s="399"/>
      <c r="DC40" s="400"/>
      <c r="DD40" s="400"/>
      <c r="DE40" s="514"/>
      <c r="DF40" s="514">
        <f t="shared" si="0"/>
        <v>1</v>
      </c>
      <c r="DG40" s="144"/>
      <c r="DH40" s="143"/>
    </row>
    <row r="41" spans="1:112" x14ac:dyDescent="0.25">
      <c r="A41" s="15" t="s">
        <v>107</v>
      </c>
      <c r="B41" s="15">
        <v>810</v>
      </c>
      <c r="C41" s="15" t="s">
        <v>910</v>
      </c>
      <c r="D41" s="15">
        <v>344</v>
      </c>
      <c r="E41" s="15" t="s">
        <v>911</v>
      </c>
      <c r="F41" s="15" t="s">
        <v>912</v>
      </c>
      <c r="G41" s="15" t="s">
        <v>913</v>
      </c>
      <c r="H41" s="15" t="s">
        <v>877</v>
      </c>
      <c r="I41" s="15" t="s">
        <v>112</v>
      </c>
      <c r="J41" s="15" t="s">
        <v>914</v>
      </c>
      <c r="K41" s="15" t="s">
        <v>915</v>
      </c>
      <c r="L41" s="15" t="s">
        <v>3928</v>
      </c>
      <c r="M41" s="15" t="s">
        <v>3951</v>
      </c>
      <c r="N41" s="70"/>
      <c r="O41" s="70"/>
      <c r="P41" s="70"/>
      <c r="Q41" s="70"/>
      <c r="R41" s="70"/>
      <c r="S41" s="70"/>
      <c r="T41" s="70"/>
      <c r="U41" s="70"/>
      <c r="V41" s="70">
        <v>1500</v>
      </c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1"/>
      <c r="AH41" s="71"/>
      <c r="AI41" s="71"/>
      <c r="AJ41" s="71"/>
      <c r="AK41" s="71"/>
      <c r="AL41" s="71"/>
      <c r="AM41" s="71"/>
      <c r="AN41" s="71"/>
      <c r="AO41" s="71">
        <v>10</v>
      </c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166"/>
      <c r="BA41" s="131"/>
      <c r="BB41" s="131"/>
      <c r="BC41" s="131">
        <f>VLOOKUP(Table7[[#This Row],[Vlookup Store '#]],'Kiosk Stickers'!A$4:$H$538,2,FALSE)</f>
        <v>1</v>
      </c>
      <c r="BD41" s="131"/>
      <c r="BE41" s="169"/>
      <c r="BF41" s="184">
        <f>VLOOKUP(Table7[[#This Row],[Vlookup Store '#]],'Kiosk Stickers'!A$4:$H$538,3,FALSE)</f>
        <v>0</v>
      </c>
      <c r="BG41" s="173"/>
      <c r="BH41" s="173"/>
      <c r="BI41" s="173"/>
      <c r="BJ41" s="173"/>
      <c r="BK41" s="173"/>
      <c r="BL41" s="173"/>
      <c r="BM41" s="173"/>
      <c r="BN41" s="215"/>
      <c r="BO41" s="199">
        <f>VLOOKUP(Table7[[#This Row],[Vlookup Store '#]],'Kiosk Stickers'!A$4:$H$538,4,FALSE)</f>
        <v>0</v>
      </c>
      <c r="BP41" s="171"/>
      <c r="BQ41" s="226"/>
      <c r="BR41" s="184">
        <f>VLOOKUP(Table7[[#This Row],[Vlookup Store '#]],'Kiosk Stickers'!A$4:$H$538,5,FALSE)</f>
        <v>0</v>
      </c>
      <c r="BS41" s="173"/>
      <c r="BT41" s="173"/>
      <c r="BU41" s="173"/>
      <c r="BV41" s="173"/>
      <c r="BW41" s="173"/>
      <c r="BX41" s="173"/>
      <c r="BY41" s="173"/>
      <c r="BZ41" s="215"/>
      <c r="CA41" s="243"/>
      <c r="CB41" s="233"/>
      <c r="CC41" s="233"/>
      <c r="CD41" s="233"/>
      <c r="CE41" s="233"/>
      <c r="CF41" s="233"/>
      <c r="CG41" s="233"/>
      <c r="CH41" s="262"/>
      <c r="CI41" s="351"/>
      <c r="CJ41" s="350">
        <v>2</v>
      </c>
      <c r="CK41" s="350"/>
      <c r="CL41" s="350"/>
      <c r="CM41" s="350"/>
      <c r="CN41" s="350"/>
      <c r="CO41" s="350"/>
      <c r="CP41" s="350"/>
      <c r="CQ41" s="364"/>
      <c r="CR41" s="370"/>
      <c r="CS41" s="367">
        <v>10</v>
      </c>
      <c r="CT41" s="367"/>
      <c r="CU41" s="367"/>
      <c r="CV41" s="367"/>
      <c r="CW41" s="387"/>
      <c r="CX41" s="398"/>
      <c r="CY41" s="399">
        <v>1</v>
      </c>
      <c r="CZ41" s="399"/>
      <c r="DA41" s="399"/>
      <c r="DB41" s="399"/>
      <c r="DC41" s="400"/>
      <c r="DD41" s="400"/>
      <c r="DE41" s="514"/>
      <c r="DF41" s="514">
        <f t="shared" si="0"/>
        <v>1</v>
      </c>
      <c r="DG41" s="144"/>
      <c r="DH41" s="143"/>
    </row>
    <row r="42" spans="1:112" x14ac:dyDescent="0.25">
      <c r="A42" s="15" t="s">
        <v>107</v>
      </c>
      <c r="B42" s="15">
        <v>810</v>
      </c>
      <c r="C42" s="15" t="s">
        <v>917</v>
      </c>
      <c r="D42" s="15">
        <v>347</v>
      </c>
      <c r="E42" s="15" t="s">
        <v>918</v>
      </c>
      <c r="F42" s="15" t="s">
        <v>919</v>
      </c>
      <c r="G42" s="15" t="s">
        <v>920</v>
      </c>
      <c r="H42" s="15" t="s">
        <v>921</v>
      </c>
      <c r="I42" s="15" t="s">
        <v>112</v>
      </c>
      <c r="J42" s="15" t="s">
        <v>3159</v>
      </c>
      <c r="K42" s="15" t="s">
        <v>922</v>
      </c>
      <c r="L42" s="15" t="s">
        <v>3928</v>
      </c>
      <c r="M42" s="15" t="s">
        <v>3951</v>
      </c>
      <c r="N42" s="70"/>
      <c r="O42" s="70"/>
      <c r="P42" s="70"/>
      <c r="Q42" s="70"/>
      <c r="R42" s="70"/>
      <c r="S42" s="70"/>
      <c r="T42" s="70"/>
      <c r="U42" s="70"/>
      <c r="V42" s="70">
        <v>1500</v>
      </c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1"/>
      <c r="AH42" s="71"/>
      <c r="AI42" s="71"/>
      <c r="AJ42" s="71"/>
      <c r="AK42" s="71"/>
      <c r="AL42" s="71"/>
      <c r="AM42" s="71"/>
      <c r="AN42" s="71"/>
      <c r="AO42" s="71">
        <v>10</v>
      </c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166"/>
      <c r="BA42" s="131"/>
      <c r="BB42" s="131"/>
      <c r="BC42" s="131">
        <f>VLOOKUP(Table7[[#This Row],[Vlookup Store '#]],'Kiosk Stickers'!A$4:$H$538,2,FALSE)</f>
        <v>0</v>
      </c>
      <c r="BD42" s="131"/>
      <c r="BE42" s="169"/>
      <c r="BF42" s="194"/>
      <c r="BG42" s="173">
        <f>VLOOKUP(Table7[[#This Row],[Vlookup Store '#]],'Kiosk Stickers'!A$4:$H$538,3,FALSE)</f>
        <v>2</v>
      </c>
      <c r="BH42" s="173"/>
      <c r="BI42" s="173"/>
      <c r="BJ42" s="173"/>
      <c r="BK42" s="173"/>
      <c r="BL42" s="173"/>
      <c r="BM42" s="173"/>
      <c r="BN42" s="215"/>
      <c r="BO42" s="199">
        <f>VLOOKUP(Table7[[#This Row],[Vlookup Store '#]],'Kiosk Stickers'!A$4:$H$538,4,FALSE)</f>
        <v>0</v>
      </c>
      <c r="BP42" s="171"/>
      <c r="BQ42" s="226"/>
      <c r="BR42" s="184">
        <f>VLOOKUP(Table7[[#This Row],[Vlookup Store '#]],'Kiosk Stickers'!A$4:$H$538,5,FALSE)</f>
        <v>0</v>
      </c>
      <c r="BS42" s="173"/>
      <c r="BT42" s="173"/>
      <c r="BU42" s="173"/>
      <c r="BV42" s="173"/>
      <c r="BW42" s="173"/>
      <c r="BX42" s="173"/>
      <c r="BY42" s="173"/>
      <c r="BZ42" s="215"/>
      <c r="CA42" s="243"/>
      <c r="CB42" s="233"/>
      <c r="CC42" s="233"/>
      <c r="CD42" s="233"/>
      <c r="CE42" s="233"/>
      <c r="CF42" s="233"/>
      <c r="CG42" s="233"/>
      <c r="CH42" s="262"/>
      <c r="CI42" s="351"/>
      <c r="CJ42" s="350">
        <v>2</v>
      </c>
      <c r="CK42" s="350"/>
      <c r="CL42" s="350"/>
      <c r="CM42" s="350"/>
      <c r="CN42" s="350"/>
      <c r="CO42" s="350"/>
      <c r="CP42" s="350"/>
      <c r="CQ42" s="364"/>
      <c r="CR42" s="370"/>
      <c r="CS42" s="367">
        <v>10</v>
      </c>
      <c r="CT42" s="367"/>
      <c r="CU42" s="367"/>
      <c r="CV42" s="367"/>
      <c r="CW42" s="387"/>
      <c r="CX42" s="398"/>
      <c r="CY42" s="399">
        <v>1</v>
      </c>
      <c r="CZ42" s="399"/>
      <c r="DA42" s="399"/>
      <c r="DB42" s="399"/>
      <c r="DC42" s="400"/>
      <c r="DD42" s="400"/>
      <c r="DE42" s="514"/>
      <c r="DF42" s="514">
        <f t="shared" si="0"/>
        <v>1</v>
      </c>
      <c r="DG42" s="144"/>
      <c r="DH42" s="143"/>
    </row>
    <row r="43" spans="1:112" x14ac:dyDescent="0.25">
      <c r="A43" s="15" t="s">
        <v>107</v>
      </c>
      <c r="B43" s="15">
        <v>810</v>
      </c>
      <c r="C43" s="15" t="s">
        <v>923</v>
      </c>
      <c r="D43" s="15">
        <v>348</v>
      </c>
      <c r="E43" s="15" t="s">
        <v>924</v>
      </c>
      <c r="F43" s="15" t="s">
        <v>925</v>
      </c>
      <c r="G43" s="15" t="s">
        <v>926</v>
      </c>
      <c r="H43" s="15" t="s">
        <v>877</v>
      </c>
      <c r="I43" s="15" t="s">
        <v>112</v>
      </c>
      <c r="J43" s="15" t="s">
        <v>3160</v>
      </c>
      <c r="K43" s="15" t="s">
        <v>927</v>
      </c>
      <c r="L43" s="15" t="s">
        <v>3928</v>
      </c>
      <c r="M43" s="15" t="s">
        <v>3951</v>
      </c>
      <c r="N43" s="70"/>
      <c r="O43" s="70"/>
      <c r="P43" s="70"/>
      <c r="Q43" s="70"/>
      <c r="R43" s="70"/>
      <c r="S43" s="70"/>
      <c r="T43" s="70"/>
      <c r="U43" s="70"/>
      <c r="V43" s="70">
        <v>1500</v>
      </c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1"/>
      <c r="AH43" s="71"/>
      <c r="AI43" s="71"/>
      <c r="AJ43" s="71"/>
      <c r="AK43" s="71"/>
      <c r="AL43" s="71"/>
      <c r="AM43" s="71"/>
      <c r="AN43" s="71"/>
      <c r="AO43" s="71">
        <v>10</v>
      </c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166"/>
      <c r="BA43" s="131"/>
      <c r="BB43" s="131"/>
      <c r="BC43" s="131">
        <f>VLOOKUP(Table7[[#This Row],[Vlookup Store '#]],'Kiosk Stickers'!A$4:$H$538,2,FALSE)</f>
        <v>0</v>
      </c>
      <c r="BD43" s="131"/>
      <c r="BE43" s="169"/>
      <c r="BF43" s="194"/>
      <c r="BG43" s="173">
        <f>VLOOKUP(Table7[[#This Row],[Vlookup Store '#]],'Kiosk Stickers'!A$4:$H$538,3,FALSE)</f>
        <v>1</v>
      </c>
      <c r="BH43" s="173"/>
      <c r="BI43" s="173"/>
      <c r="BJ43" s="173"/>
      <c r="BK43" s="173"/>
      <c r="BL43" s="173"/>
      <c r="BM43" s="173"/>
      <c r="BN43" s="215"/>
      <c r="BO43" s="199">
        <f>VLOOKUP(Table7[[#This Row],[Vlookup Store '#]],'Kiosk Stickers'!A$4:$H$538,4,FALSE)</f>
        <v>0</v>
      </c>
      <c r="BP43" s="171"/>
      <c r="BQ43" s="226"/>
      <c r="BR43" s="184">
        <f>VLOOKUP(Table7[[#This Row],[Vlookup Store '#]],'Kiosk Stickers'!A$4:$H$538,5,FALSE)</f>
        <v>0</v>
      </c>
      <c r="BS43" s="173"/>
      <c r="BT43" s="173"/>
      <c r="BU43" s="173"/>
      <c r="BV43" s="173"/>
      <c r="BW43" s="173"/>
      <c r="BX43" s="173"/>
      <c r="BY43" s="173"/>
      <c r="BZ43" s="215"/>
      <c r="CA43" s="243"/>
      <c r="CB43" s="233"/>
      <c r="CC43" s="233"/>
      <c r="CD43" s="233"/>
      <c r="CE43" s="233"/>
      <c r="CF43" s="233"/>
      <c r="CG43" s="233"/>
      <c r="CH43" s="262"/>
      <c r="CI43" s="351"/>
      <c r="CJ43" s="350">
        <v>2</v>
      </c>
      <c r="CK43" s="350"/>
      <c r="CL43" s="350"/>
      <c r="CM43" s="350"/>
      <c r="CN43" s="350"/>
      <c r="CO43" s="350"/>
      <c r="CP43" s="350"/>
      <c r="CQ43" s="364"/>
      <c r="CR43" s="370"/>
      <c r="CS43" s="367">
        <v>10</v>
      </c>
      <c r="CT43" s="367"/>
      <c r="CU43" s="367"/>
      <c r="CV43" s="367"/>
      <c r="CW43" s="387"/>
      <c r="CX43" s="398"/>
      <c r="CY43" s="399">
        <v>1</v>
      </c>
      <c r="CZ43" s="399"/>
      <c r="DA43" s="399"/>
      <c r="DB43" s="399"/>
      <c r="DC43" s="400"/>
      <c r="DD43" s="400"/>
      <c r="DE43" s="514"/>
      <c r="DF43" s="514">
        <f t="shared" si="0"/>
        <v>1</v>
      </c>
      <c r="DG43" s="144"/>
      <c r="DH43" s="143"/>
    </row>
    <row r="44" spans="1:112" x14ac:dyDescent="0.25">
      <c r="A44" s="15" t="s">
        <v>107</v>
      </c>
      <c r="B44" s="15">
        <v>810</v>
      </c>
      <c r="C44" s="15" t="s">
        <v>3469</v>
      </c>
      <c r="D44" s="15">
        <v>1341</v>
      </c>
      <c r="E44" s="15" t="s">
        <v>874</v>
      </c>
      <c r="F44" s="15" t="s">
        <v>875</v>
      </c>
      <c r="G44" s="15" t="s">
        <v>876</v>
      </c>
      <c r="H44" s="15" t="s">
        <v>877</v>
      </c>
      <c r="I44" s="15" t="s">
        <v>112</v>
      </c>
      <c r="J44" s="15" t="s">
        <v>3470</v>
      </c>
      <c r="K44" s="15" t="s">
        <v>878</v>
      </c>
      <c r="L44" s="15" t="s">
        <v>3928</v>
      </c>
      <c r="M44" s="15" t="s">
        <v>3951</v>
      </c>
      <c r="N44" s="70"/>
      <c r="O44" s="70"/>
      <c r="P44" s="70"/>
      <c r="Q44" s="70"/>
      <c r="R44" s="70"/>
      <c r="S44" s="70"/>
      <c r="T44" s="70"/>
      <c r="U44" s="70"/>
      <c r="V44" s="70">
        <v>1500</v>
      </c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1"/>
      <c r="AH44" s="71"/>
      <c r="AI44" s="71"/>
      <c r="AJ44" s="71"/>
      <c r="AK44" s="71"/>
      <c r="AL44" s="71"/>
      <c r="AM44" s="71"/>
      <c r="AN44" s="71"/>
      <c r="AO44" s="71">
        <v>10</v>
      </c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166"/>
      <c r="BA44" s="131"/>
      <c r="BB44" s="131"/>
      <c r="BC44" s="131">
        <f>VLOOKUP(Table7[[#This Row],[Vlookup Store '#]],'Kiosk Stickers'!A$4:$H$538,2,FALSE)</f>
        <v>2</v>
      </c>
      <c r="BD44" s="131"/>
      <c r="BE44" s="169"/>
      <c r="BF44" s="194"/>
      <c r="BG44" s="173">
        <f>VLOOKUP(Table7[[#This Row],[Vlookup Store '#]],'Kiosk Stickers'!A$4:$H$538,3,FALSE)</f>
        <v>0</v>
      </c>
      <c r="BH44" s="173"/>
      <c r="BI44" s="173"/>
      <c r="BJ44" s="173"/>
      <c r="BK44" s="173"/>
      <c r="BL44" s="173"/>
      <c r="BM44" s="173"/>
      <c r="BN44" s="215"/>
      <c r="BO44" s="199">
        <f>VLOOKUP(Table7[[#This Row],[Vlookup Store '#]],'Kiosk Stickers'!A$4:$H$538,4,FALSE)</f>
        <v>0</v>
      </c>
      <c r="BP44" s="171"/>
      <c r="BQ44" s="226"/>
      <c r="BR44" s="184">
        <f>VLOOKUP(Table7[[#This Row],[Vlookup Store '#]],'Kiosk Stickers'!A$4:$H$538,5,FALSE)</f>
        <v>0</v>
      </c>
      <c r="BS44" s="173"/>
      <c r="BT44" s="173"/>
      <c r="BU44" s="173"/>
      <c r="BV44" s="173"/>
      <c r="BW44" s="173"/>
      <c r="BX44" s="173"/>
      <c r="BY44" s="173"/>
      <c r="BZ44" s="215"/>
      <c r="CA44" s="243"/>
      <c r="CB44" s="233"/>
      <c r="CC44" s="233"/>
      <c r="CD44" s="233"/>
      <c r="CE44" s="233"/>
      <c r="CF44" s="233"/>
      <c r="CG44" s="233"/>
      <c r="CH44" s="262"/>
      <c r="CI44" s="351"/>
      <c r="CJ44" s="350">
        <v>2</v>
      </c>
      <c r="CK44" s="350"/>
      <c r="CL44" s="350"/>
      <c r="CM44" s="350"/>
      <c r="CN44" s="350"/>
      <c r="CO44" s="350"/>
      <c r="CP44" s="350"/>
      <c r="CQ44" s="364"/>
      <c r="CR44" s="370"/>
      <c r="CS44" s="367">
        <v>10</v>
      </c>
      <c r="CT44" s="367"/>
      <c r="CU44" s="367"/>
      <c r="CV44" s="367"/>
      <c r="CW44" s="387"/>
      <c r="CX44" s="398"/>
      <c r="CY44" s="399">
        <v>1</v>
      </c>
      <c r="CZ44" s="399"/>
      <c r="DA44" s="399"/>
      <c r="DB44" s="399"/>
      <c r="DC44" s="400"/>
      <c r="DD44" s="400"/>
      <c r="DE44" s="514"/>
      <c r="DF44" s="514">
        <f t="shared" si="0"/>
        <v>1</v>
      </c>
      <c r="DG44" s="144"/>
      <c r="DH44" s="143"/>
    </row>
    <row r="45" spans="1:112" x14ac:dyDescent="0.25">
      <c r="A45" s="15" t="s">
        <v>107</v>
      </c>
      <c r="B45" s="15">
        <v>810</v>
      </c>
      <c r="C45" s="15" t="s">
        <v>3471</v>
      </c>
      <c r="D45" s="15">
        <v>1343</v>
      </c>
      <c r="E45" s="15" t="s">
        <v>879</v>
      </c>
      <c r="F45" s="15" t="s">
        <v>880</v>
      </c>
      <c r="G45" s="15" t="s">
        <v>881</v>
      </c>
      <c r="H45" s="15" t="s">
        <v>882</v>
      </c>
      <c r="I45" s="15" t="s">
        <v>112</v>
      </c>
      <c r="J45" s="15" t="s">
        <v>3472</v>
      </c>
      <c r="K45" s="15" t="s">
        <v>883</v>
      </c>
      <c r="L45" s="15" t="s">
        <v>3928</v>
      </c>
      <c r="M45" s="15" t="s">
        <v>3951</v>
      </c>
      <c r="N45" s="70"/>
      <c r="O45" s="70"/>
      <c r="P45" s="70"/>
      <c r="Q45" s="70"/>
      <c r="R45" s="70"/>
      <c r="S45" s="70"/>
      <c r="T45" s="70"/>
      <c r="U45" s="70"/>
      <c r="V45" s="70">
        <v>1500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1"/>
      <c r="AH45" s="71"/>
      <c r="AI45" s="71"/>
      <c r="AJ45" s="71"/>
      <c r="AK45" s="71"/>
      <c r="AL45" s="71"/>
      <c r="AM45" s="71"/>
      <c r="AN45" s="71"/>
      <c r="AO45" s="71">
        <v>10</v>
      </c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166"/>
      <c r="BA45" s="131"/>
      <c r="BB45" s="131"/>
      <c r="BC45" s="131">
        <f>VLOOKUP(Table7[[#This Row],[Vlookup Store '#]],'Kiosk Stickers'!A$4:$H$538,2,FALSE)</f>
        <v>2</v>
      </c>
      <c r="BD45" s="131"/>
      <c r="BE45" s="169"/>
      <c r="BF45" s="194"/>
      <c r="BG45" s="173">
        <f>VLOOKUP(Table7[[#This Row],[Vlookup Store '#]],'Kiosk Stickers'!A$4:$H$538,3,FALSE)</f>
        <v>0</v>
      </c>
      <c r="BH45" s="173"/>
      <c r="BI45" s="173"/>
      <c r="BJ45" s="173"/>
      <c r="BK45" s="173"/>
      <c r="BL45" s="173"/>
      <c r="BM45" s="173"/>
      <c r="BN45" s="215"/>
      <c r="BO45" s="199">
        <f>VLOOKUP(Table7[[#This Row],[Vlookup Store '#]],'Kiosk Stickers'!A$4:$H$538,4,FALSE)</f>
        <v>0</v>
      </c>
      <c r="BP45" s="171"/>
      <c r="BQ45" s="226"/>
      <c r="BR45" s="184">
        <f>VLOOKUP(Table7[[#This Row],[Vlookup Store '#]],'Kiosk Stickers'!A$4:$H$538,5,FALSE)</f>
        <v>0</v>
      </c>
      <c r="BS45" s="173"/>
      <c r="BT45" s="173"/>
      <c r="BU45" s="173"/>
      <c r="BV45" s="173"/>
      <c r="BW45" s="173"/>
      <c r="BX45" s="173"/>
      <c r="BY45" s="173"/>
      <c r="BZ45" s="215"/>
      <c r="CA45" s="243"/>
      <c r="CB45" s="233"/>
      <c r="CC45" s="233"/>
      <c r="CD45" s="233"/>
      <c r="CE45" s="233"/>
      <c r="CF45" s="233"/>
      <c r="CG45" s="233"/>
      <c r="CH45" s="262"/>
      <c r="CI45" s="351"/>
      <c r="CJ45" s="350">
        <v>2</v>
      </c>
      <c r="CK45" s="350"/>
      <c r="CL45" s="350"/>
      <c r="CM45" s="350"/>
      <c r="CN45" s="350"/>
      <c r="CO45" s="350"/>
      <c r="CP45" s="350"/>
      <c r="CQ45" s="364"/>
      <c r="CR45" s="370"/>
      <c r="CS45" s="367">
        <v>10</v>
      </c>
      <c r="CT45" s="367"/>
      <c r="CU45" s="367"/>
      <c r="CV45" s="367"/>
      <c r="CW45" s="387"/>
      <c r="CX45" s="398"/>
      <c r="CY45" s="399">
        <v>1</v>
      </c>
      <c r="CZ45" s="399"/>
      <c r="DA45" s="399"/>
      <c r="DB45" s="399"/>
      <c r="DC45" s="400"/>
      <c r="DD45" s="400"/>
      <c r="DE45" s="514"/>
      <c r="DF45" s="514">
        <f t="shared" si="0"/>
        <v>1</v>
      </c>
      <c r="DG45" s="144"/>
      <c r="DH45" s="143"/>
    </row>
    <row r="46" spans="1:112" x14ac:dyDescent="0.25">
      <c r="A46" s="15" t="s">
        <v>107</v>
      </c>
      <c r="B46" s="15">
        <v>810</v>
      </c>
      <c r="C46" s="15" t="s">
        <v>3473</v>
      </c>
      <c r="D46" s="15">
        <v>1344</v>
      </c>
      <c r="E46" s="15" t="s">
        <v>884</v>
      </c>
      <c r="F46" s="15" t="s">
        <v>885</v>
      </c>
      <c r="G46" s="15" t="s">
        <v>886</v>
      </c>
      <c r="H46" s="15" t="s">
        <v>887</v>
      </c>
      <c r="I46" s="15" t="s">
        <v>112</v>
      </c>
      <c r="J46" s="15" t="s">
        <v>3474</v>
      </c>
      <c r="K46" s="15" t="s">
        <v>888</v>
      </c>
      <c r="L46" s="15" t="s">
        <v>3928</v>
      </c>
      <c r="M46" s="15" t="s">
        <v>3955</v>
      </c>
      <c r="N46" s="70"/>
      <c r="O46" s="70"/>
      <c r="P46" s="70"/>
      <c r="Q46" s="70"/>
      <c r="R46" s="70"/>
      <c r="S46" s="70"/>
      <c r="T46" s="70"/>
      <c r="U46" s="70"/>
      <c r="V46" s="70"/>
      <c r="W46" s="70">
        <v>1500</v>
      </c>
      <c r="X46" s="70"/>
      <c r="Y46" s="70"/>
      <c r="Z46" s="70"/>
      <c r="AA46" s="70"/>
      <c r="AB46" s="70"/>
      <c r="AC46" s="70"/>
      <c r="AD46" s="70"/>
      <c r="AE46" s="70"/>
      <c r="AF46" s="70"/>
      <c r="AG46" s="71"/>
      <c r="AH46" s="71"/>
      <c r="AI46" s="71"/>
      <c r="AJ46" s="71"/>
      <c r="AK46" s="71"/>
      <c r="AL46" s="71"/>
      <c r="AM46" s="71"/>
      <c r="AN46" s="71"/>
      <c r="AO46" s="71"/>
      <c r="AP46" s="71">
        <v>10</v>
      </c>
      <c r="AQ46" s="71"/>
      <c r="AR46" s="71"/>
      <c r="AS46" s="71"/>
      <c r="AT46" s="71"/>
      <c r="AU46" s="71"/>
      <c r="AV46" s="71"/>
      <c r="AW46" s="71"/>
      <c r="AX46" s="71"/>
      <c r="AY46" s="71"/>
      <c r="AZ46" s="131">
        <f>VLOOKUP(Table7[[#This Row],[Vlookup Store '#]],'Kiosk Stickers'!A$4:$H$538,2,FALSE)</f>
        <v>0</v>
      </c>
      <c r="BA46" s="131"/>
      <c r="BB46" s="131"/>
      <c r="BC46" s="131"/>
      <c r="BD46" s="131"/>
      <c r="BE46" s="169"/>
      <c r="BF46" s="194"/>
      <c r="BG46" s="173">
        <f>VLOOKUP(Table7[[#This Row],[Vlookup Store '#]],'Kiosk Stickers'!A$4:$H$538,3,FALSE)</f>
        <v>2</v>
      </c>
      <c r="BH46" s="173"/>
      <c r="BI46" s="173"/>
      <c r="BJ46" s="173"/>
      <c r="BK46" s="173"/>
      <c r="BL46" s="173"/>
      <c r="BM46" s="173"/>
      <c r="BN46" s="215"/>
      <c r="BO46" s="199">
        <f>VLOOKUP(Table7[[#This Row],[Vlookup Store '#]],'Kiosk Stickers'!A$4:$H$538,4,FALSE)</f>
        <v>0</v>
      </c>
      <c r="BP46" s="171"/>
      <c r="BQ46" s="226"/>
      <c r="BR46" s="184">
        <f>VLOOKUP(Table7[[#This Row],[Vlookup Store '#]],'Kiosk Stickers'!A$4:$H$538,5,FALSE)</f>
        <v>0</v>
      </c>
      <c r="BS46" s="173"/>
      <c r="BT46" s="173"/>
      <c r="BU46" s="173"/>
      <c r="BV46" s="173"/>
      <c r="BW46" s="173"/>
      <c r="BX46" s="173"/>
      <c r="BY46" s="173"/>
      <c r="BZ46" s="215"/>
      <c r="CA46" s="243"/>
      <c r="CB46" s="233"/>
      <c r="CC46" s="233"/>
      <c r="CD46" s="233"/>
      <c r="CE46" s="233"/>
      <c r="CF46" s="233"/>
      <c r="CG46" s="233"/>
      <c r="CH46" s="262"/>
      <c r="CI46" s="351"/>
      <c r="CJ46" s="350">
        <v>2</v>
      </c>
      <c r="CK46" s="350"/>
      <c r="CL46" s="350"/>
      <c r="CM46" s="350"/>
      <c r="CN46" s="350"/>
      <c r="CO46" s="350"/>
      <c r="CP46" s="350"/>
      <c r="CQ46" s="364"/>
      <c r="CR46" s="370"/>
      <c r="CS46" s="367">
        <v>10</v>
      </c>
      <c r="CT46" s="367"/>
      <c r="CU46" s="367"/>
      <c r="CV46" s="367"/>
      <c r="CW46" s="387"/>
      <c r="CX46" s="398"/>
      <c r="CY46" s="399">
        <v>1</v>
      </c>
      <c r="CZ46" s="399"/>
      <c r="DA46" s="399"/>
      <c r="DB46" s="399"/>
      <c r="DC46" s="400"/>
      <c r="DD46" s="400"/>
      <c r="DE46" s="514"/>
      <c r="DF46" s="514">
        <f t="shared" si="0"/>
        <v>1</v>
      </c>
      <c r="DG46" s="144"/>
      <c r="DH46" s="143"/>
    </row>
    <row r="47" spans="1:112" x14ac:dyDescent="0.25">
      <c r="A47" s="15" t="s">
        <v>107</v>
      </c>
      <c r="B47" s="15">
        <v>810</v>
      </c>
      <c r="C47" s="15" t="s">
        <v>3475</v>
      </c>
      <c r="D47" s="15">
        <v>1349</v>
      </c>
      <c r="E47" s="15" t="s">
        <v>889</v>
      </c>
      <c r="F47" s="15" t="s">
        <v>890</v>
      </c>
      <c r="G47" s="15" t="s">
        <v>891</v>
      </c>
      <c r="H47" s="15" t="s">
        <v>877</v>
      </c>
      <c r="I47" s="15" t="s">
        <v>112</v>
      </c>
      <c r="J47" s="15" t="s">
        <v>3476</v>
      </c>
      <c r="K47" s="15" t="s">
        <v>892</v>
      </c>
      <c r="L47" s="15" t="s">
        <v>3928</v>
      </c>
      <c r="M47" s="15" t="s">
        <v>3951</v>
      </c>
      <c r="N47" s="70"/>
      <c r="O47" s="70"/>
      <c r="P47" s="70"/>
      <c r="Q47" s="70"/>
      <c r="R47" s="70"/>
      <c r="S47" s="70"/>
      <c r="T47" s="70"/>
      <c r="U47" s="70"/>
      <c r="V47" s="70">
        <v>1500</v>
      </c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1"/>
      <c r="AH47" s="71"/>
      <c r="AI47" s="71"/>
      <c r="AJ47" s="71"/>
      <c r="AK47" s="71"/>
      <c r="AL47" s="71"/>
      <c r="AM47" s="71"/>
      <c r="AN47" s="71"/>
      <c r="AO47" s="71">
        <v>10</v>
      </c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131">
        <f>VLOOKUP(Table7[[#This Row],[Vlookup Store '#]],'Kiosk Stickers'!A$4:$H$538,2,FALSE)</f>
        <v>0</v>
      </c>
      <c r="BA47" s="131"/>
      <c r="BB47" s="131"/>
      <c r="BC47" s="131"/>
      <c r="BD47" s="131"/>
      <c r="BE47" s="169"/>
      <c r="BF47" s="194"/>
      <c r="BG47" s="173">
        <f>VLOOKUP(Table7[[#This Row],[Vlookup Store '#]],'Kiosk Stickers'!A$4:$H$538,3,FALSE)</f>
        <v>2</v>
      </c>
      <c r="BH47" s="173"/>
      <c r="BI47" s="173"/>
      <c r="BJ47" s="173"/>
      <c r="BK47" s="173"/>
      <c r="BL47" s="173"/>
      <c r="BM47" s="173"/>
      <c r="BN47" s="215"/>
      <c r="BO47" s="199">
        <f>VLOOKUP(Table7[[#This Row],[Vlookup Store '#]],'Kiosk Stickers'!A$4:$H$538,4,FALSE)</f>
        <v>0</v>
      </c>
      <c r="BP47" s="171"/>
      <c r="BQ47" s="226"/>
      <c r="BR47" s="184">
        <f>VLOOKUP(Table7[[#This Row],[Vlookup Store '#]],'Kiosk Stickers'!A$4:$H$538,5,FALSE)</f>
        <v>0</v>
      </c>
      <c r="BS47" s="173"/>
      <c r="BT47" s="173"/>
      <c r="BU47" s="173"/>
      <c r="BV47" s="173"/>
      <c r="BW47" s="173"/>
      <c r="BX47" s="173"/>
      <c r="BY47" s="173"/>
      <c r="BZ47" s="215"/>
      <c r="CA47" s="243"/>
      <c r="CB47" s="233"/>
      <c r="CC47" s="233"/>
      <c r="CD47" s="233"/>
      <c r="CE47" s="233"/>
      <c r="CF47" s="233"/>
      <c r="CG47" s="233"/>
      <c r="CH47" s="262"/>
      <c r="CI47" s="351"/>
      <c r="CJ47" s="350">
        <v>2</v>
      </c>
      <c r="CK47" s="350"/>
      <c r="CL47" s="350"/>
      <c r="CM47" s="350"/>
      <c r="CN47" s="350"/>
      <c r="CO47" s="350"/>
      <c r="CP47" s="350"/>
      <c r="CQ47" s="364"/>
      <c r="CR47" s="370"/>
      <c r="CS47" s="367">
        <v>10</v>
      </c>
      <c r="CT47" s="367"/>
      <c r="CU47" s="367"/>
      <c r="CV47" s="367"/>
      <c r="CW47" s="387"/>
      <c r="CX47" s="398"/>
      <c r="CY47" s="399">
        <v>1</v>
      </c>
      <c r="CZ47" s="399"/>
      <c r="DA47" s="399"/>
      <c r="DB47" s="399"/>
      <c r="DC47" s="400"/>
      <c r="DD47" s="400"/>
      <c r="DE47" s="514"/>
      <c r="DF47" s="514">
        <f t="shared" si="0"/>
        <v>1</v>
      </c>
      <c r="DG47" s="144"/>
      <c r="DH47" s="143"/>
    </row>
    <row r="48" spans="1:112" x14ac:dyDescent="0.25">
      <c r="A48" s="15" t="s">
        <v>259</v>
      </c>
      <c r="B48" s="15">
        <v>812</v>
      </c>
      <c r="C48" s="15" t="s">
        <v>3608</v>
      </c>
      <c r="D48" s="15">
        <v>1801</v>
      </c>
      <c r="E48" s="15" t="s">
        <v>928</v>
      </c>
      <c r="F48" s="15" t="s">
        <v>2959</v>
      </c>
      <c r="G48" s="15" t="s">
        <v>930</v>
      </c>
      <c r="H48" s="15" t="s">
        <v>931</v>
      </c>
      <c r="I48" s="15" t="s">
        <v>54</v>
      </c>
      <c r="J48" s="15" t="s">
        <v>3609</v>
      </c>
      <c r="K48" s="15" t="s">
        <v>932</v>
      </c>
      <c r="L48" s="15" t="s">
        <v>3766</v>
      </c>
      <c r="M48" s="15" t="s">
        <v>4020</v>
      </c>
      <c r="N48" s="70"/>
      <c r="O48" s="70"/>
      <c r="P48" s="70">
        <v>1500</v>
      </c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1"/>
      <c r="AH48" s="71"/>
      <c r="AI48" s="71">
        <v>10</v>
      </c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131">
        <f>VLOOKUP(Table7[[#This Row],[Vlookup Store '#]],'Kiosk Stickers'!A$4:$H$538,2,FALSE)</f>
        <v>0</v>
      </c>
      <c r="BA48" s="131"/>
      <c r="BB48" s="131"/>
      <c r="BC48" s="131"/>
      <c r="BD48" s="131"/>
      <c r="BE48" s="169"/>
      <c r="BF48" s="194"/>
      <c r="BG48" s="173"/>
      <c r="BH48" s="173"/>
      <c r="BI48" s="173"/>
      <c r="BJ48" s="173"/>
      <c r="BK48" s="173"/>
      <c r="BL48" s="173"/>
      <c r="BM48" s="173">
        <f>VLOOKUP(Table7[[#This Row],[Vlookup Store '#]],'Kiosk Stickers'!A$4:$H$538,3,FALSE)</f>
        <v>2</v>
      </c>
      <c r="BN48" s="215"/>
      <c r="BO48" s="199">
        <f>VLOOKUP(Table7[[#This Row],[Vlookup Store '#]],'Kiosk Stickers'!A$4:$H$538,4,FALSE)</f>
        <v>0</v>
      </c>
      <c r="BP48" s="171"/>
      <c r="BQ48" s="226"/>
      <c r="BR48" s="184">
        <f>VLOOKUP(Table7[[#This Row],[Vlookup Store '#]],'Kiosk Stickers'!A$4:$H$538,5,FALSE)</f>
        <v>0</v>
      </c>
      <c r="BS48" s="173"/>
      <c r="BT48" s="173"/>
      <c r="BU48" s="173"/>
      <c r="BV48" s="173"/>
      <c r="BW48" s="173"/>
      <c r="BX48" s="173"/>
      <c r="BY48" s="173"/>
      <c r="BZ48" s="215"/>
      <c r="CA48" s="243"/>
      <c r="CB48" s="233"/>
      <c r="CC48" s="233"/>
      <c r="CD48" s="233"/>
      <c r="CE48" s="233"/>
      <c r="CF48" s="233"/>
      <c r="CG48" s="233"/>
      <c r="CH48" s="262"/>
      <c r="CI48" s="351"/>
      <c r="CJ48" s="350"/>
      <c r="CK48" s="350"/>
      <c r="CL48" s="350"/>
      <c r="CM48" s="350"/>
      <c r="CN48" s="350"/>
      <c r="CO48" s="350"/>
      <c r="CP48" s="350">
        <v>2</v>
      </c>
      <c r="CQ48" s="364"/>
      <c r="CR48" s="370"/>
      <c r="CS48" s="367"/>
      <c r="CT48" s="367"/>
      <c r="CU48" s="367"/>
      <c r="CV48" s="367"/>
      <c r="CW48" s="387">
        <v>10</v>
      </c>
      <c r="CX48" s="398"/>
      <c r="CY48" s="399"/>
      <c r="CZ48" s="399"/>
      <c r="DA48" s="399"/>
      <c r="DB48" s="399"/>
      <c r="DC48" s="400"/>
      <c r="DD48" s="400"/>
      <c r="DE48" s="514">
        <v>1</v>
      </c>
      <c r="DF48" s="514">
        <f t="shared" si="0"/>
        <v>1</v>
      </c>
      <c r="DG48" s="144"/>
      <c r="DH48" s="143"/>
    </row>
    <row r="49" spans="1:112" x14ac:dyDescent="0.25">
      <c r="A49" s="15" t="s">
        <v>259</v>
      </c>
      <c r="B49" s="15">
        <v>812</v>
      </c>
      <c r="C49" s="15" t="s">
        <v>3616</v>
      </c>
      <c r="D49" s="15">
        <v>1805</v>
      </c>
      <c r="E49" s="15" t="s">
        <v>944</v>
      </c>
      <c r="F49" s="15" t="s">
        <v>945</v>
      </c>
      <c r="G49" s="15" t="s">
        <v>946</v>
      </c>
      <c r="H49" s="15" t="s">
        <v>931</v>
      </c>
      <c r="I49" s="15" t="s">
        <v>54</v>
      </c>
      <c r="J49" s="15" t="s">
        <v>3611</v>
      </c>
      <c r="K49" s="15" t="s">
        <v>947</v>
      </c>
      <c r="L49" s="15" t="s">
        <v>3766</v>
      </c>
      <c r="M49" s="15" t="s">
        <v>4020</v>
      </c>
      <c r="N49" s="70"/>
      <c r="O49" s="70"/>
      <c r="P49" s="70">
        <v>1500</v>
      </c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1"/>
      <c r="AH49" s="71"/>
      <c r="AI49" s="71">
        <v>10</v>
      </c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131">
        <f>VLOOKUP(Table7[[#This Row],[Vlookup Store '#]],'Kiosk Stickers'!A$4:$H$538,2,FALSE)</f>
        <v>0</v>
      </c>
      <c r="BA49" s="131"/>
      <c r="BB49" s="131"/>
      <c r="BC49" s="131"/>
      <c r="BD49" s="131"/>
      <c r="BE49" s="169"/>
      <c r="BF49" s="194"/>
      <c r="BG49" s="173"/>
      <c r="BH49" s="173"/>
      <c r="BI49" s="173"/>
      <c r="BJ49" s="173"/>
      <c r="BK49" s="173"/>
      <c r="BL49" s="173"/>
      <c r="BM49" s="173">
        <f>VLOOKUP(Table7[[#This Row],[Vlookup Store '#]],'Kiosk Stickers'!A$4:$H$538,3,FALSE)</f>
        <v>2</v>
      </c>
      <c r="BN49" s="215"/>
      <c r="BO49" s="199">
        <f>VLOOKUP(Table7[[#This Row],[Vlookup Store '#]],'Kiosk Stickers'!A$4:$H$538,4,FALSE)</f>
        <v>0</v>
      </c>
      <c r="BP49" s="171"/>
      <c r="BQ49" s="226"/>
      <c r="BR49" s="184">
        <f>VLOOKUP(Table7[[#This Row],[Vlookup Store '#]],'Kiosk Stickers'!A$4:$H$538,5,FALSE)</f>
        <v>0</v>
      </c>
      <c r="BS49" s="173"/>
      <c r="BT49" s="173"/>
      <c r="BU49" s="173"/>
      <c r="BV49" s="173"/>
      <c r="BW49" s="173"/>
      <c r="BX49" s="173"/>
      <c r="BY49" s="173"/>
      <c r="BZ49" s="215"/>
      <c r="CA49" s="243"/>
      <c r="CB49" s="233"/>
      <c r="CC49" s="233"/>
      <c r="CD49" s="233"/>
      <c r="CE49" s="233"/>
      <c r="CF49" s="233"/>
      <c r="CG49" s="233"/>
      <c r="CH49" s="262"/>
      <c r="CI49" s="351"/>
      <c r="CJ49" s="350"/>
      <c r="CK49" s="350"/>
      <c r="CL49" s="350"/>
      <c r="CM49" s="350"/>
      <c r="CN49" s="350"/>
      <c r="CO49" s="350"/>
      <c r="CP49" s="350">
        <v>2</v>
      </c>
      <c r="CQ49" s="364"/>
      <c r="CR49" s="370"/>
      <c r="CS49" s="367"/>
      <c r="CT49" s="367"/>
      <c r="CU49" s="367"/>
      <c r="CV49" s="367"/>
      <c r="CW49" s="387">
        <v>10</v>
      </c>
      <c r="CX49" s="398"/>
      <c r="CY49" s="399"/>
      <c r="CZ49" s="399"/>
      <c r="DA49" s="399"/>
      <c r="DB49" s="399"/>
      <c r="DC49" s="400"/>
      <c r="DD49" s="400"/>
      <c r="DE49" s="514">
        <v>1</v>
      </c>
      <c r="DF49" s="514">
        <f t="shared" si="0"/>
        <v>1</v>
      </c>
      <c r="DG49" s="144"/>
      <c r="DH49" s="143"/>
    </row>
    <row r="50" spans="1:112" x14ac:dyDescent="0.25">
      <c r="A50" s="15" t="s">
        <v>259</v>
      </c>
      <c r="B50" s="15">
        <v>812</v>
      </c>
      <c r="C50" s="15" t="s">
        <v>3619</v>
      </c>
      <c r="D50" s="15">
        <v>1807</v>
      </c>
      <c r="E50" s="15" t="s">
        <v>951</v>
      </c>
      <c r="F50" s="15" t="s">
        <v>973</v>
      </c>
      <c r="G50" s="15" t="s">
        <v>952</v>
      </c>
      <c r="H50" s="15" t="s">
        <v>931</v>
      </c>
      <c r="I50" s="15" t="s">
        <v>54</v>
      </c>
      <c r="J50" s="15" t="s">
        <v>3618</v>
      </c>
      <c r="K50" s="15" t="s">
        <v>953</v>
      </c>
      <c r="L50" s="15" t="s">
        <v>3766</v>
      </c>
      <c r="M50" s="15" t="s">
        <v>4020</v>
      </c>
      <c r="N50" s="70"/>
      <c r="O50" s="70"/>
      <c r="P50" s="70">
        <v>1500</v>
      </c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1"/>
      <c r="AH50" s="71"/>
      <c r="AI50" s="71">
        <v>10</v>
      </c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131">
        <f>VLOOKUP(Table7[[#This Row],[Vlookup Store '#]],'Kiosk Stickers'!A$4:$H$538,2,FALSE)</f>
        <v>0</v>
      </c>
      <c r="BA50" s="131"/>
      <c r="BB50" s="131"/>
      <c r="BC50" s="131"/>
      <c r="BD50" s="131"/>
      <c r="BE50" s="169"/>
      <c r="BF50" s="194"/>
      <c r="BG50" s="173"/>
      <c r="BH50" s="173"/>
      <c r="BI50" s="173"/>
      <c r="BJ50" s="173"/>
      <c r="BK50" s="173"/>
      <c r="BL50" s="173"/>
      <c r="BM50" s="173">
        <f>VLOOKUP(Table7[[#This Row],[Vlookup Store '#]],'Kiosk Stickers'!A$4:$H$538,3,FALSE)</f>
        <v>2</v>
      </c>
      <c r="BN50" s="215"/>
      <c r="BO50" s="199">
        <f>VLOOKUP(Table7[[#This Row],[Vlookup Store '#]],'Kiosk Stickers'!A$4:$H$538,4,FALSE)</f>
        <v>0</v>
      </c>
      <c r="BP50" s="171"/>
      <c r="BQ50" s="226"/>
      <c r="BR50" s="184">
        <f>VLOOKUP(Table7[[#This Row],[Vlookup Store '#]],'Kiosk Stickers'!A$4:$H$538,5,FALSE)</f>
        <v>0</v>
      </c>
      <c r="BS50" s="173"/>
      <c r="BT50" s="173"/>
      <c r="BU50" s="173"/>
      <c r="BV50" s="173"/>
      <c r="BW50" s="173"/>
      <c r="BX50" s="173"/>
      <c r="BY50" s="173"/>
      <c r="BZ50" s="215"/>
      <c r="CA50" s="243"/>
      <c r="CB50" s="233"/>
      <c r="CC50" s="233"/>
      <c r="CD50" s="233"/>
      <c r="CE50" s="233"/>
      <c r="CF50" s="233"/>
      <c r="CG50" s="233"/>
      <c r="CH50" s="262"/>
      <c r="CI50" s="351"/>
      <c r="CJ50" s="350"/>
      <c r="CK50" s="350"/>
      <c r="CL50" s="350"/>
      <c r="CM50" s="350"/>
      <c r="CN50" s="350"/>
      <c r="CO50" s="350"/>
      <c r="CP50" s="350">
        <v>2</v>
      </c>
      <c r="CQ50" s="364"/>
      <c r="CR50" s="370"/>
      <c r="CS50" s="367"/>
      <c r="CT50" s="367"/>
      <c r="CU50" s="367"/>
      <c r="CV50" s="367"/>
      <c r="CW50" s="387">
        <v>10</v>
      </c>
      <c r="CX50" s="398"/>
      <c r="CY50" s="399"/>
      <c r="CZ50" s="399"/>
      <c r="DA50" s="399"/>
      <c r="DB50" s="399"/>
      <c r="DC50" s="400"/>
      <c r="DD50" s="400"/>
      <c r="DE50" s="514">
        <v>1</v>
      </c>
      <c r="DF50" s="514">
        <f t="shared" si="0"/>
        <v>1</v>
      </c>
      <c r="DG50" s="144"/>
      <c r="DH50" s="143"/>
    </row>
    <row r="51" spans="1:112" x14ac:dyDescent="0.25">
      <c r="A51" s="15" t="s">
        <v>259</v>
      </c>
      <c r="B51" s="15">
        <v>832</v>
      </c>
      <c r="C51" s="15" t="s">
        <v>3624</v>
      </c>
      <c r="D51" s="15">
        <v>1811</v>
      </c>
      <c r="E51" s="15" t="s">
        <v>964</v>
      </c>
      <c r="F51" s="15" t="s">
        <v>3625</v>
      </c>
      <c r="G51" s="15" t="s">
        <v>966</v>
      </c>
      <c r="H51" s="15" t="s">
        <v>262</v>
      </c>
      <c r="I51" s="15" t="s">
        <v>54</v>
      </c>
      <c r="J51" s="15" t="s">
        <v>3626</v>
      </c>
      <c r="K51" s="15" t="s">
        <v>967</v>
      </c>
      <c r="L51" s="15" t="s">
        <v>3766</v>
      </c>
      <c r="M51" s="15" t="s">
        <v>4020</v>
      </c>
      <c r="N51" s="70"/>
      <c r="O51" s="70"/>
      <c r="P51" s="70">
        <v>1500</v>
      </c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1"/>
      <c r="AH51" s="71"/>
      <c r="AI51" s="71">
        <v>10</v>
      </c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131">
        <f>VLOOKUP(Table7[[#This Row],[Vlookup Store '#]],'Kiosk Stickers'!A$4:$H$538,2,FALSE)</f>
        <v>0</v>
      </c>
      <c r="BA51" s="131"/>
      <c r="BB51" s="131"/>
      <c r="BC51" s="131"/>
      <c r="BD51" s="131"/>
      <c r="BE51" s="169"/>
      <c r="BF51" s="194"/>
      <c r="BG51" s="173"/>
      <c r="BH51" s="173"/>
      <c r="BI51" s="173"/>
      <c r="BJ51" s="173"/>
      <c r="BK51" s="173"/>
      <c r="BL51" s="173"/>
      <c r="BM51" s="173">
        <f>VLOOKUP(Table7[[#This Row],[Vlookup Store '#]],'Kiosk Stickers'!A$4:$H$538,3,FALSE)</f>
        <v>0</v>
      </c>
      <c r="BN51" s="215"/>
      <c r="BO51" s="199">
        <f>VLOOKUP(Table7[[#This Row],[Vlookup Store '#]],'Kiosk Stickers'!A$4:$H$538,4,FALSE)</f>
        <v>2</v>
      </c>
      <c r="BP51" s="171"/>
      <c r="BQ51" s="226"/>
      <c r="BR51" s="184">
        <f>VLOOKUP(Table7[[#This Row],[Vlookup Store '#]],'Kiosk Stickers'!A$4:$H$538,5,FALSE)</f>
        <v>0</v>
      </c>
      <c r="BS51" s="173"/>
      <c r="BT51" s="173"/>
      <c r="BU51" s="173"/>
      <c r="BV51" s="173"/>
      <c r="BW51" s="173"/>
      <c r="BX51" s="173"/>
      <c r="BY51" s="173"/>
      <c r="BZ51" s="215"/>
      <c r="CA51" s="243"/>
      <c r="CB51" s="233"/>
      <c r="CC51" s="233"/>
      <c r="CD51" s="233"/>
      <c r="CE51" s="233"/>
      <c r="CF51" s="233"/>
      <c r="CG51" s="233"/>
      <c r="CH51" s="262"/>
      <c r="CI51" s="351"/>
      <c r="CJ51" s="350"/>
      <c r="CK51" s="350"/>
      <c r="CL51" s="350"/>
      <c r="CM51" s="350"/>
      <c r="CN51" s="350"/>
      <c r="CO51" s="350"/>
      <c r="CP51" s="350">
        <v>2</v>
      </c>
      <c r="CQ51" s="364"/>
      <c r="CR51" s="370"/>
      <c r="CS51" s="367"/>
      <c r="CT51" s="367"/>
      <c r="CU51" s="367"/>
      <c r="CV51" s="367"/>
      <c r="CW51" s="387">
        <v>10</v>
      </c>
      <c r="CX51" s="398"/>
      <c r="CY51" s="399"/>
      <c r="CZ51" s="399"/>
      <c r="DA51" s="399"/>
      <c r="DB51" s="399"/>
      <c r="DC51" s="400"/>
      <c r="DD51" s="400"/>
      <c r="DE51" s="514">
        <v>1</v>
      </c>
      <c r="DF51" s="514">
        <f t="shared" si="0"/>
        <v>1</v>
      </c>
      <c r="DG51" s="144"/>
      <c r="DH51" s="143"/>
    </row>
    <row r="52" spans="1:112" x14ac:dyDescent="0.25">
      <c r="A52" s="15" t="s">
        <v>259</v>
      </c>
      <c r="B52" s="15">
        <v>832</v>
      </c>
      <c r="C52" s="15" t="s">
        <v>3629</v>
      </c>
      <c r="D52" s="15">
        <v>1813</v>
      </c>
      <c r="E52" s="15" t="s">
        <v>260</v>
      </c>
      <c r="F52" s="15" t="s">
        <v>1103</v>
      </c>
      <c r="G52" s="15" t="s">
        <v>261</v>
      </c>
      <c r="H52" s="15" t="s">
        <v>262</v>
      </c>
      <c r="I52" s="15" t="s">
        <v>54</v>
      </c>
      <c r="J52" s="15" t="s">
        <v>3630</v>
      </c>
      <c r="K52" s="15" t="s">
        <v>263</v>
      </c>
      <c r="L52" s="15" t="s">
        <v>3766</v>
      </c>
      <c r="M52" s="15" t="s">
        <v>4020</v>
      </c>
      <c r="N52" s="70"/>
      <c r="O52" s="70"/>
      <c r="P52" s="70">
        <v>1500</v>
      </c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1"/>
      <c r="AH52" s="71"/>
      <c r="AI52" s="71">
        <v>10</v>
      </c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131">
        <f>VLOOKUP(Table7[[#This Row],[Vlookup Store '#]],'Kiosk Stickers'!A$4:$H$538,2,FALSE)</f>
        <v>0</v>
      </c>
      <c r="BA52" s="131"/>
      <c r="BB52" s="131"/>
      <c r="BC52" s="131"/>
      <c r="BD52" s="131"/>
      <c r="BE52" s="169"/>
      <c r="BF52" s="194"/>
      <c r="BG52" s="173"/>
      <c r="BH52" s="173"/>
      <c r="BI52" s="173"/>
      <c r="BJ52" s="173"/>
      <c r="BK52" s="173"/>
      <c r="BL52" s="173"/>
      <c r="BM52" s="173">
        <f>VLOOKUP(Table7[[#This Row],[Vlookup Store '#]],'Kiosk Stickers'!A$4:$H$538,3,FALSE)</f>
        <v>2</v>
      </c>
      <c r="BN52" s="215"/>
      <c r="BO52" s="199">
        <f>VLOOKUP(Table7[[#This Row],[Vlookup Store '#]],'Kiosk Stickers'!A$4:$H$538,4,FALSE)</f>
        <v>0</v>
      </c>
      <c r="BP52" s="171"/>
      <c r="BQ52" s="226"/>
      <c r="BR52" s="184">
        <f>VLOOKUP(Table7[[#This Row],[Vlookup Store '#]],'Kiosk Stickers'!A$4:$H$538,5,FALSE)</f>
        <v>0</v>
      </c>
      <c r="BS52" s="173"/>
      <c r="BT52" s="173"/>
      <c r="BU52" s="173"/>
      <c r="BV52" s="173"/>
      <c r="BW52" s="173"/>
      <c r="BX52" s="173"/>
      <c r="BY52" s="173"/>
      <c r="BZ52" s="215"/>
      <c r="CA52" s="243"/>
      <c r="CB52" s="233"/>
      <c r="CC52" s="233"/>
      <c r="CD52" s="233"/>
      <c r="CE52" s="233"/>
      <c r="CF52" s="233"/>
      <c r="CG52" s="233"/>
      <c r="CH52" s="262"/>
      <c r="CI52" s="351"/>
      <c r="CJ52" s="350"/>
      <c r="CK52" s="350"/>
      <c r="CL52" s="350"/>
      <c r="CM52" s="350"/>
      <c r="CN52" s="350"/>
      <c r="CO52" s="350"/>
      <c r="CP52" s="350">
        <v>2</v>
      </c>
      <c r="CQ52" s="364"/>
      <c r="CR52" s="370"/>
      <c r="CS52" s="367"/>
      <c r="CT52" s="367"/>
      <c r="CU52" s="367"/>
      <c r="CV52" s="367"/>
      <c r="CW52" s="387">
        <v>10</v>
      </c>
      <c r="CX52" s="398"/>
      <c r="CY52" s="399"/>
      <c r="CZ52" s="399"/>
      <c r="DA52" s="399"/>
      <c r="DB52" s="399"/>
      <c r="DC52" s="400"/>
      <c r="DD52" s="400"/>
      <c r="DE52" s="514">
        <v>1</v>
      </c>
      <c r="DF52" s="514">
        <f t="shared" si="0"/>
        <v>1</v>
      </c>
      <c r="DG52" s="144"/>
      <c r="DH52" s="143"/>
    </row>
    <row r="53" spans="1:112" x14ac:dyDescent="0.25">
      <c r="A53" s="15" t="s">
        <v>259</v>
      </c>
      <c r="B53" s="15">
        <v>832</v>
      </c>
      <c r="C53" s="15" t="s">
        <v>3631</v>
      </c>
      <c r="D53" s="15">
        <v>1814</v>
      </c>
      <c r="E53" s="15" t="s">
        <v>972</v>
      </c>
      <c r="F53" s="15" t="s">
        <v>3047</v>
      </c>
      <c r="G53" s="15" t="s">
        <v>974</v>
      </c>
      <c r="H53" s="15" t="s">
        <v>262</v>
      </c>
      <c r="I53" s="15" t="s">
        <v>54</v>
      </c>
      <c r="J53" s="15" t="s">
        <v>3632</v>
      </c>
      <c r="K53" s="15" t="s">
        <v>975</v>
      </c>
      <c r="L53" s="15" t="s">
        <v>3766</v>
      </c>
      <c r="M53" s="15" t="s">
        <v>4020</v>
      </c>
      <c r="N53" s="70"/>
      <c r="O53" s="70"/>
      <c r="P53" s="70">
        <v>1500</v>
      </c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1"/>
      <c r="AH53" s="71"/>
      <c r="AI53" s="71">
        <v>10</v>
      </c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131">
        <f>VLOOKUP(Table7[[#This Row],[Vlookup Store '#]],'Kiosk Stickers'!A$4:$H$538,2,FALSE)</f>
        <v>0</v>
      </c>
      <c r="BA53" s="131"/>
      <c r="BB53" s="131"/>
      <c r="BC53" s="131"/>
      <c r="BD53" s="131"/>
      <c r="BE53" s="169"/>
      <c r="BF53" s="194"/>
      <c r="BG53" s="173"/>
      <c r="BH53" s="173"/>
      <c r="BI53" s="173"/>
      <c r="BJ53" s="173"/>
      <c r="BK53" s="173"/>
      <c r="BL53" s="173"/>
      <c r="BM53" s="173">
        <f>VLOOKUP(Table7[[#This Row],[Vlookup Store '#]],'Kiosk Stickers'!A$4:$H$538,3,FALSE)</f>
        <v>2</v>
      </c>
      <c r="BN53" s="215"/>
      <c r="BO53" s="199">
        <f>VLOOKUP(Table7[[#This Row],[Vlookup Store '#]],'Kiosk Stickers'!A$4:$H$538,4,FALSE)</f>
        <v>0</v>
      </c>
      <c r="BP53" s="171"/>
      <c r="BQ53" s="226"/>
      <c r="BR53" s="184">
        <f>VLOOKUP(Table7[[#This Row],[Vlookup Store '#]],'Kiosk Stickers'!A$4:$H$538,5,FALSE)</f>
        <v>0</v>
      </c>
      <c r="BS53" s="173"/>
      <c r="BT53" s="173"/>
      <c r="BU53" s="173"/>
      <c r="BV53" s="173"/>
      <c r="BW53" s="173"/>
      <c r="BX53" s="173"/>
      <c r="BY53" s="173"/>
      <c r="BZ53" s="215"/>
      <c r="CA53" s="243"/>
      <c r="CB53" s="233"/>
      <c r="CC53" s="233"/>
      <c r="CD53" s="233"/>
      <c r="CE53" s="233"/>
      <c r="CF53" s="233"/>
      <c r="CG53" s="233"/>
      <c r="CH53" s="262"/>
      <c r="CI53" s="351"/>
      <c r="CJ53" s="350"/>
      <c r="CK53" s="350"/>
      <c r="CL53" s="350"/>
      <c r="CM53" s="350"/>
      <c r="CN53" s="350"/>
      <c r="CO53" s="350"/>
      <c r="CP53" s="350">
        <v>2</v>
      </c>
      <c r="CQ53" s="364"/>
      <c r="CR53" s="370"/>
      <c r="CS53" s="367"/>
      <c r="CT53" s="367"/>
      <c r="CU53" s="367"/>
      <c r="CV53" s="367"/>
      <c r="CW53" s="387">
        <v>10</v>
      </c>
      <c r="CX53" s="398"/>
      <c r="CY53" s="399"/>
      <c r="CZ53" s="399"/>
      <c r="DA53" s="399"/>
      <c r="DB53" s="399"/>
      <c r="DC53" s="400"/>
      <c r="DD53" s="400"/>
      <c r="DE53" s="514">
        <v>1</v>
      </c>
      <c r="DF53" s="514">
        <f t="shared" si="0"/>
        <v>1</v>
      </c>
      <c r="DG53" s="144"/>
      <c r="DH53" s="143"/>
    </row>
    <row r="54" spans="1:112" x14ac:dyDescent="0.25">
      <c r="A54" s="15" t="s">
        <v>259</v>
      </c>
      <c r="B54" s="15">
        <v>832</v>
      </c>
      <c r="C54" s="15" t="s">
        <v>3635</v>
      </c>
      <c r="D54" s="15">
        <v>1816</v>
      </c>
      <c r="E54" s="15" t="s">
        <v>981</v>
      </c>
      <c r="F54" s="15" t="s">
        <v>982</v>
      </c>
      <c r="G54" s="15" t="s">
        <v>983</v>
      </c>
      <c r="H54" s="15" t="s">
        <v>984</v>
      </c>
      <c r="I54" s="15" t="s">
        <v>54</v>
      </c>
      <c r="J54" s="15" t="s">
        <v>3636</v>
      </c>
      <c r="K54" s="15" t="s">
        <v>985</v>
      </c>
      <c r="L54" s="15" t="s">
        <v>3766</v>
      </c>
      <c r="M54" s="15" t="s">
        <v>4020</v>
      </c>
      <c r="N54" s="70"/>
      <c r="O54" s="72"/>
      <c r="P54" s="70">
        <v>1500</v>
      </c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1"/>
      <c r="AH54" s="119"/>
      <c r="AI54" s="71">
        <v>10</v>
      </c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31">
        <f>VLOOKUP(Table7[[#This Row],[Vlookup Store '#]],'Kiosk Stickers'!A$4:$H$538,2,FALSE)</f>
        <v>0</v>
      </c>
      <c r="BA54" s="131"/>
      <c r="BB54" s="131"/>
      <c r="BC54" s="131"/>
      <c r="BD54" s="131"/>
      <c r="BE54" s="169"/>
      <c r="BF54" s="194"/>
      <c r="BG54" s="173"/>
      <c r="BH54" s="173"/>
      <c r="BI54" s="173"/>
      <c r="BJ54" s="173"/>
      <c r="BK54" s="173"/>
      <c r="BL54" s="173"/>
      <c r="BM54" s="173">
        <f>VLOOKUP(Table7[[#This Row],[Vlookup Store '#]],'Kiosk Stickers'!A$4:$H$538,3,FALSE)</f>
        <v>2</v>
      </c>
      <c r="BN54" s="215"/>
      <c r="BO54" s="199">
        <f>VLOOKUP(Table7[[#This Row],[Vlookup Store '#]],'Kiosk Stickers'!A$4:$H$538,4,FALSE)</f>
        <v>0</v>
      </c>
      <c r="BP54" s="171"/>
      <c r="BQ54" s="226"/>
      <c r="BR54" s="184">
        <f>VLOOKUP(Table7[[#This Row],[Vlookup Store '#]],'Kiosk Stickers'!A$4:$H$538,5,FALSE)</f>
        <v>0</v>
      </c>
      <c r="BS54" s="173"/>
      <c r="BT54" s="173"/>
      <c r="BU54" s="173"/>
      <c r="BV54" s="173"/>
      <c r="BW54" s="173"/>
      <c r="BX54" s="173"/>
      <c r="BY54" s="173"/>
      <c r="BZ54" s="215"/>
      <c r="CA54" s="243"/>
      <c r="CB54" s="233"/>
      <c r="CC54" s="233"/>
      <c r="CD54" s="233"/>
      <c r="CE54" s="233"/>
      <c r="CF54" s="233"/>
      <c r="CG54" s="233"/>
      <c r="CH54" s="262"/>
      <c r="CI54" s="351"/>
      <c r="CJ54" s="350"/>
      <c r="CK54" s="350"/>
      <c r="CL54" s="350"/>
      <c r="CM54" s="350"/>
      <c r="CN54" s="350"/>
      <c r="CO54" s="350"/>
      <c r="CP54" s="350">
        <v>2</v>
      </c>
      <c r="CQ54" s="364"/>
      <c r="CR54" s="370"/>
      <c r="CS54" s="367"/>
      <c r="CT54" s="367"/>
      <c r="CU54" s="367"/>
      <c r="CV54" s="367"/>
      <c r="CW54" s="387">
        <v>10</v>
      </c>
      <c r="CX54" s="398"/>
      <c r="CY54" s="399"/>
      <c r="CZ54" s="399"/>
      <c r="DA54" s="399"/>
      <c r="DB54" s="399"/>
      <c r="DC54" s="400"/>
      <c r="DD54" s="400"/>
      <c r="DE54" s="514">
        <v>1</v>
      </c>
      <c r="DF54" s="514">
        <f t="shared" si="0"/>
        <v>1</v>
      </c>
      <c r="DG54" s="144"/>
      <c r="DH54" s="143"/>
    </row>
    <row r="55" spans="1:112" x14ac:dyDescent="0.25">
      <c r="A55" s="15" t="s">
        <v>68</v>
      </c>
      <c r="B55" s="15">
        <v>832</v>
      </c>
      <c r="C55" s="15" t="s">
        <v>3655</v>
      </c>
      <c r="D55" s="15">
        <v>1906</v>
      </c>
      <c r="E55" s="15" t="s">
        <v>999</v>
      </c>
      <c r="F55" s="15" t="s">
        <v>995</v>
      </c>
      <c r="G55" s="15" t="s">
        <v>1001</v>
      </c>
      <c r="H55" s="15" t="s">
        <v>72</v>
      </c>
      <c r="I55" s="15" t="s">
        <v>54</v>
      </c>
      <c r="J55" s="15" t="s">
        <v>3656</v>
      </c>
      <c r="K55" s="15" t="s">
        <v>1002</v>
      </c>
      <c r="L55" s="15" t="s">
        <v>3766</v>
      </c>
      <c r="M55" s="15" t="s">
        <v>4020</v>
      </c>
      <c r="N55" s="70"/>
      <c r="O55" s="72"/>
      <c r="P55" s="70">
        <v>1500</v>
      </c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1"/>
      <c r="AH55" s="119"/>
      <c r="AI55" s="71">
        <v>10</v>
      </c>
      <c r="AJ55" s="119"/>
      <c r="AK55" s="119"/>
      <c r="AL55" s="119"/>
      <c r="AM55" s="119"/>
      <c r="AN55" s="119"/>
      <c r="AO55" s="119"/>
      <c r="AP55" s="119"/>
      <c r="AQ55" s="119"/>
      <c r="AR55" s="119"/>
      <c r="AS55" s="119"/>
      <c r="AT55" s="119"/>
      <c r="AU55" s="119"/>
      <c r="AV55" s="119"/>
      <c r="AW55" s="119"/>
      <c r="AX55" s="119"/>
      <c r="AY55" s="119"/>
      <c r="AZ55" s="131">
        <f>VLOOKUP(Table7[[#This Row],[Vlookup Store '#]],'Kiosk Stickers'!A$4:$H$538,2,FALSE)</f>
        <v>0</v>
      </c>
      <c r="BA55" s="131"/>
      <c r="BB55" s="131"/>
      <c r="BC55" s="131"/>
      <c r="BD55" s="131"/>
      <c r="BE55" s="169"/>
      <c r="BF55" s="194"/>
      <c r="BG55" s="173"/>
      <c r="BH55" s="173"/>
      <c r="BI55" s="173"/>
      <c r="BJ55" s="173"/>
      <c r="BK55" s="173"/>
      <c r="BL55" s="173"/>
      <c r="BM55" s="173">
        <f>VLOOKUP(Table7[[#This Row],[Vlookup Store '#]],'Kiosk Stickers'!A$4:$H$538,3,FALSE)</f>
        <v>0</v>
      </c>
      <c r="BN55" s="215"/>
      <c r="BO55" s="199">
        <f>VLOOKUP(Table7[[#This Row],[Vlookup Store '#]],'Kiosk Stickers'!A$4:$H$538,4,FALSE)</f>
        <v>2</v>
      </c>
      <c r="BP55" s="171"/>
      <c r="BQ55" s="226"/>
      <c r="BR55" s="184">
        <f>VLOOKUP(Table7[[#This Row],[Vlookup Store '#]],'Kiosk Stickers'!A$4:$H$538,5,FALSE)</f>
        <v>0</v>
      </c>
      <c r="BS55" s="173"/>
      <c r="BT55" s="173"/>
      <c r="BU55" s="173"/>
      <c r="BV55" s="173"/>
      <c r="BW55" s="173"/>
      <c r="BX55" s="173"/>
      <c r="BY55" s="173"/>
      <c r="BZ55" s="215"/>
      <c r="CA55" s="243"/>
      <c r="CB55" s="233"/>
      <c r="CC55" s="233"/>
      <c r="CD55" s="233"/>
      <c r="CE55" s="233"/>
      <c r="CF55" s="233"/>
      <c r="CG55" s="233"/>
      <c r="CH55" s="262"/>
      <c r="CI55" s="351"/>
      <c r="CJ55" s="350"/>
      <c r="CK55" s="350"/>
      <c r="CL55" s="350"/>
      <c r="CM55" s="350"/>
      <c r="CN55" s="350"/>
      <c r="CO55" s="350"/>
      <c r="CP55" s="350">
        <v>2</v>
      </c>
      <c r="CQ55" s="364"/>
      <c r="CR55" s="370"/>
      <c r="CS55" s="367"/>
      <c r="CT55" s="367"/>
      <c r="CU55" s="367"/>
      <c r="CV55" s="367"/>
      <c r="CW55" s="387">
        <v>10</v>
      </c>
      <c r="CX55" s="398"/>
      <c r="CY55" s="399"/>
      <c r="CZ55" s="399"/>
      <c r="DA55" s="399"/>
      <c r="DB55" s="399"/>
      <c r="DC55" s="400"/>
      <c r="DD55" s="400"/>
      <c r="DE55" s="514">
        <v>1</v>
      </c>
      <c r="DF55" s="514">
        <f t="shared" si="0"/>
        <v>1</v>
      </c>
      <c r="DG55" s="144"/>
      <c r="DH55" s="143"/>
    </row>
    <row r="56" spans="1:112" x14ac:dyDescent="0.25">
      <c r="A56" s="15" t="s">
        <v>49</v>
      </c>
      <c r="B56" s="15">
        <v>812</v>
      </c>
      <c r="C56" s="15" t="s">
        <v>1174</v>
      </c>
      <c r="D56" s="15">
        <v>233</v>
      </c>
      <c r="E56" s="15" t="s">
        <v>1175</v>
      </c>
      <c r="F56" s="15" t="s">
        <v>3026</v>
      </c>
      <c r="G56" s="15" t="s">
        <v>1177</v>
      </c>
      <c r="H56" s="15" t="s">
        <v>1178</v>
      </c>
      <c r="I56" s="15" t="s">
        <v>54</v>
      </c>
      <c r="J56" s="15" t="s">
        <v>3099</v>
      </c>
      <c r="K56" s="15" t="s">
        <v>1179</v>
      </c>
      <c r="L56" s="15" t="s">
        <v>3766</v>
      </c>
      <c r="M56" s="15" t="s">
        <v>4011</v>
      </c>
      <c r="N56" s="70">
        <v>1500</v>
      </c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1">
        <v>10</v>
      </c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119"/>
      <c r="AY56" s="119"/>
      <c r="AZ56" s="131">
        <f>VLOOKUP(Table7[[#This Row],[Vlookup Store '#]],'Kiosk Stickers'!A$4:$H$538,2,FALSE)</f>
        <v>0</v>
      </c>
      <c r="BA56" s="131"/>
      <c r="BB56" s="131"/>
      <c r="BC56" s="131"/>
      <c r="BD56" s="131"/>
      <c r="BE56" s="169"/>
      <c r="BF56" s="194"/>
      <c r="BG56" s="173"/>
      <c r="BH56" s="173"/>
      <c r="BI56" s="173"/>
      <c r="BJ56" s="173"/>
      <c r="BK56" s="173"/>
      <c r="BL56" s="173"/>
      <c r="BM56" s="173">
        <f>VLOOKUP(Table7[[#This Row],[Vlookup Store '#]],'Kiosk Stickers'!A$4:$H$538,3,FALSE)</f>
        <v>1</v>
      </c>
      <c r="BN56" s="215"/>
      <c r="BO56" s="199">
        <f>VLOOKUP(Table7[[#This Row],[Vlookup Store '#]],'Kiosk Stickers'!A$4:$H$538,4,FALSE)</f>
        <v>0</v>
      </c>
      <c r="BP56" s="171"/>
      <c r="BQ56" s="226"/>
      <c r="BR56" s="184">
        <f>VLOOKUP(Table7[[#This Row],[Vlookup Store '#]],'Kiosk Stickers'!A$4:$H$538,5,FALSE)</f>
        <v>0</v>
      </c>
      <c r="BS56" s="173"/>
      <c r="BT56" s="173"/>
      <c r="BU56" s="173"/>
      <c r="BV56" s="173"/>
      <c r="BW56" s="173"/>
      <c r="BX56" s="173"/>
      <c r="BY56" s="173"/>
      <c r="BZ56" s="215"/>
      <c r="CA56" s="243"/>
      <c r="CB56" s="233"/>
      <c r="CC56" s="233"/>
      <c r="CD56" s="233"/>
      <c r="CE56" s="233"/>
      <c r="CF56" s="233"/>
      <c r="CG56" s="233"/>
      <c r="CH56" s="262"/>
      <c r="CI56" s="351"/>
      <c r="CJ56" s="350"/>
      <c r="CK56" s="350"/>
      <c r="CL56" s="350"/>
      <c r="CM56" s="350"/>
      <c r="CN56" s="350"/>
      <c r="CO56" s="350"/>
      <c r="CP56" s="350">
        <v>2</v>
      </c>
      <c r="CQ56" s="364"/>
      <c r="CR56" s="370"/>
      <c r="CS56" s="367"/>
      <c r="CT56" s="367"/>
      <c r="CU56" s="367"/>
      <c r="CV56" s="367"/>
      <c r="CW56" s="387">
        <v>10</v>
      </c>
      <c r="CX56" s="398"/>
      <c r="CY56" s="399"/>
      <c r="CZ56" s="399"/>
      <c r="DA56" s="399"/>
      <c r="DB56" s="399"/>
      <c r="DC56" s="400"/>
      <c r="DD56" s="400"/>
      <c r="DE56" s="514">
        <v>1</v>
      </c>
      <c r="DF56" s="514">
        <f t="shared" si="0"/>
        <v>1</v>
      </c>
      <c r="DG56" s="144"/>
      <c r="DH56" s="143"/>
    </row>
    <row r="57" spans="1:112" x14ac:dyDescent="0.25">
      <c r="A57" s="15" t="s">
        <v>49</v>
      </c>
      <c r="B57" s="15">
        <v>812</v>
      </c>
      <c r="C57" s="15" t="s">
        <v>1185</v>
      </c>
      <c r="D57" s="15">
        <v>235</v>
      </c>
      <c r="E57" s="15" t="s">
        <v>1186</v>
      </c>
      <c r="F57" s="15" t="s">
        <v>3010</v>
      </c>
      <c r="G57" s="15" t="s">
        <v>1188</v>
      </c>
      <c r="H57" s="15" t="s">
        <v>1074</v>
      </c>
      <c r="I57" s="15" t="s">
        <v>54</v>
      </c>
      <c r="J57" s="15" t="s">
        <v>3100</v>
      </c>
      <c r="K57" s="15" t="s">
        <v>1189</v>
      </c>
      <c r="L57" s="15" t="s">
        <v>3766</v>
      </c>
      <c r="M57" s="15" t="s">
        <v>4011</v>
      </c>
      <c r="N57" s="70">
        <v>1500</v>
      </c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1">
        <v>10</v>
      </c>
      <c r="AH57" s="119"/>
      <c r="AI57" s="119"/>
      <c r="AJ57" s="119"/>
      <c r="AK57" s="119"/>
      <c r="AL57" s="119"/>
      <c r="AM57" s="119"/>
      <c r="AN57" s="119"/>
      <c r="AO57" s="119"/>
      <c r="AP57" s="119"/>
      <c r="AQ57" s="119"/>
      <c r="AR57" s="119"/>
      <c r="AS57" s="119"/>
      <c r="AT57" s="119"/>
      <c r="AU57" s="119"/>
      <c r="AV57" s="119"/>
      <c r="AW57" s="119"/>
      <c r="AX57" s="119"/>
      <c r="AY57" s="119"/>
      <c r="AZ57" s="131">
        <f>VLOOKUP(Table7[[#This Row],[Vlookup Store '#]],'Kiosk Stickers'!A$4:$H$538,2,FALSE)</f>
        <v>0</v>
      </c>
      <c r="BA57" s="131"/>
      <c r="BB57" s="131"/>
      <c r="BC57" s="131"/>
      <c r="BD57" s="131"/>
      <c r="BE57" s="169"/>
      <c r="BF57" s="194"/>
      <c r="BG57" s="173"/>
      <c r="BH57" s="173"/>
      <c r="BI57" s="173"/>
      <c r="BJ57" s="173"/>
      <c r="BK57" s="173"/>
      <c r="BL57" s="173"/>
      <c r="BM57" s="173">
        <f>VLOOKUP(Table7[[#This Row],[Vlookup Store '#]],'Kiosk Stickers'!A$4:$H$538,3,FALSE)</f>
        <v>0</v>
      </c>
      <c r="BN57" s="215"/>
      <c r="BO57" s="199">
        <f>VLOOKUP(Table7[[#This Row],[Vlookup Store '#]],'Kiosk Stickers'!A$4:$H$538,4,FALSE)</f>
        <v>0</v>
      </c>
      <c r="BP57" s="171"/>
      <c r="BQ57" s="226"/>
      <c r="BR57" s="184">
        <f>VLOOKUP(Table7[[#This Row],[Vlookup Store '#]],'Kiosk Stickers'!A$4:$H$538,5,FALSE)</f>
        <v>0</v>
      </c>
      <c r="BS57" s="173"/>
      <c r="BT57" s="173"/>
      <c r="BU57" s="173"/>
      <c r="BV57" s="173"/>
      <c r="BW57" s="173"/>
      <c r="BX57" s="173"/>
      <c r="BY57" s="173"/>
      <c r="BZ57" s="215"/>
      <c r="CA57" s="244"/>
      <c r="CB57" s="233"/>
      <c r="CC57" s="233"/>
      <c r="CD57" s="233"/>
      <c r="CE57" s="233"/>
      <c r="CF57" s="233"/>
      <c r="CG57" s="239">
        <f>VLOOKUP(Table7[[#This Row],[Vlookup Store '#]],'Kiosk Stickers'!A$4:$H$538,6,FALSE)</f>
        <v>1</v>
      </c>
      <c r="CH57" s="262"/>
      <c r="CI57" s="351"/>
      <c r="CJ57" s="350"/>
      <c r="CK57" s="350"/>
      <c r="CL57" s="350"/>
      <c r="CM57" s="350"/>
      <c r="CN57" s="350"/>
      <c r="CO57" s="350"/>
      <c r="CP57" s="350">
        <v>2</v>
      </c>
      <c r="CQ57" s="364"/>
      <c r="CR57" s="370"/>
      <c r="CS57" s="367"/>
      <c r="CT57" s="367"/>
      <c r="CU57" s="367"/>
      <c r="CV57" s="367"/>
      <c r="CW57" s="387">
        <v>10</v>
      </c>
      <c r="CX57" s="398"/>
      <c r="CY57" s="399"/>
      <c r="CZ57" s="399"/>
      <c r="DA57" s="399"/>
      <c r="DB57" s="399"/>
      <c r="DC57" s="400"/>
      <c r="DD57" s="400"/>
      <c r="DE57" s="514">
        <v>1</v>
      </c>
      <c r="DF57" s="514">
        <f t="shared" si="0"/>
        <v>1</v>
      </c>
      <c r="DG57" s="144"/>
      <c r="DH57" s="143"/>
    </row>
    <row r="58" spans="1:112" x14ac:dyDescent="0.25">
      <c r="A58" s="15" t="s">
        <v>49</v>
      </c>
      <c r="B58" s="15">
        <v>812</v>
      </c>
      <c r="C58" s="15" t="s">
        <v>1190</v>
      </c>
      <c r="D58" s="15">
        <v>236</v>
      </c>
      <c r="E58" s="15" t="s">
        <v>1191</v>
      </c>
      <c r="F58" s="15" t="s">
        <v>2965</v>
      </c>
      <c r="G58" s="15" t="s">
        <v>1192</v>
      </c>
      <c r="H58" s="15" t="s">
        <v>1074</v>
      </c>
      <c r="I58" s="15" t="s">
        <v>54</v>
      </c>
      <c r="J58" s="15" t="s">
        <v>3101</v>
      </c>
      <c r="K58" s="15" t="s">
        <v>1193</v>
      </c>
      <c r="L58" s="15" t="s">
        <v>3766</v>
      </c>
      <c r="M58" s="15" t="s">
        <v>4011</v>
      </c>
      <c r="N58" s="70">
        <v>1500</v>
      </c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1">
        <v>10</v>
      </c>
      <c r="AH58" s="119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  <c r="AS58" s="119"/>
      <c r="AT58" s="119"/>
      <c r="AU58" s="119"/>
      <c r="AV58" s="119"/>
      <c r="AW58" s="119"/>
      <c r="AX58" s="119"/>
      <c r="AY58" s="119"/>
      <c r="AZ58" s="131">
        <f>VLOOKUP(Table7[[#This Row],[Vlookup Store '#]],'Kiosk Stickers'!A$4:$H$538,2,FALSE)</f>
        <v>0</v>
      </c>
      <c r="BA58" s="131"/>
      <c r="BB58" s="131"/>
      <c r="BC58" s="131"/>
      <c r="BD58" s="131"/>
      <c r="BE58" s="169"/>
      <c r="BF58" s="194"/>
      <c r="BG58" s="173"/>
      <c r="BH58" s="173"/>
      <c r="BI58" s="173"/>
      <c r="BJ58" s="173"/>
      <c r="BK58" s="173"/>
      <c r="BL58" s="173"/>
      <c r="BM58" s="173">
        <f>VLOOKUP(Table7[[#This Row],[Vlookup Store '#]],'Kiosk Stickers'!A$4:$H$538,3,FALSE)</f>
        <v>2</v>
      </c>
      <c r="BN58" s="215"/>
      <c r="BO58" s="199">
        <f>VLOOKUP(Table7[[#This Row],[Vlookup Store '#]],'Kiosk Stickers'!A$4:$H$538,4,FALSE)</f>
        <v>0</v>
      </c>
      <c r="BP58" s="171"/>
      <c r="BQ58" s="226"/>
      <c r="BR58" s="184">
        <f>VLOOKUP(Table7[[#This Row],[Vlookup Store '#]],'Kiosk Stickers'!A$4:$H$538,5,FALSE)</f>
        <v>0</v>
      </c>
      <c r="BS58" s="173"/>
      <c r="BT58" s="173"/>
      <c r="BU58" s="173"/>
      <c r="BV58" s="173"/>
      <c r="BW58" s="173"/>
      <c r="BX58" s="173"/>
      <c r="BY58" s="173"/>
      <c r="BZ58" s="215"/>
      <c r="CA58" s="244"/>
      <c r="CB58" s="233"/>
      <c r="CC58" s="233"/>
      <c r="CD58" s="233"/>
      <c r="CE58" s="233"/>
      <c r="CF58" s="233"/>
      <c r="CG58" s="239"/>
      <c r="CH58" s="262"/>
      <c r="CI58" s="351"/>
      <c r="CJ58" s="350"/>
      <c r="CK58" s="350"/>
      <c r="CL58" s="350"/>
      <c r="CM58" s="350"/>
      <c r="CN58" s="350"/>
      <c r="CO58" s="350"/>
      <c r="CP58" s="350">
        <v>2</v>
      </c>
      <c r="CQ58" s="364"/>
      <c r="CR58" s="370"/>
      <c r="CS58" s="367"/>
      <c r="CT58" s="367"/>
      <c r="CU58" s="367"/>
      <c r="CV58" s="367"/>
      <c r="CW58" s="387">
        <v>10</v>
      </c>
      <c r="CX58" s="398"/>
      <c r="CY58" s="399"/>
      <c r="CZ58" s="399"/>
      <c r="DA58" s="399"/>
      <c r="DB58" s="399"/>
      <c r="DC58" s="400"/>
      <c r="DD58" s="400"/>
      <c r="DE58" s="514">
        <v>1</v>
      </c>
      <c r="DF58" s="514">
        <f t="shared" si="0"/>
        <v>1</v>
      </c>
      <c r="DG58" s="144"/>
      <c r="DH58" s="143"/>
    </row>
    <row r="59" spans="1:112" x14ac:dyDescent="0.25">
      <c r="A59" s="15" t="s">
        <v>49</v>
      </c>
      <c r="B59" s="15">
        <v>812</v>
      </c>
      <c r="C59" s="15" t="s">
        <v>1194</v>
      </c>
      <c r="D59" s="15">
        <v>243</v>
      </c>
      <c r="E59" s="15" t="s">
        <v>1195</v>
      </c>
      <c r="F59" s="15" t="s">
        <v>1196</v>
      </c>
      <c r="G59" s="15" t="s">
        <v>1197</v>
      </c>
      <c r="H59" s="15" t="s">
        <v>1074</v>
      </c>
      <c r="I59" s="15" t="s">
        <v>54</v>
      </c>
      <c r="J59" s="15" t="s">
        <v>3105</v>
      </c>
      <c r="K59" s="15" t="s">
        <v>1198</v>
      </c>
      <c r="L59" s="15" t="s">
        <v>3766</v>
      </c>
      <c r="M59" s="15" t="s">
        <v>4011</v>
      </c>
      <c r="N59" s="70">
        <v>1500</v>
      </c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1">
        <v>10</v>
      </c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19"/>
      <c r="AZ59" s="131">
        <f>VLOOKUP(Table7[[#This Row],[Vlookup Store '#]],'Kiosk Stickers'!A$4:$H$538,2,FALSE)</f>
        <v>0</v>
      </c>
      <c r="BA59" s="131"/>
      <c r="BB59" s="131"/>
      <c r="BC59" s="131"/>
      <c r="BD59" s="131"/>
      <c r="BE59" s="169"/>
      <c r="BF59" s="194"/>
      <c r="BG59" s="173"/>
      <c r="BH59" s="173"/>
      <c r="BI59" s="173"/>
      <c r="BJ59" s="173"/>
      <c r="BK59" s="173"/>
      <c r="BL59" s="173"/>
      <c r="BM59" s="173">
        <f>VLOOKUP(Table7[[#This Row],[Vlookup Store '#]],'Kiosk Stickers'!A$4:$H$538,3,FALSE)</f>
        <v>1</v>
      </c>
      <c r="BN59" s="215"/>
      <c r="BO59" s="199">
        <f>VLOOKUP(Table7[[#This Row],[Vlookup Store '#]],'Kiosk Stickers'!A$4:$H$538,4,FALSE)</f>
        <v>0</v>
      </c>
      <c r="BP59" s="171"/>
      <c r="BQ59" s="226"/>
      <c r="BR59" s="184">
        <f>VLOOKUP(Table7[[#This Row],[Vlookup Store '#]],'Kiosk Stickers'!A$4:$H$538,5,FALSE)</f>
        <v>0</v>
      </c>
      <c r="BS59" s="173"/>
      <c r="BT59" s="173"/>
      <c r="BU59" s="173"/>
      <c r="BV59" s="173"/>
      <c r="BW59" s="173"/>
      <c r="BX59" s="173"/>
      <c r="BY59" s="173"/>
      <c r="BZ59" s="215"/>
      <c r="CA59" s="244"/>
      <c r="CB59" s="233"/>
      <c r="CC59" s="233"/>
      <c r="CD59" s="233"/>
      <c r="CE59" s="233"/>
      <c r="CF59" s="233"/>
      <c r="CG59" s="239"/>
      <c r="CH59" s="262"/>
      <c r="CI59" s="351"/>
      <c r="CJ59" s="350"/>
      <c r="CK59" s="350"/>
      <c r="CL59" s="350"/>
      <c r="CM59" s="350"/>
      <c r="CN59" s="350"/>
      <c r="CO59" s="350"/>
      <c r="CP59" s="350">
        <v>2</v>
      </c>
      <c r="CQ59" s="364"/>
      <c r="CR59" s="370"/>
      <c r="CS59" s="367"/>
      <c r="CT59" s="367"/>
      <c r="CU59" s="367"/>
      <c r="CV59" s="367"/>
      <c r="CW59" s="387">
        <v>10</v>
      </c>
      <c r="CX59" s="398"/>
      <c r="CY59" s="399"/>
      <c r="CZ59" s="399"/>
      <c r="DA59" s="399"/>
      <c r="DB59" s="399"/>
      <c r="DC59" s="400"/>
      <c r="DD59" s="400"/>
      <c r="DE59" s="514">
        <v>1</v>
      </c>
      <c r="DF59" s="514">
        <f t="shared" si="0"/>
        <v>1</v>
      </c>
      <c r="DG59" s="144"/>
      <c r="DH59" s="143"/>
    </row>
    <row r="60" spans="1:112" x14ac:dyDescent="0.25">
      <c r="A60" s="15" t="s">
        <v>49</v>
      </c>
      <c r="B60" s="15">
        <v>812</v>
      </c>
      <c r="C60" s="15" t="s">
        <v>1214</v>
      </c>
      <c r="D60" s="15">
        <v>279</v>
      </c>
      <c r="E60" s="15" t="s">
        <v>1215</v>
      </c>
      <c r="F60" s="15" t="s">
        <v>1216</v>
      </c>
      <c r="G60" s="15" t="s">
        <v>1217</v>
      </c>
      <c r="H60" s="15" t="s">
        <v>1074</v>
      </c>
      <c r="I60" s="15" t="s">
        <v>54</v>
      </c>
      <c r="J60" s="15" t="s">
        <v>3126</v>
      </c>
      <c r="K60" s="15" t="s">
        <v>1218</v>
      </c>
      <c r="L60" s="15" t="s">
        <v>3766</v>
      </c>
      <c r="M60" s="15" t="s">
        <v>4011</v>
      </c>
      <c r="N60" s="70">
        <v>1500</v>
      </c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1">
        <v>10</v>
      </c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  <c r="AS60" s="119"/>
      <c r="AT60" s="119"/>
      <c r="AU60" s="119"/>
      <c r="AV60" s="119"/>
      <c r="AW60" s="119"/>
      <c r="AX60" s="119"/>
      <c r="AY60" s="119"/>
      <c r="AZ60" s="131">
        <f>VLOOKUP(Table7[[#This Row],[Vlookup Store '#]],'Kiosk Stickers'!A$4:$H$538,2,FALSE)</f>
        <v>0</v>
      </c>
      <c r="BA60" s="131"/>
      <c r="BB60" s="131"/>
      <c r="BC60" s="131"/>
      <c r="BD60" s="131"/>
      <c r="BE60" s="169"/>
      <c r="BF60" s="194"/>
      <c r="BG60" s="173"/>
      <c r="BH60" s="173"/>
      <c r="BI60" s="173"/>
      <c r="BJ60" s="173"/>
      <c r="BK60" s="173"/>
      <c r="BL60" s="173"/>
      <c r="BM60" s="173">
        <f>VLOOKUP(Table7[[#This Row],[Vlookup Store '#]],'Kiosk Stickers'!A$4:$H$538,3,FALSE)</f>
        <v>1</v>
      </c>
      <c r="BN60" s="215"/>
      <c r="BO60" s="199">
        <f>VLOOKUP(Table7[[#This Row],[Vlookup Store '#]],'Kiosk Stickers'!A$4:$H$538,4,FALSE)</f>
        <v>0</v>
      </c>
      <c r="BP60" s="171"/>
      <c r="BQ60" s="226"/>
      <c r="BR60" s="184">
        <f>VLOOKUP(Table7[[#This Row],[Vlookup Store '#]],'Kiosk Stickers'!A$4:$H$538,5,FALSE)</f>
        <v>0</v>
      </c>
      <c r="BS60" s="173"/>
      <c r="BT60" s="173"/>
      <c r="BU60" s="173"/>
      <c r="BV60" s="173"/>
      <c r="BW60" s="173"/>
      <c r="BX60" s="173"/>
      <c r="BY60" s="173"/>
      <c r="BZ60" s="215"/>
      <c r="CA60" s="244"/>
      <c r="CB60" s="233"/>
      <c r="CC60" s="233"/>
      <c r="CD60" s="233"/>
      <c r="CE60" s="233"/>
      <c r="CF60" s="233"/>
      <c r="CG60" s="239"/>
      <c r="CH60" s="262"/>
      <c r="CI60" s="351"/>
      <c r="CJ60" s="350"/>
      <c r="CK60" s="350"/>
      <c r="CL60" s="350"/>
      <c r="CM60" s="350"/>
      <c r="CN60" s="350"/>
      <c r="CO60" s="350"/>
      <c r="CP60" s="350">
        <v>2</v>
      </c>
      <c r="CQ60" s="364"/>
      <c r="CR60" s="370"/>
      <c r="CS60" s="367"/>
      <c r="CT60" s="367"/>
      <c r="CU60" s="367"/>
      <c r="CV60" s="367"/>
      <c r="CW60" s="387">
        <v>10</v>
      </c>
      <c r="CX60" s="398"/>
      <c r="CY60" s="399"/>
      <c r="CZ60" s="399"/>
      <c r="DA60" s="399"/>
      <c r="DB60" s="399"/>
      <c r="DC60" s="400"/>
      <c r="DD60" s="400"/>
      <c r="DE60" s="514">
        <v>1</v>
      </c>
      <c r="DF60" s="514">
        <f t="shared" si="0"/>
        <v>1</v>
      </c>
      <c r="DG60" s="144"/>
      <c r="DH60" s="143"/>
    </row>
    <row r="61" spans="1:112" x14ac:dyDescent="0.25">
      <c r="A61" s="15" t="s">
        <v>49</v>
      </c>
      <c r="B61" s="15">
        <v>812</v>
      </c>
      <c r="C61" s="15" t="s">
        <v>3399</v>
      </c>
      <c r="D61" s="15">
        <v>1205</v>
      </c>
      <c r="E61" s="15" t="s">
        <v>1016</v>
      </c>
      <c r="F61" s="15" t="s">
        <v>1017</v>
      </c>
      <c r="G61" s="15" t="s">
        <v>1018</v>
      </c>
      <c r="H61" s="15" t="s">
        <v>1019</v>
      </c>
      <c r="I61" s="15" t="s">
        <v>54</v>
      </c>
      <c r="J61" s="15" t="s">
        <v>3089</v>
      </c>
      <c r="K61" s="15" t="s">
        <v>1020</v>
      </c>
      <c r="L61" s="15" t="s">
        <v>3766</v>
      </c>
      <c r="M61" s="15" t="s">
        <v>4011</v>
      </c>
      <c r="N61" s="70">
        <v>1500</v>
      </c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1">
        <v>10</v>
      </c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  <c r="AS61" s="119"/>
      <c r="AT61" s="119"/>
      <c r="AU61" s="119"/>
      <c r="AV61" s="119"/>
      <c r="AW61" s="119"/>
      <c r="AX61" s="119"/>
      <c r="AY61" s="119"/>
      <c r="AZ61" s="131">
        <f>VLOOKUP(Table7[[#This Row],[Vlookup Store '#]],'Kiosk Stickers'!A$4:$H$538,2,FALSE)</f>
        <v>0</v>
      </c>
      <c r="BA61" s="131"/>
      <c r="BB61" s="131"/>
      <c r="BC61" s="131"/>
      <c r="BD61" s="131"/>
      <c r="BE61" s="169"/>
      <c r="BF61" s="194"/>
      <c r="BG61" s="173"/>
      <c r="BH61" s="173"/>
      <c r="BI61" s="173"/>
      <c r="BJ61" s="173"/>
      <c r="BK61" s="173"/>
      <c r="BL61" s="173"/>
      <c r="BM61" s="173">
        <f>VLOOKUP(Table7[[#This Row],[Vlookup Store '#]],'Kiosk Stickers'!A$4:$H$538,3,FALSE)</f>
        <v>2</v>
      </c>
      <c r="BN61" s="215"/>
      <c r="BO61" s="199">
        <f>VLOOKUP(Table7[[#This Row],[Vlookup Store '#]],'Kiosk Stickers'!A$4:$H$538,4,FALSE)</f>
        <v>0</v>
      </c>
      <c r="BP61" s="171"/>
      <c r="BQ61" s="226"/>
      <c r="BR61" s="184">
        <f>VLOOKUP(Table7[[#This Row],[Vlookup Store '#]],'Kiosk Stickers'!A$4:$H$538,5,FALSE)</f>
        <v>0</v>
      </c>
      <c r="BS61" s="173"/>
      <c r="BT61" s="173"/>
      <c r="BU61" s="173"/>
      <c r="BV61" s="173"/>
      <c r="BW61" s="173"/>
      <c r="BX61" s="173"/>
      <c r="BY61" s="173"/>
      <c r="BZ61" s="215"/>
      <c r="CA61" s="244"/>
      <c r="CB61" s="233"/>
      <c r="CC61" s="233"/>
      <c r="CD61" s="233"/>
      <c r="CE61" s="233"/>
      <c r="CF61" s="233"/>
      <c r="CG61" s="239"/>
      <c r="CH61" s="262"/>
      <c r="CI61" s="351"/>
      <c r="CJ61" s="350"/>
      <c r="CK61" s="350"/>
      <c r="CL61" s="350"/>
      <c r="CM61" s="350"/>
      <c r="CN61" s="350"/>
      <c r="CO61" s="350"/>
      <c r="CP61" s="350">
        <v>2</v>
      </c>
      <c r="CQ61" s="364"/>
      <c r="CR61" s="370"/>
      <c r="CS61" s="367"/>
      <c r="CT61" s="367"/>
      <c r="CU61" s="367"/>
      <c r="CV61" s="367"/>
      <c r="CW61" s="387">
        <v>10</v>
      </c>
      <c r="CX61" s="398"/>
      <c r="CY61" s="399"/>
      <c r="CZ61" s="399"/>
      <c r="DA61" s="399"/>
      <c r="DB61" s="399"/>
      <c r="DC61" s="400"/>
      <c r="DD61" s="400"/>
      <c r="DE61" s="514">
        <v>1</v>
      </c>
      <c r="DF61" s="514">
        <f t="shared" si="0"/>
        <v>1</v>
      </c>
      <c r="DG61" s="144"/>
      <c r="DH61" s="143"/>
    </row>
    <row r="62" spans="1:112" x14ac:dyDescent="0.25">
      <c r="A62" s="15" t="s">
        <v>49</v>
      </c>
      <c r="B62" s="15">
        <v>812</v>
      </c>
      <c r="C62" s="15" t="s">
        <v>3400</v>
      </c>
      <c r="D62" s="15">
        <v>1206</v>
      </c>
      <c r="E62" s="15" t="s">
        <v>1021</v>
      </c>
      <c r="F62" s="15" t="s">
        <v>3015</v>
      </c>
      <c r="G62" s="15" t="s">
        <v>1023</v>
      </c>
      <c r="H62" s="15" t="s">
        <v>1024</v>
      </c>
      <c r="I62" s="15" t="s">
        <v>54</v>
      </c>
      <c r="J62" s="15" t="s">
        <v>3401</v>
      </c>
      <c r="K62" s="15" t="s">
        <v>1025</v>
      </c>
      <c r="L62" s="15" t="s">
        <v>3766</v>
      </c>
      <c r="M62" s="15" t="s">
        <v>4011</v>
      </c>
      <c r="N62" s="70">
        <v>1500</v>
      </c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1">
        <v>10</v>
      </c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  <c r="AS62" s="119"/>
      <c r="AT62" s="119"/>
      <c r="AU62" s="119"/>
      <c r="AV62" s="119"/>
      <c r="AW62" s="119"/>
      <c r="AX62" s="119"/>
      <c r="AY62" s="119"/>
      <c r="AZ62" s="131">
        <f>VLOOKUP(Table7[[#This Row],[Vlookup Store '#]],'Kiosk Stickers'!A$4:$H$538,2,FALSE)</f>
        <v>0</v>
      </c>
      <c r="BA62" s="131"/>
      <c r="BB62" s="131"/>
      <c r="BC62" s="131"/>
      <c r="BD62" s="131"/>
      <c r="BE62" s="169"/>
      <c r="BF62" s="194"/>
      <c r="BG62" s="173"/>
      <c r="BH62" s="173"/>
      <c r="BI62" s="173"/>
      <c r="BJ62" s="173"/>
      <c r="BK62" s="173"/>
      <c r="BL62" s="173"/>
      <c r="BM62" s="173">
        <f>VLOOKUP(Table7[[#This Row],[Vlookup Store '#]],'Kiosk Stickers'!A$4:$H$538,3,FALSE)</f>
        <v>2</v>
      </c>
      <c r="BN62" s="215"/>
      <c r="BO62" s="199">
        <f>VLOOKUP(Table7[[#This Row],[Vlookup Store '#]],'Kiosk Stickers'!A$4:$H$538,4,FALSE)</f>
        <v>0</v>
      </c>
      <c r="BP62" s="171"/>
      <c r="BQ62" s="226"/>
      <c r="BR62" s="184">
        <f>VLOOKUP(Table7[[#This Row],[Vlookup Store '#]],'Kiosk Stickers'!A$4:$H$538,5,FALSE)</f>
        <v>0</v>
      </c>
      <c r="BS62" s="173"/>
      <c r="BT62" s="173"/>
      <c r="BU62" s="173"/>
      <c r="BV62" s="173"/>
      <c r="BW62" s="173"/>
      <c r="BX62" s="173"/>
      <c r="BY62" s="173"/>
      <c r="BZ62" s="215"/>
      <c r="CA62" s="244"/>
      <c r="CB62" s="233"/>
      <c r="CC62" s="233"/>
      <c r="CD62" s="233"/>
      <c r="CE62" s="233"/>
      <c r="CF62" s="233"/>
      <c r="CG62" s="239"/>
      <c r="CH62" s="262"/>
      <c r="CI62" s="351"/>
      <c r="CJ62" s="350"/>
      <c r="CK62" s="350"/>
      <c r="CL62" s="350"/>
      <c r="CM62" s="350"/>
      <c r="CN62" s="350"/>
      <c r="CO62" s="350"/>
      <c r="CP62" s="350">
        <v>2</v>
      </c>
      <c r="CQ62" s="364"/>
      <c r="CR62" s="370"/>
      <c r="CS62" s="367"/>
      <c r="CT62" s="367"/>
      <c r="CU62" s="367"/>
      <c r="CV62" s="367"/>
      <c r="CW62" s="387">
        <v>10</v>
      </c>
      <c r="CX62" s="398"/>
      <c r="CY62" s="399"/>
      <c r="CZ62" s="399"/>
      <c r="DA62" s="399"/>
      <c r="DB62" s="399"/>
      <c r="DC62" s="400"/>
      <c r="DD62" s="400"/>
      <c r="DE62" s="514">
        <v>1</v>
      </c>
      <c r="DF62" s="514">
        <f t="shared" si="0"/>
        <v>1</v>
      </c>
      <c r="DG62" s="144"/>
      <c r="DH62" s="143"/>
    </row>
    <row r="63" spans="1:112" x14ac:dyDescent="0.25">
      <c r="A63" s="15" t="s">
        <v>49</v>
      </c>
      <c r="B63" s="15">
        <v>812</v>
      </c>
      <c r="C63" s="15" t="s">
        <v>3404</v>
      </c>
      <c r="D63" s="15">
        <v>1208</v>
      </c>
      <c r="E63" s="15" t="s">
        <v>1031</v>
      </c>
      <c r="F63" s="15" t="s">
        <v>1032</v>
      </c>
      <c r="G63" s="15" t="s">
        <v>1033</v>
      </c>
      <c r="H63" s="15" t="s">
        <v>1024</v>
      </c>
      <c r="I63" s="15" t="s">
        <v>54</v>
      </c>
      <c r="J63" s="15" t="s">
        <v>3401</v>
      </c>
      <c r="K63" s="15" t="s">
        <v>1034</v>
      </c>
      <c r="L63" s="15" t="s">
        <v>3766</v>
      </c>
      <c r="M63" s="15" t="s">
        <v>4011</v>
      </c>
      <c r="N63" s="70">
        <v>1500</v>
      </c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1">
        <v>10</v>
      </c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  <c r="AS63" s="119"/>
      <c r="AT63" s="119"/>
      <c r="AU63" s="119"/>
      <c r="AV63" s="119"/>
      <c r="AW63" s="119"/>
      <c r="AX63" s="119"/>
      <c r="AY63" s="119"/>
      <c r="AZ63" s="131">
        <f>VLOOKUP(Table7[[#This Row],[Vlookup Store '#]],'Kiosk Stickers'!A$4:$H$538,2,FALSE)</f>
        <v>0</v>
      </c>
      <c r="BA63" s="131"/>
      <c r="BB63" s="131"/>
      <c r="BC63" s="131"/>
      <c r="BD63" s="131"/>
      <c r="BE63" s="169"/>
      <c r="BF63" s="194"/>
      <c r="BG63" s="173"/>
      <c r="BH63" s="173"/>
      <c r="BI63" s="173"/>
      <c r="BJ63" s="173"/>
      <c r="BK63" s="173"/>
      <c r="BL63" s="173"/>
      <c r="BM63" s="173">
        <f>VLOOKUP(Table7[[#This Row],[Vlookup Store '#]],'Kiosk Stickers'!A$4:$H$538,3,FALSE)</f>
        <v>2</v>
      </c>
      <c r="BN63" s="215"/>
      <c r="BO63" s="199">
        <f>VLOOKUP(Table7[[#This Row],[Vlookup Store '#]],'Kiosk Stickers'!A$4:$H$538,4,FALSE)</f>
        <v>0</v>
      </c>
      <c r="BP63" s="171"/>
      <c r="BQ63" s="226"/>
      <c r="BR63" s="184">
        <f>VLOOKUP(Table7[[#This Row],[Vlookup Store '#]],'Kiosk Stickers'!A$4:$H$538,5,FALSE)</f>
        <v>0</v>
      </c>
      <c r="BS63" s="173"/>
      <c r="BT63" s="173"/>
      <c r="BU63" s="173"/>
      <c r="BV63" s="173"/>
      <c r="BW63" s="173"/>
      <c r="BX63" s="173"/>
      <c r="BY63" s="173"/>
      <c r="BZ63" s="215"/>
      <c r="CA63" s="244"/>
      <c r="CB63" s="233"/>
      <c r="CC63" s="233"/>
      <c r="CD63" s="233"/>
      <c r="CE63" s="233"/>
      <c r="CF63" s="233"/>
      <c r="CG63" s="239"/>
      <c r="CH63" s="262"/>
      <c r="CI63" s="351"/>
      <c r="CJ63" s="350"/>
      <c r="CK63" s="350"/>
      <c r="CL63" s="350"/>
      <c r="CM63" s="350"/>
      <c r="CN63" s="350"/>
      <c r="CO63" s="350"/>
      <c r="CP63" s="350">
        <v>2</v>
      </c>
      <c r="CQ63" s="364"/>
      <c r="CR63" s="370"/>
      <c r="CS63" s="367"/>
      <c r="CT63" s="367"/>
      <c r="CU63" s="367"/>
      <c r="CV63" s="367"/>
      <c r="CW63" s="387">
        <v>10</v>
      </c>
      <c r="CX63" s="398"/>
      <c r="CY63" s="399"/>
      <c r="CZ63" s="399"/>
      <c r="DA63" s="399"/>
      <c r="DB63" s="399"/>
      <c r="DC63" s="400"/>
      <c r="DD63" s="400"/>
      <c r="DE63" s="514">
        <v>1</v>
      </c>
      <c r="DF63" s="514">
        <f t="shared" si="0"/>
        <v>1</v>
      </c>
      <c r="DG63" s="144"/>
      <c r="DH63" s="143"/>
    </row>
    <row r="64" spans="1:112" x14ac:dyDescent="0.25">
      <c r="A64" s="15" t="s">
        <v>49</v>
      </c>
      <c r="B64" s="15">
        <v>812</v>
      </c>
      <c r="C64" s="15" t="s">
        <v>3413</v>
      </c>
      <c r="D64" s="15">
        <v>1215</v>
      </c>
      <c r="E64" s="15" t="s">
        <v>1053</v>
      </c>
      <c r="F64" s="15" t="s">
        <v>1182</v>
      </c>
      <c r="G64" s="15" t="s">
        <v>1054</v>
      </c>
      <c r="H64" s="15" t="s">
        <v>1055</v>
      </c>
      <c r="I64" s="15" t="s">
        <v>54</v>
      </c>
      <c r="J64" s="15" t="s">
        <v>3414</v>
      </c>
      <c r="K64" s="15" t="s">
        <v>1056</v>
      </c>
      <c r="L64" s="15" t="s">
        <v>3766</v>
      </c>
      <c r="M64" s="15" t="s">
        <v>4011</v>
      </c>
      <c r="N64" s="70">
        <v>1500</v>
      </c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1">
        <v>10</v>
      </c>
      <c r="AH64" s="119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  <c r="AS64" s="119"/>
      <c r="AT64" s="119"/>
      <c r="AU64" s="119"/>
      <c r="AV64" s="119"/>
      <c r="AW64" s="119"/>
      <c r="AX64" s="119"/>
      <c r="AY64" s="119"/>
      <c r="AZ64" s="131">
        <f>VLOOKUP(Table7[[#This Row],[Vlookup Store '#]],'Kiosk Stickers'!A$4:$H$538,2,FALSE)</f>
        <v>0</v>
      </c>
      <c r="BA64" s="131"/>
      <c r="BB64" s="131"/>
      <c r="BC64" s="131"/>
      <c r="BD64" s="131"/>
      <c r="BE64" s="169"/>
      <c r="BF64" s="194"/>
      <c r="BG64" s="173"/>
      <c r="BH64" s="173"/>
      <c r="BI64" s="173"/>
      <c r="BJ64" s="173"/>
      <c r="BK64" s="173"/>
      <c r="BL64" s="173"/>
      <c r="BM64" s="173">
        <f>VLOOKUP(Table7[[#This Row],[Vlookup Store '#]],'Kiosk Stickers'!A$4:$H$538,3,FALSE)</f>
        <v>1</v>
      </c>
      <c r="BN64" s="215"/>
      <c r="BO64" s="199">
        <f>VLOOKUP(Table7[[#This Row],[Vlookup Store '#]],'Kiosk Stickers'!A$4:$H$538,4,FALSE)</f>
        <v>0</v>
      </c>
      <c r="BP64" s="171"/>
      <c r="BQ64" s="226"/>
      <c r="BR64" s="184">
        <f>VLOOKUP(Table7[[#This Row],[Vlookup Store '#]],'Kiosk Stickers'!A$4:$H$538,5,FALSE)</f>
        <v>0</v>
      </c>
      <c r="BS64" s="173"/>
      <c r="BT64" s="173"/>
      <c r="BU64" s="173"/>
      <c r="BV64" s="173"/>
      <c r="BW64" s="173"/>
      <c r="BX64" s="173"/>
      <c r="BY64" s="173"/>
      <c r="BZ64" s="215"/>
      <c r="CA64" s="244"/>
      <c r="CB64" s="233"/>
      <c r="CC64" s="233"/>
      <c r="CD64" s="233"/>
      <c r="CE64" s="233"/>
      <c r="CF64" s="233"/>
      <c r="CG64" s="239"/>
      <c r="CH64" s="262"/>
      <c r="CI64" s="351"/>
      <c r="CJ64" s="350"/>
      <c r="CK64" s="350"/>
      <c r="CL64" s="350"/>
      <c r="CM64" s="350"/>
      <c r="CN64" s="350"/>
      <c r="CO64" s="350"/>
      <c r="CP64" s="350">
        <v>2</v>
      </c>
      <c r="CQ64" s="364"/>
      <c r="CR64" s="370"/>
      <c r="CS64" s="367"/>
      <c r="CT64" s="367"/>
      <c r="CU64" s="367"/>
      <c r="CV64" s="367"/>
      <c r="CW64" s="387">
        <v>10</v>
      </c>
      <c r="CX64" s="398"/>
      <c r="CY64" s="399"/>
      <c r="CZ64" s="399"/>
      <c r="DA64" s="399"/>
      <c r="DB64" s="399"/>
      <c r="DC64" s="400"/>
      <c r="DD64" s="400"/>
      <c r="DE64" s="514">
        <v>1</v>
      </c>
      <c r="DF64" s="514">
        <f t="shared" si="0"/>
        <v>1</v>
      </c>
      <c r="DG64" s="144"/>
      <c r="DH64" s="143"/>
    </row>
    <row r="65" spans="1:112" x14ac:dyDescent="0.25">
      <c r="A65" s="15" t="s">
        <v>49</v>
      </c>
      <c r="B65" s="15">
        <v>832</v>
      </c>
      <c r="C65" s="15" t="s">
        <v>3429</v>
      </c>
      <c r="D65" s="15">
        <v>1236</v>
      </c>
      <c r="E65" s="15" t="s">
        <v>1076</v>
      </c>
      <c r="F65" s="15" t="s">
        <v>1077</v>
      </c>
      <c r="G65" s="15" t="s">
        <v>1078</v>
      </c>
      <c r="H65" s="15" t="s">
        <v>1079</v>
      </c>
      <c r="I65" s="15" t="s">
        <v>54</v>
      </c>
      <c r="J65" s="15" t="s">
        <v>3430</v>
      </c>
      <c r="K65" s="15" t="s">
        <v>1080</v>
      </c>
      <c r="L65" s="15" t="s">
        <v>3766</v>
      </c>
      <c r="M65" s="15" t="s">
        <v>4011</v>
      </c>
      <c r="N65" s="70">
        <v>1500</v>
      </c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1">
        <v>10</v>
      </c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  <c r="AV65" s="119"/>
      <c r="AW65" s="119"/>
      <c r="AX65" s="119"/>
      <c r="AY65" s="119"/>
      <c r="AZ65" s="131">
        <f>VLOOKUP(Table7[[#This Row],[Vlookup Store '#]],'Kiosk Stickers'!A$4:$H$538,2,FALSE)</f>
        <v>0</v>
      </c>
      <c r="BA65" s="131"/>
      <c r="BB65" s="131"/>
      <c r="BC65" s="131"/>
      <c r="BD65" s="131"/>
      <c r="BE65" s="169"/>
      <c r="BF65" s="194"/>
      <c r="BG65" s="173"/>
      <c r="BH65" s="173"/>
      <c r="BI65" s="173"/>
      <c r="BJ65" s="173"/>
      <c r="BK65" s="173"/>
      <c r="BL65" s="173"/>
      <c r="BM65" s="173">
        <f>VLOOKUP(Table7[[#This Row],[Vlookup Store '#]],'Kiosk Stickers'!A$4:$H$538,3,FALSE)</f>
        <v>2</v>
      </c>
      <c r="BN65" s="215"/>
      <c r="BO65" s="199">
        <f>VLOOKUP(Table7[[#This Row],[Vlookup Store '#]],'Kiosk Stickers'!A$4:$H$538,4,FALSE)</f>
        <v>0</v>
      </c>
      <c r="BP65" s="171"/>
      <c r="BQ65" s="226"/>
      <c r="BR65" s="184">
        <f>VLOOKUP(Table7[[#This Row],[Vlookup Store '#]],'Kiosk Stickers'!A$4:$H$538,5,FALSE)</f>
        <v>0</v>
      </c>
      <c r="BS65" s="173"/>
      <c r="BT65" s="173"/>
      <c r="BU65" s="173"/>
      <c r="BV65" s="173"/>
      <c r="BW65" s="173"/>
      <c r="BX65" s="173"/>
      <c r="BY65" s="173"/>
      <c r="BZ65" s="215"/>
      <c r="CA65" s="244"/>
      <c r="CB65" s="233"/>
      <c r="CC65" s="233"/>
      <c r="CD65" s="233"/>
      <c r="CE65" s="233"/>
      <c r="CF65" s="233"/>
      <c r="CG65" s="239"/>
      <c r="CH65" s="262"/>
      <c r="CI65" s="351"/>
      <c r="CJ65" s="350"/>
      <c r="CK65" s="350"/>
      <c r="CL65" s="350"/>
      <c r="CM65" s="350"/>
      <c r="CN65" s="350"/>
      <c r="CO65" s="350"/>
      <c r="CP65" s="350">
        <v>2</v>
      </c>
      <c r="CQ65" s="364"/>
      <c r="CR65" s="370"/>
      <c r="CS65" s="367"/>
      <c r="CT65" s="367"/>
      <c r="CU65" s="367"/>
      <c r="CV65" s="367"/>
      <c r="CW65" s="387">
        <v>10</v>
      </c>
      <c r="CX65" s="398"/>
      <c r="CY65" s="399"/>
      <c r="CZ65" s="399"/>
      <c r="DA65" s="399"/>
      <c r="DB65" s="399"/>
      <c r="DC65" s="400"/>
      <c r="DD65" s="400"/>
      <c r="DE65" s="514">
        <v>1</v>
      </c>
      <c r="DF65" s="514">
        <f t="shared" si="0"/>
        <v>1</v>
      </c>
      <c r="DG65" s="144"/>
      <c r="DH65" s="143"/>
    </row>
    <row r="66" spans="1:112" x14ac:dyDescent="0.25">
      <c r="A66" s="15" t="s">
        <v>49</v>
      </c>
      <c r="B66" s="15">
        <v>832</v>
      </c>
      <c r="C66" s="15" t="s">
        <v>3438</v>
      </c>
      <c r="D66" s="15">
        <v>1242</v>
      </c>
      <c r="E66" s="15" t="s">
        <v>1098</v>
      </c>
      <c r="F66" s="15" t="s">
        <v>1099</v>
      </c>
      <c r="G66" s="15" t="s">
        <v>1100</v>
      </c>
      <c r="H66" s="15" t="s">
        <v>1074</v>
      </c>
      <c r="I66" s="15" t="s">
        <v>54</v>
      </c>
      <c r="J66" s="15" t="s">
        <v>3101</v>
      </c>
      <c r="K66" s="15" t="s">
        <v>1101</v>
      </c>
      <c r="L66" s="15" t="s">
        <v>3766</v>
      </c>
      <c r="M66" s="15" t="s">
        <v>4011</v>
      </c>
      <c r="N66" s="70">
        <v>1500</v>
      </c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1">
        <v>10</v>
      </c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131">
        <f>VLOOKUP(Table7[[#This Row],[Vlookup Store '#]],'Kiosk Stickers'!A$4:$H$538,2,FALSE)</f>
        <v>0</v>
      </c>
      <c r="BA66" s="131"/>
      <c r="BB66" s="131"/>
      <c r="BC66" s="131"/>
      <c r="BD66" s="131"/>
      <c r="BE66" s="169"/>
      <c r="BF66" s="194"/>
      <c r="BG66" s="173"/>
      <c r="BH66" s="173"/>
      <c r="BI66" s="173"/>
      <c r="BJ66" s="173"/>
      <c r="BK66" s="173"/>
      <c r="BL66" s="173"/>
      <c r="BM66" s="173">
        <f>VLOOKUP(Table7[[#This Row],[Vlookup Store '#]],'Kiosk Stickers'!A$4:$H$538,3,FALSE)</f>
        <v>2</v>
      </c>
      <c r="BN66" s="215"/>
      <c r="BO66" s="199">
        <f>VLOOKUP(Table7[[#This Row],[Vlookup Store '#]],'Kiosk Stickers'!A$4:$H$538,4,FALSE)</f>
        <v>0</v>
      </c>
      <c r="BP66" s="171"/>
      <c r="BQ66" s="226"/>
      <c r="BR66" s="184">
        <f>VLOOKUP(Table7[[#This Row],[Vlookup Store '#]],'Kiosk Stickers'!A$4:$H$538,5,FALSE)</f>
        <v>0</v>
      </c>
      <c r="BS66" s="173"/>
      <c r="BT66" s="173"/>
      <c r="BU66" s="173"/>
      <c r="BV66" s="173"/>
      <c r="BW66" s="173"/>
      <c r="BX66" s="173"/>
      <c r="BY66" s="173"/>
      <c r="BZ66" s="215"/>
      <c r="CA66" s="244"/>
      <c r="CB66" s="233"/>
      <c r="CC66" s="233"/>
      <c r="CD66" s="233"/>
      <c r="CE66" s="233"/>
      <c r="CF66" s="233"/>
      <c r="CG66" s="239"/>
      <c r="CH66" s="262"/>
      <c r="CI66" s="351"/>
      <c r="CJ66" s="350"/>
      <c r="CK66" s="350"/>
      <c r="CL66" s="350"/>
      <c r="CM66" s="350"/>
      <c r="CN66" s="350"/>
      <c r="CO66" s="350"/>
      <c r="CP66" s="350">
        <v>2</v>
      </c>
      <c r="CQ66" s="364"/>
      <c r="CR66" s="370"/>
      <c r="CS66" s="367"/>
      <c r="CT66" s="367"/>
      <c r="CU66" s="367"/>
      <c r="CV66" s="367"/>
      <c r="CW66" s="387">
        <v>10</v>
      </c>
      <c r="CX66" s="398"/>
      <c r="CY66" s="399"/>
      <c r="CZ66" s="399"/>
      <c r="DA66" s="399"/>
      <c r="DB66" s="399"/>
      <c r="DC66" s="400"/>
      <c r="DD66" s="400"/>
      <c r="DE66" s="514">
        <v>1</v>
      </c>
      <c r="DF66" s="514">
        <f t="shared" si="0"/>
        <v>1</v>
      </c>
      <c r="DG66" s="144"/>
      <c r="DH66" s="143"/>
    </row>
    <row r="67" spans="1:112" x14ac:dyDescent="0.25">
      <c r="A67" s="15" t="s">
        <v>49</v>
      </c>
      <c r="B67" s="15">
        <v>832</v>
      </c>
      <c r="C67" s="15" t="s">
        <v>3440</v>
      </c>
      <c r="D67" s="15">
        <v>1245</v>
      </c>
      <c r="E67" s="15" t="s">
        <v>1106</v>
      </c>
      <c r="F67" s="15" t="s">
        <v>3016</v>
      </c>
      <c r="G67" s="15" t="s">
        <v>1108</v>
      </c>
      <c r="H67" s="15" t="s">
        <v>1037</v>
      </c>
      <c r="I67" s="15" t="s">
        <v>54</v>
      </c>
      <c r="J67" s="15" t="s">
        <v>3441</v>
      </c>
      <c r="K67" s="15" t="s">
        <v>1109</v>
      </c>
      <c r="L67" s="15" t="s">
        <v>3766</v>
      </c>
      <c r="M67" s="15" t="s">
        <v>4011</v>
      </c>
      <c r="N67" s="70">
        <v>1500</v>
      </c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1">
        <v>10</v>
      </c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131">
        <f>VLOOKUP(Table7[[#This Row],[Vlookup Store '#]],'Kiosk Stickers'!A$4:$H$538,2,FALSE)</f>
        <v>2</v>
      </c>
      <c r="BA67" s="131"/>
      <c r="BB67" s="131"/>
      <c r="BC67" s="131"/>
      <c r="BD67" s="131"/>
      <c r="BE67" s="169"/>
      <c r="BF67" s="194"/>
      <c r="BG67" s="173"/>
      <c r="BH67" s="173"/>
      <c r="BI67" s="173"/>
      <c r="BJ67" s="173"/>
      <c r="BK67" s="173"/>
      <c r="BL67" s="173"/>
      <c r="BM67" s="173">
        <f>VLOOKUP(Table7[[#This Row],[Vlookup Store '#]],'Kiosk Stickers'!A$4:$H$538,3,FALSE)</f>
        <v>0</v>
      </c>
      <c r="BN67" s="215"/>
      <c r="BO67" s="199">
        <f>VLOOKUP(Table7[[#This Row],[Vlookup Store '#]],'Kiosk Stickers'!A$4:$H$538,4,FALSE)</f>
        <v>0</v>
      </c>
      <c r="BP67" s="171"/>
      <c r="BQ67" s="226"/>
      <c r="BR67" s="184">
        <f>VLOOKUP(Table7[[#This Row],[Vlookup Store '#]],'Kiosk Stickers'!A$4:$H$538,5,FALSE)</f>
        <v>0</v>
      </c>
      <c r="BS67" s="173"/>
      <c r="BT67" s="173"/>
      <c r="BU67" s="173"/>
      <c r="BV67" s="173"/>
      <c r="BW67" s="173"/>
      <c r="BX67" s="173"/>
      <c r="BY67" s="173"/>
      <c r="BZ67" s="215"/>
      <c r="CA67" s="244"/>
      <c r="CB67" s="233"/>
      <c r="CC67" s="233"/>
      <c r="CD67" s="233"/>
      <c r="CE67" s="233"/>
      <c r="CF67" s="233"/>
      <c r="CG67" s="239"/>
      <c r="CH67" s="262"/>
      <c r="CI67" s="351"/>
      <c r="CJ67" s="350"/>
      <c r="CK67" s="350"/>
      <c r="CL67" s="350"/>
      <c r="CM67" s="350"/>
      <c r="CN67" s="350"/>
      <c r="CO67" s="350"/>
      <c r="CP67" s="350">
        <v>2</v>
      </c>
      <c r="CQ67" s="364"/>
      <c r="CR67" s="370"/>
      <c r="CS67" s="367"/>
      <c r="CT67" s="367"/>
      <c r="CU67" s="367"/>
      <c r="CV67" s="367"/>
      <c r="CW67" s="387">
        <v>10</v>
      </c>
      <c r="CX67" s="398"/>
      <c r="CY67" s="399"/>
      <c r="CZ67" s="399"/>
      <c r="DA67" s="399"/>
      <c r="DB67" s="399"/>
      <c r="DC67" s="400"/>
      <c r="DD67" s="400"/>
      <c r="DE67" s="514">
        <v>1</v>
      </c>
      <c r="DF67" s="514">
        <f t="shared" si="0"/>
        <v>1</v>
      </c>
      <c r="DG67" s="144"/>
      <c r="DH67" s="143"/>
    </row>
    <row r="68" spans="1:112" x14ac:dyDescent="0.25">
      <c r="A68" s="15" t="s">
        <v>49</v>
      </c>
      <c r="B68" s="15">
        <v>812</v>
      </c>
      <c r="C68" s="15" t="s">
        <v>3448</v>
      </c>
      <c r="D68" s="15">
        <v>1249</v>
      </c>
      <c r="E68" s="15" t="s">
        <v>1110</v>
      </c>
      <c r="F68" s="15" t="s">
        <v>1111</v>
      </c>
      <c r="G68" s="15" t="s">
        <v>1112</v>
      </c>
      <c r="H68" s="15" t="s">
        <v>1113</v>
      </c>
      <c r="I68" s="15" t="s">
        <v>54</v>
      </c>
      <c r="J68" s="15" t="s">
        <v>3449</v>
      </c>
      <c r="K68" s="15" t="s">
        <v>1114</v>
      </c>
      <c r="L68" s="15" t="s">
        <v>3766</v>
      </c>
      <c r="M68" s="15" t="s">
        <v>4011</v>
      </c>
      <c r="N68" s="70">
        <v>1500</v>
      </c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1">
        <v>10</v>
      </c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131">
        <f>VLOOKUP(Table7[[#This Row],[Vlookup Store '#]],'Kiosk Stickers'!A$4:$H$538,2,FALSE)</f>
        <v>2</v>
      </c>
      <c r="BA68" s="131"/>
      <c r="BB68" s="131"/>
      <c r="BC68" s="131"/>
      <c r="BD68" s="131"/>
      <c r="BE68" s="169"/>
      <c r="BF68" s="194"/>
      <c r="BG68" s="173"/>
      <c r="BH68" s="173"/>
      <c r="BI68" s="173"/>
      <c r="BJ68" s="173"/>
      <c r="BK68" s="173"/>
      <c r="BL68" s="173"/>
      <c r="BM68" s="173">
        <f>VLOOKUP(Table7[[#This Row],[Vlookup Store '#]],'Kiosk Stickers'!A$4:$H$538,3,FALSE)</f>
        <v>0</v>
      </c>
      <c r="BN68" s="215"/>
      <c r="BO68" s="199">
        <f>VLOOKUP(Table7[[#This Row],[Vlookup Store '#]],'Kiosk Stickers'!A$4:$H$538,4,FALSE)</f>
        <v>0</v>
      </c>
      <c r="BP68" s="171"/>
      <c r="BQ68" s="226"/>
      <c r="BR68" s="184">
        <f>VLOOKUP(Table7[[#This Row],[Vlookup Store '#]],'Kiosk Stickers'!A$4:$H$538,5,FALSE)</f>
        <v>0</v>
      </c>
      <c r="BS68" s="173"/>
      <c r="BT68" s="173"/>
      <c r="BU68" s="173"/>
      <c r="BV68" s="173"/>
      <c r="BW68" s="173"/>
      <c r="BX68" s="173"/>
      <c r="BY68" s="173"/>
      <c r="BZ68" s="215"/>
      <c r="CA68" s="244"/>
      <c r="CB68" s="233"/>
      <c r="CC68" s="233"/>
      <c r="CD68" s="233"/>
      <c r="CE68" s="233"/>
      <c r="CF68" s="233"/>
      <c r="CG68" s="239"/>
      <c r="CH68" s="262"/>
      <c r="CI68" s="351"/>
      <c r="CJ68" s="350"/>
      <c r="CK68" s="350"/>
      <c r="CL68" s="350"/>
      <c r="CM68" s="350"/>
      <c r="CN68" s="350"/>
      <c r="CO68" s="350"/>
      <c r="CP68" s="350">
        <v>2</v>
      </c>
      <c r="CQ68" s="364"/>
      <c r="CR68" s="370"/>
      <c r="CS68" s="367"/>
      <c r="CT68" s="367"/>
      <c r="CU68" s="367"/>
      <c r="CV68" s="367"/>
      <c r="CW68" s="387">
        <v>10</v>
      </c>
      <c r="CX68" s="398"/>
      <c r="CY68" s="399"/>
      <c r="CZ68" s="399"/>
      <c r="DA68" s="399"/>
      <c r="DB68" s="399"/>
      <c r="DC68" s="400"/>
      <c r="DD68" s="400"/>
      <c r="DE68" s="514">
        <v>1</v>
      </c>
      <c r="DF68" s="514">
        <f t="shared" si="0"/>
        <v>1</v>
      </c>
      <c r="DG68" s="144"/>
      <c r="DH68" s="143"/>
    </row>
    <row r="69" spans="1:112" x14ac:dyDescent="0.25">
      <c r="A69" s="15" t="s">
        <v>49</v>
      </c>
      <c r="B69" s="15">
        <v>812</v>
      </c>
      <c r="C69" s="15" t="s">
        <v>3454</v>
      </c>
      <c r="D69" s="15">
        <v>1254</v>
      </c>
      <c r="E69" s="15" t="s">
        <v>1120</v>
      </c>
      <c r="F69" s="15" t="s">
        <v>1121</v>
      </c>
      <c r="G69" s="15" t="s">
        <v>1122</v>
      </c>
      <c r="H69" s="15" t="s">
        <v>1074</v>
      </c>
      <c r="I69" s="15" t="s">
        <v>54</v>
      </c>
      <c r="J69" s="15" t="s">
        <v>3126</v>
      </c>
      <c r="K69" s="15" t="s">
        <v>1123</v>
      </c>
      <c r="L69" s="15" t="s">
        <v>3766</v>
      </c>
      <c r="M69" s="15" t="s">
        <v>4011</v>
      </c>
      <c r="N69" s="70">
        <v>1500</v>
      </c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1">
        <v>10</v>
      </c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131">
        <f>VLOOKUP(Table7[[#This Row],[Vlookup Store '#]],'Kiosk Stickers'!A$4:$H$538,2,FALSE)</f>
        <v>0</v>
      </c>
      <c r="BA69" s="131"/>
      <c r="BB69" s="131"/>
      <c r="BC69" s="131"/>
      <c r="BD69" s="131"/>
      <c r="BE69" s="169"/>
      <c r="BF69" s="194"/>
      <c r="BG69" s="173"/>
      <c r="BH69" s="173"/>
      <c r="BI69" s="173"/>
      <c r="BJ69" s="173"/>
      <c r="BK69" s="173"/>
      <c r="BL69" s="173"/>
      <c r="BM69" s="173">
        <f>VLOOKUP(Table7[[#This Row],[Vlookup Store '#]],'Kiosk Stickers'!A$4:$H$538,3,FALSE)</f>
        <v>2</v>
      </c>
      <c r="BN69" s="215"/>
      <c r="BO69" s="199">
        <f>VLOOKUP(Table7[[#This Row],[Vlookup Store '#]],'Kiosk Stickers'!A$4:$H$538,4,FALSE)</f>
        <v>0</v>
      </c>
      <c r="BP69" s="171"/>
      <c r="BQ69" s="226"/>
      <c r="BR69" s="184">
        <f>VLOOKUP(Table7[[#This Row],[Vlookup Store '#]],'Kiosk Stickers'!A$4:$H$538,5,FALSE)</f>
        <v>0</v>
      </c>
      <c r="BS69" s="173"/>
      <c r="BT69" s="173"/>
      <c r="BU69" s="173"/>
      <c r="BV69" s="173"/>
      <c r="BW69" s="173"/>
      <c r="BX69" s="173"/>
      <c r="BY69" s="173"/>
      <c r="BZ69" s="215"/>
      <c r="CA69" s="244"/>
      <c r="CB69" s="233"/>
      <c r="CC69" s="233"/>
      <c r="CD69" s="233"/>
      <c r="CE69" s="233"/>
      <c r="CF69" s="233"/>
      <c r="CG69" s="239"/>
      <c r="CH69" s="262"/>
      <c r="CI69" s="351"/>
      <c r="CJ69" s="350"/>
      <c r="CK69" s="350"/>
      <c r="CL69" s="350"/>
      <c r="CM69" s="350"/>
      <c r="CN69" s="350"/>
      <c r="CO69" s="350"/>
      <c r="CP69" s="350">
        <v>2</v>
      </c>
      <c r="CQ69" s="364"/>
      <c r="CR69" s="370"/>
      <c r="CS69" s="367"/>
      <c r="CT69" s="367"/>
      <c r="CU69" s="367"/>
      <c r="CV69" s="367"/>
      <c r="CW69" s="387">
        <v>10</v>
      </c>
      <c r="CX69" s="398"/>
      <c r="CY69" s="399"/>
      <c r="CZ69" s="399"/>
      <c r="DA69" s="399"/>
      <c r="DB69" s="399"/>
      <c r="DC69" s="400"/>
      <c r="DD69" s="400"/>
      <c r="DE69" s="514">
        <v>1</v>
      </c>
      <c r="DF69" s="514">
        <f t="shared" si="0"/>
        <v>1</v>
      </c>
      <c r="DG69" s="144"/>
      <c r="DH69" s="143"/>
    </row>
    <row r="70" spans="1:112" x14ac:dyDescent="0.25">
      <c r="A70" s="15" t="s">
        <v>49</v>
      </c>
      <c r="B70" s="15">
        <v>812</v>
      </c>
      <c r="C70" s="15" t="s">
        <v>3647</v>
      </c>
      <c r="D70" s="15">
        <v>1856</v>
      </c>
      <c r="E70" s="15" t="s">
        <v>1124</v>
      </c>
      <c r="F70" s="15" t="s">
        <v>1125</v>
      </c>
      <c r="G70" s="15" t="s">
        <v>1126</v>
      </c>
      <c r="H70" s="15" t="s">
        <v>1127</v>
      </c>
      <c r="I70" s="15" t="s">
        <v>54</v>
      </c>
      <c r="J70" s="15" t="s">
        <v>3648</v>
      </c>
      <c r="K70" s="15" t="s">
        <v>1128</v>
      </c>
      <c r="L70" s="15" t="s">
        <v>3766</v>
      </c>
      <c r="M70" s="15" t="s">
        <v>4011</v>
      </c>
      <c r="N70" s="70">
        <v>1500</v>
      </c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1">
        <v>10</v>
      </c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131">
        <f>VLOOKUP(Table7[[#This Row],[Vlookup Store '#]],'Kiosk Stickers'!A$4:$H$538,2,FALSE)</f>
        <v>0</v>
      </c>
      <c r="BA70" s="131"/>
      <c r="BB70" s="131"/>
      <c r="BC70" s="131"/>
      <c r="BD70" s="131"/>
      <c r="BE70" s="169"/>
      <c r="BF70" s="194"/>
      <c r="BG70" s="173"/>
      <c r="BH70" s="173"/>
      <c r="BI70" s="173"/>
      <c r="BJ70" s="173"/>
      <c r="BK70" s="173"/>
      <c r="BL70" s="173"/>
      <c r="BM70" s="173">
        <f>VLOOKUP(Table7[[#This Row],[Vlookup Store '#]],'Kiosk Stickers'!A$4:$H$538,3,FALSE)</f>
        <v>2</v>
      </c>
      <c r="BN70" s="215"/>
      <c r="BO70" s="199">
        <f>VLOOKUP(Table7[[#This Row],[Vlookup Store '#]],'Kiosk Stickers'!A$4:$H$538,4,FALSE)</f>
        <v>0</v>
      </c>
      <c r="BP70" s="171"/>
      <c r="BQ70" s="226"/>
      <c r="BR70" s="184">
        <f>VLOOKUP(Table7[[#This Row],[Vlookup Store '#]],'Kiosk Stickers'!A$4:$H$538,5,FALSE)</f>
        <v>0</v>
      </c>
      <c r="BS70" s="173"/>
      <c r="BT70" s="173"/>
      <c r="BU70" s="173"/>
      <c r="BV70" s="173"/>
      <c r="BW70" s="173"/>
      <c r="BX70" s="173"/>
      <c r="BY70" s="173"/>
      <c r="BZ70" s="215"/>
      <c r="CA70" s="244"/>
      <c r="CB70" s="233"/>
      <c r="CC70" s="233"/>
      <c r="CD70" s="233"/>
      <c r="CE70" s="233"/>
      <c r="CF70" s="233"/>
      <c r="CG70" s="239"/>
      <c r="CH70" s="262"/>
      <c r="CI70" s="351"/>
      <c r="CJ70" s="350"/>
      <c r="CK70" s="350"/>
      <c r="CL70" s="350"/>
      <c r="CM70" s="350"/>
      <c r="CN70" s="350"/>
      <c r="CO70" s="350"/>
      <c r="CP70" s="350">
        <v>2</v>
      </c>
      <c r="CQ70" s="364"/>
      <c r="CR70" s="370"/>
      <c r="CS70" s="367"/>
      <c r="CT70" s="367"/>
      <c r="CU70" s="367"/>
      <c r="CV70" s="367"/>
      <c r="CW70" s="387">
        <v>10</v>
      </c>
      <c r="CX70" s="398"/>
      <c r="CY70" s="399"/>
      <c r="CZ70" s="399"/>
      <c r="DA70" s="399"/>
      <c r="DB70" s="399"/>
      <c r="DC70" s="400"/>
      <c r="DD70" s="400"/>
      <c r="DE70" s="514">
        <v>1</v>
      </c>
      <c r="DF70" s="514">
        <f t="shared" ref="DF70:DF133" si="1">SUM(CX70:DE70)</f>
        <v>1</v>
      </c>
      <c r="DG70" s="144"/>
      <c r="DH70" s="143"/>
    </row>
    <row r="71" spans="1:112" x14ac:dyDescent="0.25">
      <c r="A71" s="15" t="s">
        <v>264</v>
      </c>
      <c r="B71" s="15">
        <v>832</v>
      </c>
      <c r="C71" s="15" t="s">
        <v>3643</v>
      </c>
      <c r="D71" s="15">
        <v>1854</v>
      </c>
      <c r="E71" s="15" t="s">
        <v>265</v>
      </c>
      <c r="F71" s="15" t="s">
        <v>1231</v>
      </c>
      <c r="G71" s="15" t="s">
        <v>266</v>
      </c>
      <c r="H71" s="15" t="s">
        <v>267</v>
      </c>
      <c r="I71" s="15" t="s">
        <v>54</v>
      </c>
      <c r="J71" s="15" t="s">
        <v>3644</v>
      </c>
      <c r="K71" s="15" t="s">
        <v>268</v>
      </c>
      <c r="L71" s="15" t="s">
        <v>3766</v>
      </c>
      <c r="M71" s="15" t="s">
        <v>4020</v>
      </c>
      <c r="N71" s="70"/>
      <c r="O71" s="70"/>
      <c r="P71" s="70">
        <v>1500</v>
      </c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1"/>
      <c r="AH71" s="71"/>
      <c r="AI71" s="71">
        <v>10</v>
      </c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131">
        <f>VLOOKUP(Table7[[#This Row],[Vlookup Store '#]],'Kiosk Stickers'!A$4:$H$538,2,FALSE)</f>
        <v>0</v>
      </c>
      <c r="BA71" s="131"/>
      <c r="BB71" s="131"/>
      <c r="BC71" s="131"/>
      <c r="BD71" s="131"/>
      <c r="BE71" s="169"/>
      <c r="BF71" s="194"/>
      <c r="BG71" s="173"/>
      <c r="BH71" s="173"/>
      <c r="BI71" s="173"/>
      <c r="BJ71" s="173"/>
      <c r="BK71" s="173"/>
      <c r="BL71" s="173"/>
      <c r="BM71" s="173">
        <f>VLOOKUP(Table7[[#This Row],[Vlookup Store '#]],'Kiosk Stickers'!A$4:$H$538,3,FALSE)</f>
        <v>1</v>
      </c>
      <c r="BN71" s="215"/>
      <c r="BO71" s="199">
        <f>VLOOKUP(Table7[[#This Row],[Vlookup Store '#]],'Kiosk Stickers'!A$4:$H$538,4,FALSE)</f>
        <v>0</v>
      </c>
      <c r="BP71" s="171"/>
      <c r="BQ71" s="226"/>
      <c r="BR71" s="184">
        <f>VLOOKUP(Table7[[#This Row],[Vlookup Store '#]],'Kiosk Stickers'!A$4:$H$538,5,FALSE)</f>
        <v>0</v>
      </c>
      <c r="BS71" s="173"/>
      <c r="BT71" s="173"/>
      <c r="BU71" s="173"/>
      <c r="BV71" s="173"/>
      <c r="BW71" s="173"/>
      <c r="BX71" s="173"/>
      <c r="BY71" s="173"/>
      <c r="BZ71" s="215"/>
      <c r="CA71" s="244"/>
      <c r="CB71" s="233"/>
      <c r="CC71" s="233"/>
      <c r="CD71" s="233"/>
      <c r="CE71" s="233"/>
      <c r="CF71" s="233"/>
      <c r="CG71" s="239"/>
      <c r="CH71" s="262"/>
      <c r="CI71" s="351"/>
      <c r="CJ71" s="350"/>
      <c r="CK71" s="350"/>
      <c r="CL71" s="350"/>
      <c r="CM71" s="350"/>
      <c r="CN71" s="350"/>
      <c r="CO71" s="350"/>
      <c r="CP71" s="350">
        <v>2</v>
      </c>
      <c r="CQ71" s="364"/>
      <c r="CR71" s="370"/>
      <c r="CS71" s="367"/>
      <c r="CT71" s="367"/>
      <c r="CU71" s="367"/>
      <c r="CV71" s="367"/>
      <c r="CW71" s="387">
        <v>10</v>
      </c>
      <c r="CX71" s="398"/>
      <c r="CY71" s="399"/>
      <c r="CZ71" s="399"/>
      <c r="DA71" s="399"/>
      <c r="DB71" s="399"/>
      <c r="DC71" s="400"/>
      <c r="DD71" s="400"/>
      <c r="DE71" s="514">
        <v>1</v>
      </c>
      <c r="DF71" s="514">
        <f t="shared" si="1"/>
        <v>1</v>
      </c>
      <c r="DG71" s="144"/>
      <c r="DH71" s="143"/>
    </row>
    <row r="72" spans="1:112" x14ac:dyDescent="0.25">
      <c r="A72" s="15" t="s">
        <v>264</v>
      </c>
      <c r="B72" s="15">
        <v>812</v>
      </c>
      <c r="C72" s="15" t="s">
        <v>3645</v>
      </c>
      <c r="D72" s="15">
        <v>1855</v>
      </c>
      <c r="E72" s="15" t="s">
        <v>1232</v>
      </c>
      <c r="F72" s="15" t="s">
        <v>1058</v>
      </c>
      <c r="G72" s="15" t="s">
        <v>1234</v>
      </c>
      <c r="H72" s="15" t="s">
        <v>1235</v>
      </c>
      <c r="I72" s="15" t="s">
        <v>54</v>
      </c>
      <c r="J72" s="15" t="s">
        <v>3646</v>
      </c>
      <c r="K72" s="15" t="s">
        <v>1236</v>
      </c>
      <c r="L72" s="15" t="s">
        <v>3766</v>
      </c>
      <c r="M72" s="15" t="s">
        <v>4020</v>
      </c>
      <c r="N72" s="70"/>
      <c r="O72" s="70"/>
      <c r="P72" s="70">
        <v>1500</v>
      </c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1"/>
      <c r="AH72" s="71"/>
      <c r="AI72" s="71">
        <v>10</v>
      </c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131">
        <f>VLOOKUP(Table7[[#This Row],[Vlookup Store '#]],'Kiosk Stickers'!A$4:$H$538,2,FALSE)</f>
        <v>2</v>
      </c>
      <c r="BA72" s="131"/>
      <c r="BB72" s="131"/>
      <c r="BC72" s="131"/>
      <c r="BD72" s="131"/>
      <c r="BE72" s="169"/>
      <c r="BF72" s="194"/>
      <c r="BG72" s="173"/>
      <c r="BH72" s="173"/>
      <c r="BI72" s="173"/>
      <c r="BJ72" s="173"/>
      <c r="BK72" s="173"/>
      <c r="BL72" s="173"/>
      <c r="BM72" s="173">
        <f>VLOOKUP(Table7[[#This Row],[Vlookup Store '#]],'Kiosk Stickers'!A$4:$H$538,3,FALSE)</f>
        <v>0</v>
      </c>
      <c r="BN72" s="215"/>
      <c r="BO72" s="199">
        <f>VLOOKUP(Table7[[#This Row],[Vlookup Store '#]],'Kiosk Stickers'!A$4:$H$538,4,FALSE)</f>
        <v>0</v>
      </c>
      <c r="BP72" s="171"/>
      <c r="BQ72" s="226"/>
      <c r="BR72" s="184">
        <f>VLOOKUP(Table7[[#This Row],[Vlookup Store '#]],'Kiosk Stickers'!A$4:$H$538,5,FALSE)</f>
        <v>0</v>
      </c>
      <c r="BS72" s="173"/>
      <c r="BT72" s="173"/>
      <c r="BU72" s="173"/>
      <c r="BV72" s="173"/>
      <c r="BW72" s="173"/>
      <c r="BX72" s="173"/>
      <c r="BY72" s="173"/>
      <c r="BZ72" s="215"/>
      <c r="CA72" s="244"/>
      <c r="CB72" s="233"/>
      <c r="CC72" s="233"/>
      <c r="CD72" s="233"/>
      <c r="CE72" s="233"/>
      <c r="CF72" s="233"/>
      <c r="CG72" s="239"/>
      <c r="CH72" s="262"/>
      <c r="CI72" s="351"/>
      <c r="CJ72" s="350"/>
      <c r="CK72" s="350"/>
      <c r="CL72" s="350"/>
      <c r="CM72" s="350"/>
      <c r="CN72" s="350"/>
      <c r="CO72" s="350"/>
      <c r="CP72" s="350">
        <v>2</v>
      </c>
      <c r="CQ72" s="364"/>
      <c r="CR72" s="370"/>
      <c r="CS72" s="367"/>
      <c r="CT72" s="367"/>
      <c r="CU72" s="367"/>
      <c r="CV72" s="367"/>
      <c r="CW72" s="387">
        <v>10</v>
      </c>
      <c r="CX72" s="398"/>
      <c r="CY72" s="399"/>
      <c r="CZ72" s="399"/>
      <c r="DA72" s="399"/>
      <c r="DB72" s="399"/>
      <c r="DC72" s="400"/>
      <c r="DD72" s="400"/>
      <c r="DE72" s="514">
        <v>1</v>
      </c>
      <c r="DF72" s="514">
        <f t="shared" si="1"/>
        <v>1</v>
      </c>
      <c r="DG72" s="144"/>
      <c r="DH72" s="143"/>
    </row>
    <row r="73" spans="1:112" x14ac:dyDescent="0.25">
      <c r="A73" s="15" t="s">
        <v>62</v>
      </c>
      <c r="B73" s="15">
        <v>812</v>
      </c>
      <c r="C73" s="15" t="s">
        <v>1282</v>
      </c>
      <c r="D73" s="15">
        <v>226</v>
      </c>
      <c r="E73" s="15" t="s">
        <v>1283</v>
      </c>
      <c r="F73" s="15" t="s">
        <v>1284</v>
      </c>
      <c r="G73" s="15" t="s">
        <v>1285</v>
      </c>
      <c r="H73" s="15" t="s">
        <v>289</v>
      </c>
      <c r="I73" s="15" t="s">
        <v>54</v>
      </c>
      <c r="J73" s="15" t="s">
        <v>3095</v>
      </c>
      <c r="K73" s="15" t="s">
        <v>1286</v>
      </c>
      <c r="L73" s="15" t="s">
        <v>3766</v>
      </c>
      <c r="M73" s="15" t="s">
        <v>4020</v>
      </c>
      <c r="N73" s="70"/>
      <c r="O73" s="70"/>
      <c r="P73" s="70">
        <v>1500</v>
      </c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1"/>
      <c r="AH73" s="71"/>
      <c r="AI73" s="71">
        <v>10</v>
      </c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131">
        <f>VLOOKUP(Table7[[#This Row],[Vlookup Store '#]],'Kiosk Stickers'!A$4:$H$538,2,FALSE)</f>
        <v>0</v>
      </c>
      <c r="BA73" s="131"/>
      <c r="BB73" s="131"/>
      <c r="BC73" s="131"/>
      <c r="BD73" s="131"/>
      <c r="BE73" s="169"/>
      <c r="BF73" s="194"/>
      <c r="BG73" s="173"/>
      <c r="BH73" s="173"/>
      <c r="BI73" s="173"/>
      <c r="BJ73" s="173"/>
      <c r="BK73" s="173"/>
      <c r="BL73" s="173"/>
      <c r="BM73" s="173">
        <f>VLOOKUP(Table7[[#This Row],[Vlookup Store '#]],'Kiosk Stickers'!A$4:$H$538,3,FALSE)</f>
        <v>0</v>
      </c>
      <c r="BN73" s="215"/>
      <c r="BO73" s="199">
        <f>VLOOKUP(Table7[[#This Row],[Vlookup Store '#]],'Kiosk Stickers'!A$4:$H$538,4,FALSE)</f>
        <v>0</v>
      </c>
      <c r="BP73" s="171"/>
      <c r="BQ73" s="226"/>
      <c r="BR73" s="194"/>
      <c r="BS73" s="173"/>
      <c r="BT73" s="173"/>
      <c r="BU73" s="173"/>
      <c r="BV73" s="173"/>
      <c r="BW73" s="173">
        <f>VLOOKUP(Table7[[#This Row],[Vlookup Store '#]],'Kiosk Stickers'!A$4:$H$538,5,FALSE)</f>
        <v>1</v>
      </c>
      <c r="BX73" s="173"/>
      <c r="BY73" s="173"/>
      <c r="BZ73" s="215"/>
      <c r="CA73" s="244"/>
      <c r="CB73" s="233"/>
      <c r="CC73" s="233"/>
      <c r="CD73" s="233"/>
      <c r="CE73" s="233"/>
      <c r="CF73" s="233"/>
      <c r="CG73" s="239"/>
      <c r="CH73" s="262"/>
      <c r="CI73" s="351"/>
      <c r="CJ73" s="350"/>
      <c r="CK73" s="350"/>
      <c r="CL73" s="350"/>
      <c r="CM73" s="350"/>
      <c r="CN73" s="350"/>
      <c r="CO73" s="350"/>
      <c r="CP73" s="350">
        <v>2</v>
      </c>
      <c r="CQ73" s="364"/>
      <c r="CR73" s="370"/>
      <c r="CS73" s="367"/>
      <c r="CT73" s="367"/>
      <c r="CU73" s="367"/>
      <c r="CV73" s="367"/>
      <c r="CW73" s="387">
        <v>10</v>
      </c>
      <c r="CX73" s="398"/>
      <c r="CY73" s="399"/>
      <c r="CZ73" s="399"/>
      <c r="DA73" s="399"/>
      <c r="DB73" s="399"/>
      <c r="DC73" s="400"/>
      <c r="DD73" s="400"/>
      <c r="DE73" s="514">
        <v>1</v>
      </c>
      <c r="DF73" s="514">
        <f t="shared" si="1"/>
        <v>1</v>
      </c>
      <c r="DG73" s="144"/>
      <c r="DH73" s="143"/>
    </row>
    <row r="74" spans="1:112" x14ac:dyDescent="0.25">
      <c r="A74" s="15" t="s">
        <v>62</v>
      </c>
      <c r="B74" s="15">
        <v>812</v>
      </c>
      <c r="C74" s="15" t="s">
        <v>1288</v>
      </c>
      <c r="D74" s="15">
        <v>273</v>
      </c>
      <c r="E74" s="15" t="s">
        <v>1289</v>
      </c>
      <c r="F74" s="15" t="s">
        <v>1290</v>
      </c>
      <c r="G74" s="15" t="s">
        <v>1291</v>
      </c>
      <c r="H74" s="15" t="s">
        <v>1239</v>
      </c>
      <c r="I74" s="15" t="s">
        <v>54</v>
      </c>
      <c r="J74" s="15" t="s">
        <v>1292</v>
      </c>
      <c r="K74" s="15" t="s">
        <v>1293</v>
      </c>
      <c r="L74" s="15" t="s">
        <v>3766</v>
      </c>
      <c r="M74" s="15" t="s">
        <v>4020</v>
      </c>
      <c r="N74" s="70"/>
      <c r="O74" s="70"/>
      <c r="P74" s="70">
        <v>1500</v>
      </c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1"/>
      <c r="AH74" s="71"/>
      <c r="AI74" s="71">
        <v>10</v>
      </c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131">
        <f>VLOOKUP(Table7[[#This Row],[Vlookup Store '#]],'Kiosk Stickers'!A$4:$H$538,2,FALSE)</f>
        <v>0</v>
      </c>
      <c r="BA74" s="131"/>
      <c r="BB74" s="131"/>
      <c r="BC74" s="131"/>
      <c r="BD74" s="131"/>
      <c r="BE74" s="169"/>
      <c r="BF74" s="194"/>
      <c r="BG74" s="173"/>
      <c r="BH74" s="173"/>
      <c r="BI74" s="173"/>
      <c r="BJ74" s="173"/>
      <c r="BK74" s="173"/>
      <c r="BL74" s="173"/>
      <c r="BM74" s="173">
        <f>VLOOKUP(Table7[[#This Row],[Vlookup Store '#]],'Kiosk Stickers'!A$4:$H$538,3,FALSE)</f>
        <v>0</v>
      </c>
      <c r="BN74" s="215"/>
      <c r="BO74" s="199">
        <f>VLOOKUP(Table7[[#This Row],[Vlookup Store '#]],'Kiosk Stickers'!A$4:$H$538,4,FALSE)</f>
        <v>0</v>
      </c>
      <c r="BP74" s="171"/>
      <c r="BQ74" s="226"/>
      <c r="BR74" s="194"/>
      <c r="BS74" s="173"/>
      <c r="BT74" s="173"/>
      <c r="BU74" s="173"/>
      <c r="BV74" s="173"/>
      <c r="BW74" s="173">
        <f>VLOOKUP(Table7[[#This Row],[Vlookup Store '#]],'Kiosk Stickers'!A$4:$H$538,5,FALSE)</f>
        <v>0</v>
      </c>
      <c r="BX74" s="173"/>
      <c r="BY74" s="173"/>
      <c r="BZ74" s="215"/>
      <c r="CA74" s="244"/>
      <c r="CB74" s="233"/>
      <c r="CC74" s="233"/>
      <c r="CD74" s="233"/>
      <c r="CE74" s="233"/>
      <c r="CF74" s="233"/>
      <c r="CG74" s="239">
        <f>VLOOKUP(Table7[[#This Row],[Vlookup Store '#]],'Kiosk Stickers'!A$4:$H$538,6,FALSE)</f>
        <v>1</v>
      </c>
      <c r="CH74" s="262"/>
      <c r="CI74" s="351"/>
      <c r="CJ74" s="350"/>
      <c r="CK74" s="350"/>
      <c r="CL74" s="350"/>
      <c r="CM74" s="350"/>
      <c r="CN74" s="350"/>
      <c r="CO74" s="350"/>
      <c r="CP74" s="350">
        <v>2</v>
      </c>
      <c r="CQ74" s="364"/>
      <c r="CR74" s="370"/>
      <c r="CS74" s="367"/>
      <c r="CT74" s="367"/>
      <c r="CU74" s="367"/>
      <c r="CV74" s="367"/>
      <c r="CW74" s="387">
        <v>10</v>
      </c>
      <c r="CX74" s="398"/>
      <c r="CY74" s="399"/>
      <c r="CZ74" s="399"/>
      <c r="DA74" s="399"/>
      <c r="DB74" s="399"/>
      <c r="DC74" s="400"/>
      <c r="DD74" s="400"/>
      <c r="DE74" s="514">
        <v>1</v>
      </c>
      <c r="DF74" s="514">
        <f t="shared" si="1"/>
        <v>1</v>
      </c>
      <c r="DG74" s="144"/>
      <c r="DH74" s="143"/>
    </row>
    <row r="75" spans="1:112" x14ac:dyDescent="0.25">
      <c r="A75" s="15" t="s">
        <v>62</v>
      </c>
      <c r="B75" s="15">
        <v>812</v>
      </c>
      <c r="C75" s="15" t="s">
        <v>1294</v>
      </c>
      <c r="D75" s="15">
        <v>274</v>
      </c>
      <c r="E75" s="15" t="s">
        <v>1295</v>
      </c>
      <c r="F75" s="15" t="s">
        <v>3029</v>
      </c>
      <c r="G75" s="15" t="s">
        <v>1297</v>
      </c>
      <c r="H75" s="15" t="s">
        <v>1298</v>
      </c>
      <c r="I75" s="15" t="s">
        <v>54</v>
      </c>
      <c r="J75" s="15" t="s">
        <v>3122</v>
      </c>
      <c r="K75" s="15" t="s">
        <v>1299</v>
      </c>
      <c r="L75" s="15" t="s">
        <v>3766</v>
      </c>
      <c r="M75" s="15" t="s">
        <v>4020</v>
      </c>
      <c r="N75" s="70"/>
      <c r="O75" s="70"/>
      <c r="P75" s="70">
        <v>1500</v>
      </c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1"/>
      <c r="AH75" s="71"/>
      <c r="AI75" s="71">
        <v>10</v>
      </c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131">
        <f>VLOOKUP(Table7[[#This Row],[Vlookup Store '#]],'Kiosk Stickers'!A$4:$H$538,2,FALSE)</f>
        <v>0</v>
      </c>
      <c r="BA75" s="131"/>
      <c r="BB75" s="131"/>
      <c r="BC75" s="131"/>
      <c r="BD75" s="131"/>
      <c r="BE75" s="169"/>
      <c r="BF75" s="194"/>
      <c r="BG75" s="173"/>
      <c r="BH75" s="173"/>
      <c r="BI75" s="173"/>
      <c r="BJ75" s="173"/>
      <c r="BK75" s="173"/>
      <c r="BL75" s="173"/>
      <c r="BM75" s="173">
        <f>VLOOKUP(Table7[[#This Row],[Vlookup Store '#]],'Kiosk Stickers'!A$4:$H$538,3,FALSE)</f>
        <v>0</v>
      </c>
      <c r="BN75" s="215"/>
      <c r="BO75" s="199">
        <f>VLOOKUP(Table7[[#This Row],[Vlookup Store '#]],'Kiosk Stickers'!A$4:$H$538,4,FALSE)</f>
        <v>1</v>
      </c>
      <c r="BP75" s="171"/>
      <c r="BQ75" s="226"/>
      <c r="BR75" s="194"/>
      <c r="BS75" s="173"/>
      <c r="BT75" s="173"/>
      <c r="BU75" s="173"/>
      <c r="BV75" s="173"/>
      <c r="BW75" s="173">
        <f>VLOOKUP(Table7[[#This Row],[Vlookup Store '#]],'Kiosk Stickers'!A$4:$H$538,5,FALSE)</f>
        <v>1</v>
      </c>
      <c r="BX75" s="173"/>
      <c r="BY75" s="173"/>
      <c r="BZ75" s="215"/>
      <c r="CA75" s="244"/>
      <c r="CB75" s="233"/>
      <c r="CC75" s="233"/>
      <c r="CD75" s="233"/>
      <c r="CE75" s="233"/>
      <c r="CF75" s="233"/>
      <c r="CG75" s="239"/>
      <c r="CH75" s="262"/>
      <c r="CI75" s="351"/>
      <c r="CJ75" s="350"/>
      <c r="CK75" s="350"/>
      <c r="CL75" s="350"/>
      <c r="CM75" s="350"/>
      <c r="CN75" s="350"/>
      <c r="CO75" s="350"/>
      <c r="CP75" s="350">
        <v>2</v>
      </c>
      <c r="CQ75" s="364"/>
      <c r="CR75" s="370"/>
      <c r="CS75" s="367"/>
      <c r="CT75" s="367"/>
      <c r="CU75" s="367"/>
      <c r="CV75" s="367"/>
      <c r="CW75" s="387">
        <v>10</v>
      </c>
      <c r="CX75" s="398"/>
      <c r="CY75" s="399"/>
      <c r="CZ75" s="399"/>
      <c r="DA75" s="399"/>
      <c r="DB75" s="399"/>
      <c r="DC75" s="400"/>
      <c r="DD75" s="400"/>
      <c r="DE75" s="514">
        <v>1</v>
      </c>
      <c r="DF75" s="514">
        <f t="shared" si="1"/>
        <v>1</v>
      </c>
      <c r="DG75" s="144"/>
      <c r="DH75" s="143"/>
    </row>
    <row r="76" spans="1:112" x14ac:dyDescent="0.25">
      <c r="A76" s="15" t="s">
        <v>62</v>
      </c>
      <c r="B76" s="15">
        <v>812</v>
      </c>
      <c r="C76" s="15" t="s">
        <v>3415</v>
      </c>
      <c r="D76" s="15">
        <v>1221</v>
      </c>
      <c r="E76" s="15" t="s">
        <v>1237</v>
      </c>
      <c r="F76" s="15" t="s">
        <v>3041</v>
      </c>
      <c r="G76" s="15" t="s">
        <v>1238</v>
      </c>
      <c r="H76" s="15" t="s">
        <v>1239</v>
      </c>
      <c r="I76" s="15" t="s">
        <v>54</v>
      </c>
      <c r="J76" s="15" t="s">
        <v>3416</v>
      </c>
      <c r="K76" s="15" t="s">
        <v>1240</v>
      </c>
      <c r="L76" s="15" t="s">
        <v>3766</v>
      </c>
      <c r="M76" s="15" t="s">
        <v>4020</v>
      </c>
      <c r="N76" s="70"/>
      <c r="O76" s="70"/>
      <c r="P76" s="70">
        <v>1500</v>
      </c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1"/>
      <c r="AH76" s="71"/>
      <c r="AI76" s="71">
        <v>10</v>
      </c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131">
        <f>VLOOKUP(Table7[[#This Row],[Vlookup Store '#]],'Kiosk Stickers'!A$4:$H$538,2,FALSE)</f>
        <v>0</v>
      </c>
      <c r="BA76" s="131"/>
      <c r="BB76" s="131"/>
      <c r="BC76" s="131"/>
      <c r="BD76" s="131"/>
      <c r="BE76" s="169"/>
      <c r="BF76" s="194"/>
      <c r="BG76" s="173"/>
      <c r="BH76" s="173"/>
      <c r="BI76" s="173"/>
      <c r="BJ76" s="173"/>
      <c r="BK76" s="173"/>
      <c r="BL76" s="173"/>
      <c r="BM76" s="173">
        <f>VLOOKUP(Table7[[#This Row],[Vlookup Store '#]],'Kiosk Stickers'!A$4:$H$538,3,FALSE)</f>
        <v>1</v>
      </c>
      <c r="BN76" s="215"/>
      <c r="BO76" s="199">
        <f>VLOOKUP(Table7[[#This Row],[Vlookup Store '#]],'Kiosk Stickers'!A$4:$H$538,4,FALSE)</f>
        <v>0</v>
      </c>
      <c r="BP76" s="171"/>
      <c r="BQ76" s="226"/>
      <c r="BR76" s="184">
        <f>VLOOKUP(Table7[[#This Row],[Vlookup Store '#]],'Kiosk Stickers'!A$4:$H$538,5,FALSE)</f>
        <v>0</v>
      </c>
      <c r="BS76" s="173"/>
      <c r="BT76" s="173"/>
      <c r="BU76" s="173"/>
      <c r="BV76" s="173"/>
      <c r="BW76" s="173"/>
      <c r="BX76" s="173"/>
      <c r="BY76" s="173"/>
      <c r="BZ76" s="215"/>
      <c r="CA76" s="244"/>
      <c r="CB76" s="233"/>
      <c r="CC76" s="233"/>
      <c r="CD76" s="233"/>
      <c r="CE76" s="233"/>
      <c r="CF76" s="233"/>
      <c r="CG76" s="239"/>
      <c r="CH76" s="262"/>
      <c r="CI76" s="351"/>
      <c r="CJ76" s="350"/>
      <c r="CK76" s="350"/>
      <c r="CL76" s="350"/>
      <c r="CM76" s="350"/>
      <c r="CN76" s="350"/>
      <c r="CO76" s="350"/>
      <c r="CP76" s="350">
        <v>2</v>
      </c>
      <c r="CQ76" s="364"/>
      <c r="CR76" s="370"/>
      <c r="CS76" s="367"/>
      <c r="CT76" s="367"/>
      <c r="CU76" s="367"/>
      <c r="CV76" s="367"/>
      <c r="CW76" s="387">
        <v>10</v>
      </c>
      <c r="CX76" s="398"/>
      <c r="CY76" s="399"/>
      <c r="CZ76" s="399"/>
      <c r="DA76" s="399"/>
      <c r="DB76" s="399"/>
      <c r="DC76" s="400"/>
      <c r="DD76" s="400"/>
      <c r="DE76" s="514">
        <v>1</v>
      </c>
      <c r="DF76" s="514">
        <f t="shared" si="1"/>
        <v>1</v>
      </c>
      <c r="DG76" s="144"/>
      <c r="DH76" s="143"/>
    </row>
    <row r="77" spans="1:112" x14ac:dyDescent="0.25">
      <c r="A77" s="15" t="s">
        <v>62</v>
      </c>
      <c r="B77" s="15">
        <v>812</v>
      </c>
      <c r="C77" s="15" t="s">
        <v>3450</v>
      </c>
      <c r="D77" s="15">
        <v>1251</v>
      </c>
      <c r="E77" s="15" t="s">
        <v>1241</v>
      </c>
      <c r="F77" s="15" t="s">
        <v>1242</v>
      </c>
      <c r="G77" s="15" t="s">
        <v>1243</v>
      </c>
      <c r="H77" s="15" t="s">
        <v>1244</v>
      </c>
      <c r="I77" s="15" t="s">
        <v>54</v>
      </c>
      <c r="J77" s="15" t="s">
        <v>3451</v>
      </c>
      <c r="K77" s="15" t="s">
        <v>1245</v>
      </c>
      <c r="L77" s="15" t="s">
        <v>3766</v>
      </c>
      <c r="M77" s="15" t="s">
        <v>4020</v>
      </c>
      <c r="N77" s="70"/>
      <c r="O77" s="70"/>
      <c r="P77" s="70">
        <v>1500</v>
      </c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1"/>
      <c r="AH77" s="71"/>
      <c r="AI77" s="71">
        <v>10</v>
      </c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131">
        <f>VLOOKUP(Table7[[#This Row],[Vlookup Store '#]],'Kiosk Stickers'!A$4:$H$538,2,FALSE)</f>
        <v>1</v>
      </c>
      <c r="BA77" s="131"/>
      <c r="BB77" s="131"/>
      <c r="BC77" s="131"/>
      <c r="BD77" s="131"/>
      <c r="BE77" s="169"/>
      <c r="BF77" s="194"/>
      <c r="BG77" s="173"/>
      <c r="BH77" s="173"/>
      <c r="BI77" s="173"/>
      <c r="BJ77" s="173"/>
      <c r="BK77" s="173"/>
      <c r="BL77" s="173"/>
      <c r="BM77" s="173">
        <f>VLOOKUP(Table7[[#This Row],[Vlookup Store '#]],'Kiosk Stickers'!A$4:$H$538,3,FALSE)</f>
        <v>0</v>
      </c>
      <c r="BN77" s="215"/>
      <c r="BO77" s="199">
        <f>VLOOKUP(Table7[[#This Row],[Vlookup Store '#]],'Kiosk Stickers'!A$4:$H$538,4,FALSE)</f>
        <v>0</v>
      </c>
      <c r="BP77" s="171"/>
      <c r="BQ77" s="226"/>
      <c r="BR77" s="184">
        <f>VLOOKUP(Table7[[#This Row],[Vlookup Store '#]],'Kiosk Stickers'!A$4:$H$538,5,FALSE)</f>
        <v>0</v>
      </c>
      <c r="BS77" s="173"/>
      <c r="BT77" s="173"/>
      <c r="BU77" s="173"/>
      <c r="BV77" s="173"/>
      <c r="BW77" s="173"/>
      <c r="BX77" s="173"/>
      <c r="BY77" s="173"/>
      <c r="BZ77" s="215"/>
      <c r="CA77" s="244"/>
      <c r="CB77" s="233"/>
      <c r="CC77" s="233"/>
      <c r="CD77" s="233"/>
      <c r="CE77" s="233"/>
      <c r="CF77" s="233"/>
      <c r="CG77" s="239"/>
      <c r="CH77" s="262"/>
      <c r="CI77" s="351"/>
      <c r="CJ77" s="350"/>
      <c r="CK77" s="350"/>
      <c r="CL77" s="350"/>
      <c r="CM77" s="350"/>
      <c r="CN77" s="350"/>
      <c r="CO77" s="350"/>
      <c r="CP77" s="350">
        <v>2</v>
      </c>
      <c r="CQ77" s="364"/>
      <c r="CR77" s="370"/>
      <c r="CS77" s="367"/>
      <c r="CT77" s="367"/>
      <c r="CU77" s="367"/>
      <c r="CV77" s="367"/>
      <c r="CW77" s="387">
        <v>10</v>
      </c>
      <c r="CX77" s="398"/>
      <c r="CY77" s="399"/>
      <c r="CZ77" s="399"/>
      <c r="DA77" s="399"/>
      <c r="DB77" s="399"/>
      <c r="DC77" s="400"/>
      <c r="DD77" s="400"/>
      <c r="DE77" s="514">
        <v>1</v>
      </c>
      <c r="DF77" s="514">
        <f t="shared" si="1"/>
        <v>1</v>
      </c>
      <c r="DG77" s="144"/>
      <c r="DH77" s="143"/>
    </row>
    <row r="78" spans="1:112" x14ac:dyDescent="0.25">
      <c r="A78" s="15" t="s">
        <v>62</v>
      </c>
      <c r="B78" s="15">
        <v>832</v>
      </c>
      <c r="C78" s="15" t="s">
        <v>3649</v>
      </c>
      <c r="D78" s="15">
        <v>1901</v>
      </c>
      <c r="E78" s="15" t="s">
        <v>1246</v>
      </c>
      <c r="F78" s="15" t="s">
        <v>1296</v>
      </c>
      <c r="G78" s="15" t="s">
        <v>1247</v>
      </c>
      <c r="H78" s="15" t="s">
        <v>289</v>
      </c>
      <c r="I78" s="15" t="s">
        <v>54</v>
      </c>
      <c r="J78" s="15" t="s">
        <v>3650</v>
      </c>
      <c r="K78" s="15" t="s">
        <v>1248</v>
      </c>
      <c r="L78" s="15" t="s">
        <v>3766</v>
      </c>
      <c r="M78" s="15" t="s">
        <v>4020</v>
      </c>
      <c r="N78" s="70"/>
      <c r="O78" s="70"/>
      <c r="P78" s="70">
        <v>1500</v>
      </c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1"/>
      <c r="AH78" s="71"/>
      <c r="AI78" s="71">
        <v>10</v>
      </c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131">
        <f>VLOOKUP(Table7[[#This Row],[Vlookup Store '#]],'Kiosk Stickers'!A$4:$H$538,2,FALSE)</f>
        <v>0</v>
      </c>
      <c r="BA78" s="131"/>
      <c r="BB78" s="131"/>
      <c r="BC78" s="131"/>
      <c r="BD78" s="131"/>
      <c r="BE78" s="169"/>
      <c r="BF78" s="194"/>
      <c r="BG78" s="173"/>
      <c r="BH78" s="173"/>
      <c r="BI78" s="173"/>
      <c r="BJ78" s="173"/>
      <c r="BK78" s="173"/>
      <c r="BL78" s="173"/>
      <c r="BM78" s="173">
        <f>VLOOKUP(Table7[[#This Row],[Vlookup Store '#]],'Kiosk Stickers'!A$4:$H$538,3,FALSE)</f>
        <v>0</v>
      </c>
      <c r="BN78" s="215"/>
      <c r="BO78" s="199">
        <f>VLOOKUP(Table7[[#This Row],[Vlookup Store '#]],'Kiosk Stickers'!A$4:$H$538,4,FALSE)</f>
        <v>0</v>
      </c>
      <c r="BP78" s="171"/>
      <c r="BQ78" s="226"/>
      <c r="BR78" s="184">
        <f>VLOOKUP(Table7[[#This Row],[Vlookup Store '#]],'Kiosk Stickers'!A$4:$H$538,5,FALSE)</f>
        <v>0</v>
      </c>
      <c r="BS78" s="173"/>
      <c r="BT78" s="173"/>
      <c r="BU78" s="173"/>
      <c r="BV78" s="173"/>
      <c r="BW78" s="173"/>
      <c r="BX78" s="173"/>
      <c r="BY78" s="173"/>
      <c r="BZ78" s="215"/>
      <c r="CA78" s="244"/>
      <c r="CB78" s="233"/>
      <c r="CC78" s="233"/>
      <c r="CD78" s="233"/>
      <c r="CE78" s="233"/>
      <c r="CF78" s="233"/>
      <c r="CG78" s="239">
        <f>VLOOKUP(Table7[[#This Row],[Vlookup Store '#]],'Kiosk Stickers'!A$4:$H$538,6,FALSE)</f>
        <v>1</v>
      </c>
      <c r="CH78" s="262"/>
      <c r="CI78" s="351"/>
      <c r="CJ78" s="350"/>
      <c r="CK78" s="350"/>
      <c r="CL78" s="350"/>
      <c r="CM78" s="350"/>
      <c r="CN78" s="350"/>
      <c r="CO78" s="350"/>
      <c r="CP78" s="350">
        <v>2</v>
      </c>
      <c r="CQ78" s="364"/>
      <c r="CR78" s="370"/>
      <c r="CS78" s="367"/>
      <c r="CT78" s="367"/>
      <c r="CU78" s="367"/>
      <c r="CV78" s="367"/>
      <c r="CW78" s="387">
        <v>10</v>
      </c>
      <c r="CX78" s="398"/>
      <c r="CY78" s="399"/>
      <c r="CZ78" s="399"/>
      <c r="DA78" s="399"/>
      <c r="DB78" s="399"/>
      <c r="DC78" s="400"/>
      <c r="DD78" s="400"/>
      <c r="DE78" s="514">
        <v>1</v>
      </c>
      <c r="DF78" s="514">
        <f t="shared" si="1"/>
        <v>1</v>
      </c>
      <c r="DG78" s="144"/>
      <c r="DH78" s="143"/>
    </row>
    <row r="79" spans="1:112" x14ac:dyDescent="0.25">
      <c r="A79" s="15" t="s">
        <v>62</v>
      </c>
      <c r="B79" s="15">
        <v>832</v>
      </c>
      <c r="C79" s="15" t="s">
        <v>3651</v>
      </c>
      <c r="D79" s="15">
        <v>1902</v>
      </c>
      <c r="E79" s="15" t="s">
        <v>1249</v>
      </c>
      <c r="F79" s="15" t="s">
        <v>3048</v>
      </c>
      <c r="G79" s="15" t="s">
        <v>3005</v>
      </c>
      <c r="H79" s="15" t="s">
        <v>1250</v>
      </c>
      <c r="I79" s="15" t="s">
        <v>54</v>
      </c>
      <c r="J79" s="15" t="s">
        <v>3652</v>
      </c>
      <c r="K79" s="15" t="s">
        <v>1251</v>
      </c>
      <c r="L79" s="15" t="s">
        <v>3766</v>
      </c>
      <c r="M79" s="15" t="s">
        <v>4020</v>
      </c>
      <c r="N79" s="70"/>
      <c r="O79" s="70"/>
      <c r="P79" s="70">
        <v>1500</v>
      </c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1"/>
      <c r="AH79" s="71"/>
      <c r="AI79" s="71">
        <v>10</v>
      </c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131">
        <f>VLOOKUP(Table7[[#This Row],[Vlookup Store '#]],'Kiosk Stickers'!A$4:$H$538,2,FALSE)</f>
        <v>0</v>
      </c>
      <c r="BA79" s="131"/>
      <c r="BB79" s="131"/>
      <c r="BC79" s="131"/>
      <c r="BD79" s="131"/>
      <c r="BE79" s="169"/>
      <c r="BF79" s="194"/>
      <c r="BG79" s="173"/>
      <c r="BH79" s="173"/>
      <c r="BI79" s="173"/>
      <c r="BJ79" s="173"/>
      <c r="BK79" s="173"/>
      <c r="BL79" s="173"/>
      <c r="BM79" s="173">
        <f>VLOOKUP(Table7[[#This Row],[Vlookup Store '#]],'Kiosk Stickers'!A$4:$H$538,3,FALSE)</f>
        <v>2</v>
      </c>
      <c r="BN79" s="215"/>
      <c r="BO79" s="199">
        <f>VLOOKUP(Table7[[#This Row],[Vlookup Store '#]],'Kiosk Stickers'!A$4:$H$538,4,FALSE)</f>
        <v>0</v>
      </c>
      <c r="BP79" s="171"/>
      <c r="BQ79" s="226"/>
      <c r="BR79" s="184">
        <f>VLOOKUP(Table7[[#This Row],[Vlookup Store '#]],'Kiosk Stickers'!A$4:$H$538,5,FALSE)</f>
        <v>0</v>
      </c>
      <c r="BS79" s="173"/>
      <c r="BT79" s="173"/>
      <c r="BU79" s="173"/>
      <c r="BV79" s="173"/>
      <c r="BW79" s="173"/>
      <c r="BX79" s="173"/>
      <c r="BY79" s="173"/>
      <c r="BZ79" s="215"/>
      <c r="CA79" s="243"/>
      <c r="CB79" s="233"/>
      <c r="CC79" s="233"/>
      <c r="CD79" s="233"/>
      <c r="CE79" s="233"/>
      <c r="CF79" s="233"/>
      <c r="CG79" s="233"/>
      <c r="CH79" s="262"/>
      <c r="CI79" s="351"/>
      <c r="CJ79" s="350"/>
      <c r="CK79" s="350"/>
      <c r="CL79" s="350"/>
      <c r="CM79" s="350"/>
      <c r="CN79" s="350"/>
      <c r="CO79" s="350"/>
      <c r="CP79" s="350">
        <v>2</v>
      </c>
      <c r="CQ79" s="364"/>
      <c r="CR79" s="370"/>
      <c r="CS79" s="367"/>
      <c r="CT79" s="367"/>
      <c r="CU79" s="367"/>
      <c r="CV79" s="367"/>
      <c r="CW79" s="387">
        <v>10</v>
      </c>
      <c r="CX79" s="398"/>
      <c r="CY79" s="399"/>
      <c r="CZ79" s="399"/>
      <c r="DA79" s="399"/>
      <c r="DB79" s="399"/>
      <c r="DC79" s="400"/>
      <c r="DD79" s="400"/>
      <c r="DE79" s="514">
        <v>1</v>
      </c>
      <c r="DF79" s="514">
        <f t="shared" si="1"/>
        <v>1</v>
      </c>
      <c r="DG79" s="144"/>
      <c r="DH79" s="143"/>
    </row>
    <row r="80" spans="1:112" x14ac:dyDescent="0.25">
      <c r="A80" s="15" t="s">
        <v>62</v>
      </c>
      <c r="B80" s="15">
        <v>812</v>
      </c>
      <c r="C80" s="15" t="s">
        <v>3669</v>
      </c>
      <c r="D80" s="15">
        <v>2501</v>
      </c>
      <c r="E80" s="15" t="s">
        <v>1255</v>
      </c>
      <c r="F80" s="15" t="s">
        <v>3004</v>
      </c>
      <c r="G80" s="15" t="s">
        <v>1257</v>
      </c>
      <c r="H80" s="15" t="s">
        <v>1258</v>
      </c>
      <c r="I80" s="15" t="s">
        <v>54</v>
      </c>
      <c r="J80" s="15" t="s">
        <v>3670</v>
      </c>
      <c r="K80" s="15" t="s">
        <v>1259</v>
      </c>
      <c r="L80" s="15" t="s">
        <v>3766</v>
      </c>
      <c r="M80" s="15" t="s">
        <v>4020</v>
      </c>
      <c r="N80" s="70"/>
      <c r="O80" s="70"/>
      <c r="P80" s="70">
        <v>1500</v>
      </c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1"/>
      <c r="AH80" s="71"/>
      <c r="AI80" s="71">
        <v>10</v>
      </c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131">
        <f>VLOOKUP(Table7[[#This Row],[Vlookup Store '#]],'Kiosk Stickers'!A$4:$H$538,2,FALSE)</f>
        <v>1</v>
      </c>
      <c r="BA80" s="131"/>
      <c r="BB80" s="131"/>
      <c r="BC80" s="131"/>
      <c r="BD80" s="131"/>
      <c r="BE80" s="169"/>
      <c r="BF80" s="184">
        <f>VLOOKUP(Table7[[#This Row],[Vlookup Store '#]],'Kiosk Stickers'!A$4:$H$538,3,FALSE)</f>
        <v>0</v>
      </c>
      <c r="BG80" s="173"/>
      <c r="BH80" s="173"/>
      <c r="BI80" s="173"/>
      <c r="BJ80" s="173"/>
      <c r="BK80" s="173"/>
      <c r="BL80" s="173"/>
      <c r="BM80" s="173"/>
      <c r="BN80" s="215"/>
      <c r="BO80" s="199">
        <f>VLOOKUP(Table7[[#This Row],[Vlookup Store '#]],'Kiosk Stickers'!A$4:$H$538,4,FALSE)</f>
        <v>0</v>
      </c>
      <c r="BP80" s="171"/>
      <c r="BQ80" s="226"/>
      <c r="BR80" s="184">
        <f>VLOOKUP(Table7[[#This Row],[Vlookup Store '#]],'Kiosk Stickers'!A$4:$H$538,5,FALSE)</f>
        <v>0</v>
      </c>
      <c r="BS80" s="173"/>
      <c r="BT80" s="173"/>
      <c r="BU80" s="173"/>
      <c r="BV80" s="173"/>
      <c r="BW80" s="173"/>
      <c r="BX80" s="173"/>
      <c r="BY80" s="173"/>
      <c r="BZ80" s="215"/>
      <c r="CA80" s="243"/>
      <c r="CB80" s="233"/>
      <c r="CC80" s="233"/>
      <c r="CD80" s="233"/>
      <c r="CE80" s="233"/>
      <c r="CF80" s="233"/>
      <c r="CG80" s="233"/>
      <c r="CH80" s="262"/>
      <c r="CI80" s="351"/>
      <c r="CJ80" s="350"/>
      <c r="CK80" s="350"/>
      <c r="CL80" s="350"/>
      <c r="CM80" s="350"/>
      <c r="CN80" s="350"/>
      <c r="CO80" s="350"/>
      <c r="CP80" s="350">
        <v>2</v>
      </c>
      <c r="CQ80" s="364"/>
      <c r="CR80" s="370"/>
      <c r="CS80" s="367"/>
      <c r="CT80" s="367"/>
      <c r="CU80" s="367"/>
      <c r="CV80" s="367"/>
      <c r="CW80" s="387">
        <v>10</v>
      </c>
      <c r="CX80" s="398"/>
      <c r="CY80" s="399"/>
      <c r="CZ80" s="399"/>
      <c r="DA80" s="399"/>
      <c r="DB80" s="399"/>
      <c r="DC80" s="400"/>
      <c r="DD80" s="400"/>
      <c r="DE80" s="514">
        <v>1</v>
      </c>
      <c r="DF80" s="514">
        <f t="shared" si="1"/>
        <v>1</v>
      </c>
      <c r="DG80" s="144"/>
      <c r="DH80" s="143"/>
    </row>
    <row r="81" spans="1:112" x14ac:dyDescent="0.25">
      <c r="A81" s="15" t="s">
        <v>237</v>
      </c>
      <c r="B81" s="15">
        <v>813</v>
      </c>
      <c r="C81" s="15" t="s">
        <v>1386</v>
      </c>
      <c r="D81" s="15">
        <v>264</v>
      </c>
      <c r="E81" s="15" t="s">
        <v>1387</v>
      </c>
      <c r="F81" s="15" t="s">
        <v>1388</v>
      </c>
      <c r="G81" s="15" t="s">
        <v>1389</v>
      </c>
      <c r="H81" s="15" t="s">
        <v>1390</v>
      </c>
      <c r="I81" s="15" t="s">
        <v>241</v>
      </c>
      <c r="J81" s="15" t="s">
        <v>1391</v>
      </c>
      <c r="K81" s="15" t="s">
        <v>1392</v>
      </c>
      <c r="L81" s="15" t="s">
        <v>3844</v>
      </c>
      <c r="M81" s="15" t="s">
        <v>3845</v>
      </c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>
        <v>1500</v>
      </c>
      <c r="Y81" s="70"/>
      <c r="Z81" s="70"/>
      <c r="AA81" s="70"/>
      <c r="AB81" s="70"/>
      <c r="AC81" s="70"/>
      <c r="AD81" s="70"/>
      <c r="AE81" s="70"/>
      <c r="AF81" s="70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>
        <v>10</v>
      </c>
      <c r="AR81" s="71"/>
      <c r="AS81" s="71"/>
      <c r="AT81" s="71"/>
      <c r="AU81" s="71"/>
      <c r="AV81" s="71"/>
      <c r="AW81" s="71"/>
      <c r="AX81" s="71"/>
      <c r="AY81" s="71"/>
      <c r="AZ81" s="131">
        <f>VLOOKUP(Table7[[#This Row],[Vlookup Store '#]],'Kiosk Stickers'!A$4:$H$538,2,FALSE)</f>
        <v>0</v>
      </c>
      <c r="BA81" s="131"/>
      <c r="BB81" s="131"/>
      <c r="BC81" s="131"/>
      <c r="BD81" s="131"/>
      <c r="BE81" s="169"/>
      <c r="BF81" s="184">
        <f>VLOOKUP(Table7[[#This Row],[Vlookup Store '#]],'Kiosk Stickers'!A$4:$H$538,3,FALSE)</f>
        <v>0</v>
      </c>
      <c r="BG81" s="173"/>
      <c r="BH81" s="173"/>
      <c r="BI81" s="173"/>
      <c r="BJ81" s="173"/>
      <c r="BK81" s="173"/>
      <c r="BL81" s="173"/>
      <c r="BM81" s="173"/>
      <c r="BN81" s="215"/>
      <c r="BO81" s="199">
        <f>VLOOKUP(Table7[[#This Row],[Vlookup Store '#]],'Kiosk Stickers'!A$4:$H$538,4,FALSE)</f>
        <v>0</v>
      </c>
      <c r="BP81" s="171"/>
      <c r="BQ81" s="226"/>
      <c r="BR81" s="194"/>
      <c r="BS81" s="173">
        <f>VLOOKUP(Table7[[#This Row],[Vlookup Store '#]],'Kiosk Stickers'!A$4:$H$538,5,FALSE)</f>
        <v>1</v>
      </c>
      <c r="BT81" s="173"/>
      <c r="BU81" s="173"/>
      <c r="BV81" s="173"/>
      <c r="BW81" s="173"/>
      <c r="BX81" s="173"/>
      <c r="BY81" s="173"/>
      <c r="BZ81" s="215"/>
      <c r="CA81" s="243"/>
      <c r="CB81" s="233"/>
      <c r="CC81" s="233"/>
      <c r="CD81" s="233"/>
      <c r="CE81" s="233"/>
      <c r="CF81" s="233"/>
      <c r="CG81" s="233"/>
      <c r="CH81" s="262"/>
      <c r="CI81" s="351"/>
      <c r="CJ81" s="350"/>
      <c r="CK81" s="350">
        <v>2</v>
      </c>
      <c r="CL81" s="350"/>
      <c r="CM81" s="350"/>
      <c r="CN81" s="350"/>
      <c r="CO81" s="350"/>
      <c r="CP81" s="350"/>
      <c r="CQ81" s="364"/>
      <c r="CR81" s="370"/>
      <c r="CS81" s="367"/>
      <c r="CT81" s="367">
        <v>10</v>
      </c>
      <c r="CU81" s="367"/>
      <c r="CV81" s="367"/>
      <c r="CW81" s="387"/>
      <c r="CX81" s="398"/>
      <c r="CY81" s="399"/>
      <c r="CZ81" s="399">
        <v>1</v>
      </c>
      <c r="DA81" s="399"/>
      <c r="DB81" s="399"/>
      <c r="DC81" s="400"/>
      <c r="DD81" s="400"/>
      <c r="DE81" s="514"/>
      <c r="DF81" s="514">
        <f t="shared" si="1"/>
        <v>1</v>
      </c>
      <c r="DG81" s="144"/>
      <c r="DH81" s="143"/>
    </row>
    <row r="82" spans="1:112" x14ac:dyDescent="0.25">
      <c r="A82" s="15" t="s">
        <v>237</v>
      </c>
      <c r="B82" s="15">
        <v>813</v>
      </c>
      <c r="C82" s="15" t="s">
        <v>1423</v>
      </c>
      <c r="D82" s="15">
        <v>270</v>
      </c>
      <c r="E82" s="15" t="s">
        <v>1424</v>
      </c>
      <c r="F82" s="15" t="s">
        <v>1425</v>
      </c>
      <c r="G82" s="15" t="s">
        <v>1426</v>
      </c>
      <c r="H82" s="15" t="s">
        <v>1420</v>
      </c>
      <c r="I82" s="15" t="s">
        <v>241</v>
      </c>
      <c r="J82" s="15" t="s">
        <v>1427</v>
      </c>
      <c r="K82" s="15" t="s">
        <v>1428</v>
      </c>
      <c r="L82" s="15" t="s">
        <v>3844</v>
      </c>
      <c r="M82" s="15" t="s">
        <v>3845</v>
      </c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>
        <v>1500</v>
      </c>
      <c r="Y82" s="70"/>
      <c r="Z82" s="70"/>
      <c r="AA82" s="70"/>
      <c r="AB82" s="70"/>
      <c r="AC82" s="70"/>
      <c r="AD82" s="70"/>
      <c r="AE82" s="70"/>
      <c r="AF82" s="70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>
        <v>10</v>
      </c>
      <c r="AR82" s="71"/>
      <c r="AS82" s="71"/>
      <c r="AT82" s="71"/>
      <c r="AU82" s="71"/>
      <c r="AV82" s="71"/>
      <c r="AW82" s="71"/>
      <c r="AX82" s="71"/>
      <c r="AY82" s="71"/>
      <c r="AZ82" s="131">
        <f>VLOOKUP(Table7[[#This Row],[Vlookup Store '#]],'Kiosk Stickers'!A$4:$H$538,2,FALSE)</f>
        <v>0</v>
      </c>
      <c r="BA82" s="131"/>
      <c r="BB82" s="131"/>
      <c r="BC82" s="131"/>
      <c r="BD82" s="131"/>
      <c r="BE82" s="169"/>
      <c r="BF82" s="184">
        <f>VLOOKUP(Table7[[#This Row],[Vlookup Store '#]],'Kiosk Stickers'!A$4:$H$538,3,FALSE)</f>
        <v>0</v>
      </c>
      <c r="BG82" s="173"/>
      <c r="BH82" s="173"/>
      <c r="BI82" s="173"/>
      <c r="BJ82" s="173"/>
      <c r="BK82" s="173"/>
      <c r="BL82" s="173"/>
      <c r="BM82" s="173"/>
      <c r="BN82" s="215"/>
      <c r="BO82" s="199">
        <f>VLOOKUP(Table7[[#This Row],[Vlookup Store '#]],'Kiosk Stickers'!A$4:$H$538,4,FALSE)</f>
        <v>0</v>
      </c>
      <c r="BP82" s="171"/>
      <c r="BQ82" s="226"/>
      <c r="BR82" s="194"/>
      <c r="BS82" s="173">
        <f>VLOOKUP(Table7[[#This Row],[Vlookup Store '#]],'Kiosk Stickers'!A$4:$H$538,5,FALSE)</f>
        <v>2</v>
      </c>
      <c r="BT82" s="173"/>
      <c r="BU82" s="173"/>
      <c r="BV82" s="173"/>
      <c r="BW82" s="173"/>
      <c r="BX82" s="173"/>
      <c r="BY82" s="173"/>
      <c r="BZ82" s="215"/>
      <c r="CA82" s="243"/>
      <c r="CB82" s="233"/>
      <c r="CC82" s="233"/>
      <c r="CD82" s="233"/>
      <c r="CE82" s="233"/>
      <c r="CF82" s="233"/>
      <c r="CG82" s="233"/>
      <c r="CH82" s="262"/>
      <c r="CI82" s="351"/>
      <c r="CJ82" s="350"/>
      <c r="CK82" s="350">
        <v>2</v>
      </c>
      <c r="CL82" s="350"/>
      <c r="CM82" s="350"/>
      <c r="CN82" s="350"/>
      <c r="CO82" s="350"/>
      <c r="CP82" s="350"/>
      <c r="CQ82" s="364"/>
      <c r="CR82" s="370"/>
      <c r="CS82" s="367"/>
      <c r="CT82" s="367">
        <v>10</v>
      </c>
      <c r="CU82" s="367"/>
      <c r="CV82" s="367"/>
      <c r="CW82" s="387"/>
      <c r="CX82" s="398"/>
      <c r="CY82" s="399"/>
      <c r="CZ82" s="399">
        <v>1</v>
      </c>
      <c r="DA82" s="399"/>
      <c r="DB82" s="399"/>
      <c r="DC82" s="400"/>
      <c r="DD82" s="400"/>
      <c r="DE82" s="514"/>
      <c r="DF82" s="514">
        <f t="shared" si="1"/>
        <v>1</v>
      </c>
      <c r="DG82" s="144"/>
      <c r="DH82" s="143"/>
    </row>
    <row r="83" spans="1:112" x14ac:dyDescent="0.25">
      <c r="A83" s="15" t="s">
        <v>181</v>
      </c>
      <c r="B83" s="15">
        <v>801</v>
      </c>
      <c r="C83" s="15" t="s">
        <v>3535</v>
      </c>
      <c r="D83" s="15">
        <v>1484</v>
      </c>
      <c r="E83" s="15" t="s">
        <v>1429</v>
      </c>
      <c r="F83" s="15" t="s">
        <v>1430</v>
      </c>
      <c r="G83" s="15" t="s">
        <v>1431</v>
      </c>
      <c r="H83" s="15" t="s">
        <v>1432</v>
      </c>
      <c r="I83" s="15" t="s">
        <v>186</v>
      </c>
      <c r="J83" s="15" t="s">
        <v>3536</v>
      </c>
      <c r="K83" s="15" t="s">
        <v>1433</v>
      </c>
      <c r="L83" s="15" t="s">
        <v>3737</v>
      </c>
      <c r="M83" s="15" t="s">
        <v>4013</v>
      </c>
      <c r="N83" s="70"/>
      <c r="O83" s="70"/>
      <c r="P83" s="70"/>
      <c r="Q83" s="70">
        <v>1500</v>
      </c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1"/>
      <c r="AH83" s="71"/>
      <c r="AI83" s="71"/>
      <c r="AJ83" s="71">
        <v>10</v>
      </c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131">
        <f>VLOOKUP(Table7[[#This Row],[Vlookup Store '#]],'Kiosk Stickers'!A$4:$H$538,2,FALSE)</f>
        <v>0</v>
      </c>
      <c r="BA83" s="131"/>
      <c r="BB83" s="131"/>
      <c r="BC83" s="131"/>
      <c r="BD83" s="131"/>
      <c r="BE83" s="169"/>
      <c r="BF83" s="194"/>
      <c r="BG83" s="173"/>
      <c r="BH83" s="173"/>
      <c r="BI83" s="173"/>
      <c r="BJ83" s="173">
        <f>VLOOKUP(Table7[[#This Row],[Vlookup Store '#]],'Kiosk Stickers'!A$4:$H$538,3,FALSE)</f>
        <v>2</v>
      </c>
      <c r="BK83" s="173"/>
      <c r="BL83" s="173"/>
      <c r="BM83" s="173"/>
      <c r="BN83" s="215"/>
      <c r="BO83" s="199">
        <f>VLOOKUP(Table7[[#This Row],[Vlookup Store '#]],'Kiosk Stickers'!A$4:$H$538,4,FALSE)</f>
        <v>0</v>
      </c>
      <c r="BP83" s="171"/>
      <c r="BQ83" s="226"/>
      <c r="BR83" s="184">
        <f>VLOOKUP(Table7[[#This Row],[Vlookup Store '#]],'Kiosk Stickers'!A$4:$H$538,5,FALSE)</f>
        <v>0</v>
      </c>
      <c r="BS83" s="173"/>
      <c r="BT83" s="173"/>
      <c r="BU83" s="173"/>
      <c r="BV83" s="173"/>
      <c r="BW83" s="173"/>
      <c r="BX83" s="173"/>
      <c r="BY83" s="173"/>
      <c r="BZ83" s="215"/>
      <c r="CA83" s="243"/>
      <c r="CB83" s="233"/>
      <c r="CC83" s="233"/>
      <c r="CD83" s="233"/>
      <c r="CE83" s="233"/>
      <c r="CF83" s="233"/>
      <c r="CG83" s="233"/>
      <c r="CH83" s="262"/>
      <c r="CI83" s="351"/>
      <c r="CJ83" s="350"/>
      <c r="CK83" s="350"/>
      <c r="CL83" s="350"/>
      <c r="CM83" s="350">
        <v>2</v>
      </c>
      <c r="CN83" s="350"/>
      <c r="CO83" s="350"/>
      <c r="CP83" s="350"/>
      <c r="CQ83" s="364"/>
      <c r="CR83" s="370"/>
      <c r="CS83" s="367"/>
      <c r="CT83" s="367"/>
      <c r="CU83" s="367">
        <v>10</v>
      </c>
      <c r="CV83" s="367"/>
      <c r="CW83" s="387"/>
      <c r="CX83" s="398"/>
      <c r="CY83" s="399"/>
      <c r="CZ83" s="399"/>
      <c r="DA83" s="399">
        <v>1</v>
      </c>
      <c r="DB83" s="399"/>
      <c r="DC83" s="400"/>
      <c r="DD83" s="400"/>
      <c r="DE83" s="514"/>
      <c r="DF83" s="514">
        <f t="shared" si="1"/>
        <v>1</v>
      </c>
      <c r="DG83" s="144"/>
      <c r="DH83" s="143"/>
    </row>
    <row r="84" spans="1:112" x14ac:dyDescent="0.25">
      <c r="A84" s="15" t="s">
        <v>181</v>
      </c>
      <c r="B84" s="15">
        <v>801</v>
      </c>
      <c r="C84" s="15" t="s">
        <v>3602</v>
      </c>
      <c r="D84" s="15">
        <v>1723</v>
      </c>
      <c r="E84" s="15" t="s">
        <v>1434</v>
      </c>
      <c r="F84" s="15" t="s">
        <v>1435</v>
      </c>
      <c r="G84" s="15" t="s">
        <v>1436</v>
      </c>
      <c r="H84" s="15" t="s">
        <v>1432</v>
      </c>
      <c r="I84" s="15" t="s">
        <v>186</v>
      </c>
      <c r="J84" s="15" t="s">
        <v>3536</v>
      </c>
      <c r="K84" s="15" t="s">
        <v>1437</v>
      </c>
      <c r="L84" s="15" t="s">
        <v>3737</v>
      </c>
      <c r="M84" s="15" t="s">
        <v>4013</v>
      </c>
      <c r="N84" s="70"/>
      <c r="O84" s="70"/>
      <c r="P84" s="70"/>
      <c r="Q84" s="70">
        <v>1500</v>
      </c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1"/>
      <c r="AH84" s="71"/>
      <c r="AI84" s="71"/>
      <c r="AJ84" s="71">
        <v>10</v>
      </c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131">
        <f>VLOOKUP(Table7[[#This Row],[Vlookup Store '#]],'Kiosk Stickers'!A$4:$H$538,2,FALSE)</f>
        <v>0</v>
      </c>
      <c r="BA84" s="131"/>
      <c r="BB84" s="131"/>
      <c r="BC84" s="131"/>
      <c r="BD84" s="131"/>
      <c r="BE84" s="169"/>
      <c r="BF84" s="194"/>
      <c r="BG84" s="173"/>
      <c r="BH84" s="173"/>
      <c r="BI84" s="173"/>
      <c r="BJ84" s="173">
        <f>VLOOKUP(Table7[[#This Row],[Vlookup Store '#]],'Kiosk Stickers'!A$4:$H$538,3,FALSE)</f>
        <v>1</v>
      </c>
      <c r="BK84" s="173"/>
      <c r="BL84" s="173"/>
      <c r="BM84" s="173"/>
      <c r="BN84" s="215"/>
      <c r="BO84" s="199">
        <f>VLOOKUP(Table7[[#This Row],[Vlookup Store '#]],'Kiosk Stickers'!A$4:$H$538,4,FALSE)</f>
        <v>0</v>
      </c>
      <c r="BP84" s="171"/>
      <c r="BQ84" s="226"/>
      <c r="BR84" s="184">
        <f>VLOOKUP(Table7[[#This Row],[Vlookup Store '#]],'Kiosk Stickers'!A$4:$H$538,5,FALSE)</f>
        <v>0</v>
      </c>
      <c r="BS84" s="173"/>
      <c r="BT84" s="173"/>
      <c r="BU84" s="173"/>
      <c r="BV84" s="173"/>
      <c r="BW84" s="173"/>
      <c r="BX84" s="173"/>
      <c r="BY84" s="173"/>
      <c r="BZ84" s="215"/>
      <c r="CA84" s="243"/>
      <c r="CB84" s="233"/>
      <c r="CC84" s="233"/>
      <c r="CD84" s="233"/>
      <c r="CE84" s="233"/>
      <c r="CF84" s="233"/>
      <c r="CG84" s="233"/>
      <c r="CH84" s="262"/>
      <c r="CI84" s="351"/>
      <c r="CJ84" s="350"/>
      <c r="CK84" s="350"/>
      <c r="CL84" s="350"/>
      <c r="CM84" s="350">
        <v>2</v>
      </c>
      <c r="CN84" s="350"/>
      <c r="CO84" s="350"/>
      <c r="CP84" s="350"/>
      <c r="CQ84" s="364"/>
      <c r="CR84" s="370"/>
      <c r="CS84" s="367"/>
      <c r="CT84" s="367"/>
      <c r="CU84" s="367">
        <v>10</v>
      </c>
      <c r="CV84" s="367"/>
      <c r="CW84" s="387"/>
      <c r="CX84" s="398"/>
      <c r="CY84" s="399"/>
      <c r="CZ84" s="399"/>
      <c r="DA84" s="399">
        <v>1</v>
      </c>
      <c r="DB84" s="399"/>
      <c r="DC84" s="400"/>
      <c r="DD84" s="400"/>
      <c r="DE84" s="514"/>
      <c r="DF84" s="514">
        <f t="shared" si="1"/>
        <v>1</v>
      </c>
      <c r="DG84" s="144"/>
      <c r="DH84" s="143"/>
    </row>
    <row r="85" spans="1:112" x14ac:dyDescent="0.25">
      <c r="A85" s="15" t="s">
        <v>188</v>
      </c>
      <c r="B85" s="15">
        <v>801</v>
      </c>
      <c r="C85" s="15" t="s">
        <v>189</v>
      </c>
      <c r="D85" s="15">
        <v>730</v>
      </c>
      <c r="E85" s="15" t="s">
        <v>190</v>
      </c>
      <c r="F85" s="15" t="s">
        <v>1503</v>
      </c>
      <c r="G85" s="15" t="s">
        <v>191</v>
      </c>
      <c r="H85" s="15" t="s">
        <v>192</v>
      </c>
      <c r="I85" s="15" t="s">
        <v>186</v>
      </c>
      <c r="J85" s="15" t="s">
        <v>3261</v>
      </c>
      <c r="K85" s="15" t="s">
        <v>193</v>
      </c>
      <c r="L85" s="15" t="s">
        <v>3737</v>
      </c>
      <c r="M85" s="15" t="s">
        <v>3739</v>
      </c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>
        <v>1500</v>
      </c>
      <c r="AA85" s="70"/>
      <c r="AB85" s="70"/>
      <c r="AC85" s="70"/>
      <c r="AD85" s="70"/>
      <c r="AE85" s="70"/>
      <c r="AF85" s="70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>
        <v>10</v>
      </c>
      <c r="AT85" s="71"/>
      <c r="AU85" s="71"/>
      <c r="AV85" s="71"/>
      <c r="AW85" s="71"/>
      <c r="AX85" s="71"/>
      <c r="AY85" s="71"/>
      <c r="AZ85" s="131">
        <f>VLOOKUP(Table7[[#This Row],[Vlookup Store '#]],'Kiosk Stickers'!A$4:$H$538,2,FALSE)</f>
        <v>0</v>
      </c>
      <c r="BA85" s="131"/>
      <c r="BB85" s="131"/>
      <c r="BC85" s="131"/>
      <c r="BD85" s="131"/>
      <c r="BE85" s="169"/>
      <c r="BF85" s="194"/>
      <c r="BG85" s="173"/>
      <c r="BH85" s="173"/>
      <c r="BI85" s="173">
        <f>VLOOKUP(Table7[[#This Row],[Vlookup Store '#]],'Kiosk Stickers'!A$4:$H$538,3,FALSE)</f>
        <v>2</v>
      </c>
      <c r="BJ85" s="173"/>
      <c r="BK85" s="173"/>
      <c r="BL85" s="173"/>
      <c r="BM85" s="173"/>
      <c r="BN85" s="215"/>
      <c r="BO85" s="199">
        <f>VLOOKUP(Table7[[#This Row],[Vlookup Store '#]],'Kiosk Stickers'!A$4:$H$538,4,FALSE)</f>
        <v>0</v>
      </c>
      <c r="BP85" s="171"/>
      <c r="BQ85" s="226"/>
      <c r="BR85" s="184">
        <f>VLOOKUP(Table7[[#This Row],[Vlookup Store '#]],'Kiosk Stickers'!A$4:$H$538,5,FALSE)</f>
        <v>0</v>
      </c>
      <c r="BS85" s="173"/>
      <c r="BT85" s="173"/>
      <c r="BU85" s="173"/>
      <c r="BV85" s="173"/>
      <c r="BW85" s="173"/>
      <c r="BX85" s="173"/>
      <c r="BY85" s="173"/>
      <c r="BZ85" s="215"/>
      <c r="CA85" s="243"/>
      <c r="CB85" s="233"/>
      <c r="CC85" s="233"/>
      <c r="CD85" s="233"/>
      <c r="CE85" s="233"/>
      <c r="CF85" s="233"/>
      <c r="CG85" s="233"/>
      <c r="CH85" s="262"/>
      <c r="CI85" s="351"/>
      <c r="CJ85" s="350"/>
      <c r="CK85" s="350"/>
      <c r="CL85" s="350">
        <v>2</v>
      </c>
      <c r="CM85" s="350"/>
      <c r="CN85" s="350"/>
      <c r="CO85" s="350"/>
      <c r="CP85" s="350"/>
      <c r="CQ85" s="364"/>
      <c r="CR85" s="370"/>
      <c r="CS85" s="367"/>
      <c r="CT85" s="367"/>
      <c r="CU85" s="367">
        <v>10</v>
      </c>
      <c r="CV85" s="367"/>
      <c r="CW85" s="387"/>
      <c r="CX85" s="398"/>
      <c r="CY85" s="399"/>
      <c r="CZ85" s="399"/>
      <c r="DA85" s="399"/>
      <c r="DB85" s="399">
        <v>1</v>
      </c>
      <c r="DC85" s="400"/>
      <c r="DD85" s="400"/>
      <c r="DE85" s="514"/>
      <c r="DF85" s="514">
        <f t="shared" si="1"/>
        <v>1</v>
      </c>
      <c r="DG85" s="144"/>
      <c r="DH85" s="143"/>
    </row>
    <row r="86" spans="1:112" x14ac:dyDescent="0.25">
      <c r="A86" s="15" t="s">
        <v>188</v>
      </c>
      <c r="B86" s="15">
        <v>801</v>
      </c>
      <c r="C86" s="15" t="s">
        <v>1504</v>
      </c>
      <c r="D86" s="15">
        <v>731</v>
      </c>
      <c r="E86" s="15" t="s">
        <v>1505</v>
      </c>
      <c r="F86" s="15" t="s">
        <v>3262</v>
      </c>
      <c r="G86" s="15" t="s">
        <v>1506</v>
      </c>
      <c r="H86" s="15" t="s">
        <v>1489</v>
      </c>
      <c r="I86" s="15" t="s">
        <v>186</v>
      </c>
      <c r="J86" s="15" t="s">
        <v>3263</v>
      </c>
      <c r="K86" s="15" t="s">
        <v>1507</v>
      </c>
      <c r="L86" s="15" t="s">
        <v>3737</v>
      </c>
      <c r="M86" s="15" t="s">
        <v>3739</v>
      </c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>
        <v>1500</v>
      </c>
      <c r="AA86" s="70"/>
      <c r="AB86" s="70"/>
      <c r="AC86" s="70"/>
      <c r="AD86" s="70"/>
      <c r="AE86" s="70"/>
      <c r="AF86" s="70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>
        <v>10</v>
      </c>
      <c r="AT86" s="71"/>
      <c r="AU86" s="71"/>
      <c r="AV86" s="71"/>
      <c r="AW86" s="71"/>
      <c r="AX86" s="71"/>
      <c r="AY86" s="71"/>
      <c r="AZ86" s="131">
        <f>VLOOKUP(Table7[[#This Row],[Vlookup Store '#]],'Kiosk Stickers'!A$4:$H$538,2,FALSE)</f>
        <v>0</v>
      </c>
      <c r="BA86" s="131"/>
      <c r="BB86" s="131"/>
      <c r="BC86" s="131"/>
      <c r="BD86" s="131"/>
      <c r="BE86" s="169"/>
      <c r="BF86" s="194"/>
      <c r="BG86" s="173"/>
      <c r="BH86" s="173"/>
      <c r="BI86" s="173">
        <f>VLOOKUP(Table7[[#This Row],[Vlookup Store '#]],'Kiosk Stickers'!A$4:$H$538,3,FALSE)</f>
        <v>2</v>
      </c>
      <c r="BJ86" s="173"/>
      <c r="BK86" s="173"/>
      <c r="BL86" s="173"/>
      <c r="BM86" s="173"/>
      <c r="BN86" s="215"/>
      <c r="BO86" s="199">
        <f>VLOOKUP(Table7[[#This Row],[Vlookup Store '#]],'Kiosk Stickers'!A$4:$H$538,4,FALSE)</f>
        <v>0</v>
      </c>
      <c r="BP86" s="171"/>
      <c r="BQ86" s="226"/>
      <c r="BR86" s="184">
        <f>VLOOKUP(Table7[[#This Row],[Vlookup Store '#]],'Kiosk Stickers'!A$4:$H$538,5,FALSE)</f>
        <v>0</v>
      </c>
      <c r="BS86" s="173"/>
      <c r="BT86" s="173"/>
      <c r="BU86" s="173"/>
      <c r="BV86" s="173"/>
      <c r="BW86" s="173"/>
      <c r="BX86" s="173"/>
      <c r="BY86" s="173"/>
      <c r="BZ86" s="215"/>
      <c r="CA86" s="243"/>
      <c r="CB86" s="233"/>
      <c r="CC86" s="233"/>
      <c r="CD86" s="233"/>
      <c r="CE86" s="233"/>
      <c r="CF86" s="233"/>
      <c r="CG86" s="233"/>
      <c r="CH86" s="262"/>
      <c r="CI86" s="351"/>
      <c r="CJ86" s="350"/>
      <c r="CK86" s="350"/>
      <c r="CL86" s="350">
        <v>2</v>
      </c>
      <c r="CM86" s="350"/>
      <c r="CN86" s="350"/>
      <c r="CO86" s="350"/>
      <c r="CP86" s="350"/>
      <c r="CQ86" s="364"/>
      <c r="CR86" s="370"/>
      <c r="CS86" s="367"/>
      <c r="CT86" s="367"/>
      <c r="CU86" s="367">
        <v>10</v>
      </c>
      <c r="CV86" s="367"/>
      <c r="CW86" s="387"/>
      <c r="CX86" s="398"/>
      <c r="CY86" s="399"/>
      <c r="CZ86" s="399"/>
      <c r="DA86" s="399"/>
      <c r="DB86" s="399">
        <v>1</v>
      </c>
      <c r="DC86" s="400"/>
      <c r="DD86" s="400"/>
      <c r="DE86" s="514"/>
      <c r="DF86" s="514">
        <f t="shared" si="1"/>
        <v>1</v>
      </c>
      <c r="DG86" s="144"/>
      <c r="DH86" s="143"/>
    </row>
    <row r="87" spans="1:112" x14ac:dyDescent="0.25">
      <c r="A87" s="15" t="s">
        <v>188</v>
      </c>
      <c r="B87" s="15">
        <v>801</v>
      </c>
      <c r="C87" s="15" t="s">
        <v>1508</v>
      </c>
      <c r="D87" s="15">
        <v>733</v>
      </c>
      <c r="E87" s="15" t="s">
        <v>1509</v>
      </c>
      <c r="F87" s="15" t="s">
        <v>1510</v>
      </c>
      <c r="G87" s="15" t="s">
        <v>1511</v>
      </c>
      <c r="H87" s="15" t="s">
        <v>1512</v>
      </c>
      <c r="I87" s="15" t="s">
        <v>186</v>
      </c>
      <c r="J87" s="15" t="s">
        <v>3264</v>
      </c>
      <c r="K87" s="15" t="s">
        <v>1513</v>
      </c>
      <c r="L87" s="15" t="s">
        <v>3737</v>
      </c>
      <c r="M87" s="15" t="s">
        <v>3739</v>
      </c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>
        <v>1500</v>
      </c>
      <c r="AA87" s="70"/>
      <c r="AB87" s="70"/>
      <c r="AC87" s="70"/>
      <c r="AD87" s="70"/>
      <c r="AE87" s="70"/>
      <c r="AF87" s="70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>
        <v>10</v>
      </c>
      <c r="AT87" s="71"/>
      <c r="AU87" s="71"/>
      <c r="AV87" s="71"/>
      <c r="AW87" s="71"/>
      <c r="AX87" s="71"/>
      <c r="AY87" s="71"/>
      <c r="AZ87" s="131">
        <f>VLOOKUP(Table7[[#This Row],[Vlookup Store '#]],'Kiosk Stickers'!A$4:$H$538,2,FALSE)</f>
        <v>0</v>
      </c>
      <c r="BA87" s="131"/>
      <c r="BB87" s="131"/>
      <c r="BC87" s="131"/>
      <c r="BD87" s="131"/>
      <c r="BE87" s="169"/>
      <c r="BF87" s="194"/>
      <c r="BG87" s="173"/>
      <c r="BH87" s="173"/>
      <c r="BI87" s="173">
        <f>VLOOKUP(Table7[[#This Row],[Vlookup Store '#]],'Kiosk Stickers'!A$4:$H$538,3,FALSE)</f>
        <v>0</v>
      </c>
      <c r="BJ87" s="173"/>
      <c r="BK87" s="173"/>
      <c r="BL87" s="173"/>
      <c r="BM87" s="173"/>
      <c r="BN87" s="215"/>
      <c r="BO87" s="220"/>
      <c r="BP87" s="171">
        <f>VLOOKUP(Table7[[#This Row],[Vlookup Store '#]],'Kiosk Stickers'!A$4:$H$538,4,FALSE)</f>
        <v>2</v>
      </c>
      <c r="BQ87" s="226"/>
      <c r="BR87" s="184">
        <f>VLOOKUP(Table7[[#This Row],[Vlookup Store '#]],'Kiosk Stickers'!A$4:$H$538,5,FALSE)</f>
        <v>0</v>
      </c>
      <c r="BS87" s="173"/>
      <c r="BT87" s="173"/>
      <c r="BU87" s="173"/>
      <c r="BV87" s="173"/>
      <c r="BW87" s="173"/>
      <c r="BX87" s="173"/>
      <c r="BY87" s="173"/>
      <c r="BZ87" s="215"/>
      <c r="CA87" s="243"/>
      <c r="CB87" s="233"/>
      <c r="CC87" s="233"/>
      <c r="CD87" s="233"/>
      <c r="CE87" s="233"/>
      <c r="CF87" s="233"/>
      <c r="CG87" s="233"/>
      <c r="CH87" s="262"/>
      <c r="CI87" s="351"/>
      <c r="CJ87" s="350"/>
      <c r="CK87" s="350"/>
      <c r="CL87" s="350">
        <v>2</v>
      </c>
      <c r="CM87" s="350"/>
      <c r="CN87" s="350"/>
      <c r="CO87" s="350"/>
      <c r="CP87" s="350"/>
      <c r="CQ87" s="364"/>
      <c r="CR87" s="370"/>
      <c r="CS87" s="367"/>
      <c r="CT87" s="367"/>
      <c r="CU87" s="367">
        <v>10</v>
      </c>
      <c r="CV87" s="367"/>
      <c r="CW87" s="387"/>
      <c r="CX87" s="398"/>
      <c r="CY87" s="399"/>
      <c r="CZ87" s="399"/>
      <c r="DA87" s="399"/>
      <c r="DB87" s="399">
        <v>1</v>
      </c>
      <c r="DC87" s="400"/>
      <c r="DD87" s="400"/>
      <c r="DE87" s="514"/>
      <c r="DF87" s="514">
        <f t="shared" si="1"/>
        <v>1</v>
      </c>
      <c r="DG87" s="144"/>
      <c r="DH87" s="143"/>
    </row>
    <row r="88" spans="1:112" x14ac:dyDescent="0.25">
      <c r="A88" s="15" t="s">
        <v>188</v>
      </c>
      <c r="B88" s="15">
        <v>801</v>
      </c>
      <c r="C88" s="15" t="s">
        <v>1514</v>
      </c>
      <c r="D88" s="15">
        <v>734</v>
      </c>
      <c r="E88" s="15" t="s">
        <v>1515</v>
      </c>
      <c r="F88" s="15" t="s">
        <v>1516</v>
      </c>
      <c r="G88" s="15" t="s">
        <v>1517</v>
      </c>
      <c r="H88" s="15" t="s">
        <v>1518</v>
      </c>
      <c r="I88" s="15" t="s">
        <v>186</v>
      </c>
      <c r="J88" s="15" t="s">
        <v>3265</v>
      </c>
      <c r="K88" s="15" t="s">
        <v>1519</v>
      </c>
      <c r="L88" s="15" t="s">
        <v>3737</v>
      </c>
      <c r="M88" s="15" t="s">
        <v>3739</v>
      </c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>
        <v>1500</v>
      </c>
      <c r="AA88" s="70"/>
      <c r="AB88" s="70"/>
      <c r="AC88" s="70"/>
      <c r="AD88" s="70"/>
      <c r="AE88" s="70"/>
      <c r="AF88" s="70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>
        <v>10</v>
      </c>
      <c r="AT88" s="71"/>
      <c r="AU88" s="71"/>
      <c r="AV88" s="71"/>
      <c r="AW88" s="71"/>
      <c r="AX88" s="71"/>
      <c r="AY88" s="71"/>
      <c r="AZ88" s="131">
        <f>VLOOKUP(Table7[[#This Row],[Vlookup Store '#]],'Kiosk Stickers'!A$4:$H$538,2,FALSE)</f>
        <v>0</v>
      </c>
      <c r="BA88" s="131"/>
      <c r="BB88" s="131"/>
      <c r="BC88" s="131"/>
      <c r="BD88" s="131"/>
      <c r="BE88" s="169"/>
      <c r="BF88" s="194"/>
      <c r="BG88" s="173"/>
      <c r="BH88" s="173"/>
      <c r="BI88" s="173">
        <f>VLOOKUP(Table7[[#This Row],[Vlookup Store '#]],'Kiosk Stickers'!A$4:$H$538,3,FALSE)</f>
        <v>2</v>
      </c>
      <c r="BJ88" s="173"/>
      <c r="BK88" s="173"/>
      <c r="BL88" s="173"/>
      <c r="BM88" s="173"/>
      <c r="BN88" s="215"/>
      <c r="BO88" s="199">
        <f>VLOOKUP(Table7[[#This Row],[Vlookup Store '#]],'Kiosk Stickers'!A$4:$H$538,4,FALSE)</f>
        <v>0</v>
      </c>
      <c r="BP88" s="171"/>
      <c r="BQ88" s="226"/>
      <c r="BR88" s="184">
        <f>VLOOKUP(Table7[[#This Row],[Vlookup Store '#]],'Kiosk Stickers'!A$4:$H$538,5,FALSE)</f>
        <v>0</v>
      </c>
      <c r="BS88" s="173"/>
      <c r="BT88" s="173"/>
      <c r="BU88" s="173"/>
      <c r="BV88" s="173"/>
      <c r="BW88" s="173"/>
      <c r="BX88" s="173"/>
      <c r="BY88" s="173"/>
      <c r="BZ88" s="215"/>
      <c r="CA88" s="243"/>
      <c r="CB88" s="233"/>
      <c r="CC88" s="233"/>
      <c r="CD88" s="233"/>
      <c r="CE88" s="233"/>
      <c r="CF88" s="233"/>
      <c r="CG88" s="233"/>
      <c r="CH88" s="262"/>
      <c r="CI88" s="351"/>
      <c r="CJ88" s="350"/>
      <c r="CK88" s="350"/>
      <c r="CL88" s="350">
        <v>2</v>
      </c>
      <c r="CM88" s="350"/>
      <c r="CN88" s="350"/>
      <c r="CO88" s="350"/>
      <c r="CP88" s="350"/>
      <c r="CQ88" s="364"/>
      <c r="CR88" s="370"/>
      <c r="CS88" s="367"/>
      <c r="CT88" s="367"/>
      <c r="CU88" s="367">
        <v>10</v>
      </c>
      <c r="CV88" s="367"/>
      <c r="CW88" s="387"/>
      <c r="CX88" s="398"/>
      <c r="CY88" s="399"/>
      <c r="CZ88" s="399"/>
      <c r="DA88" s="399"/>
      <c r="DB88" s="399">
        <v>1</v>
      </c>
      <c r="DC88" s="400"/>
      <c r="DD88" s="400"/>
      <c r="DE88" s="514"/>
      <c r="DF88" s="514">
        <f t="shared" si="1"/>
        <v>1</v>
      </c>
      <c r="DG88" s="144"/>
      <c r="DH88" s="143"/>
    </row>
    <row r="89" spans="1:112" x14ac:dyDescent="0.25">
      <c r="A89" s="15" t="s">
        <v>188</v>
      </c>
      <c r="B89" s="15">
        <v>801</v>
      </c>
      <c r="C89" s="15" t="s">
        <v>3597</v>
      </c>
      <c r="D89" s="15">
        <v>1721</v>
      </c>
      <c r="E89" s="15" t="s">
        <v>1455</v>
      </c>
      <c r="F89" s="15" t="s">
        <v>1460</v>
      </c>
      <c r="G89" s="15" t="s">
        <v>1456</v>
      </c>
      <c r="H89" s="15" t="s">
        <v>1457</v>
      </c>
      <c r="I89" s="15" t="s">
        <v>186</v>
      </c>
      <c r="J89" s="15" t="s">
        <v>3598</v>
      </c>
      <c r="K89" s="15" t="s">
        <v>1458</v>
      </c>
      <c r="L89" s="15" t="s">
        <v>3737</v>
      </c>
      <c r="M89" s="15" t="s">
        <v>3739</v>
      </c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>
        <v>1500</v>
      </c>
      <c r="AA89" s="70"/>
      <c r="AB89" s="70"/>
      <c r="AC89" s="70"/>
      <c r="AD89" s="70"/>
      <c r="AE89" s="70"/>
      <c r="AF89" s="70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>
        <v>10</v>
      </c>
      <c r="AT89" s="71"/>
      <c r="AU89" s="71"/>
      <c r="AV89" s="71"/>
      <c r="AW89" s="71"/>
      <c r="AX89" s="71"/>
      <c r="AY89" s="71"/>
      <c r="AZ89" s="131">
        <f>VLOOKUP(Table7[[#This Row],[Vlookup Store '#]],'Kiosk Stickers'!A$4:$H$538,2,FALSE)</f>
        <v>0</v>
      </c>
      <c r="BA89" s="131"/>
      <c r="BB89" s="131"/>
      <c r="BC89" s="131"/>
      <c r="BD89" s="131"/>
      <c r="BE89" s="169"/>
      <c r="BF89" s="194"/>
      <c r="BG89" s="173"/>
      <c r="BH89" s="173"/>
      <c r="BI89" s="173">
        <f>VLOOKUP(Table7[[#This Row],[Vlookup Store '#]],'Kiosk Stickers'!A$4:$H$538,3,FALSE)</f>
        <v>1</v>
      </c>
      <c r="BJ89" s="173"/>
      <c r="BK89" s="173"/>
      <c r="BL89" s="173"/>
      <c r="BM89" s="173"/>
      <c r="BN89" s="215"/>
      <c r="BO89" s="199">
        <f>VLOOKUP(Table7[[#This Row],[Vlookup Store '#]],'Kiosk Stickers'!A$4:$H$538,4,FALSE)</f>
        <v>0</v>
      </c>
      <c r="BP89" s="171"/>
      <c r="BQ89" s="226"/>
      <c r="BR89" s="184">
        <f>VLOOKUP(Table7[[#This Row],[Vlookup Store '#]],'Kiosk Stickers'!A$4:$H$538,5,FALSE)</f>
        <v>0</v>
      </c>
      <c r="BS89" s="173"/>
      <c r="BT89" s="173"/>
      <c r="BU89" s="173"/>
      <c r="BV89" s="173"/>
      <c r="BW89" s="173"/>
      <c r="BX89" s="173"/>
      <c r="BY89" s="173"/>
      <c r="BZ89" s="215"/>
      <c r="CA89" s="243"/>
      <c r="CB89" s="233"/>
      <c r="CC89" s="233"/>
      <c r="CD89" s="233"/>
      <c r="CE89" s="233"/>
      <c r="CF89" s="233"/>
      <c r="CG89" s="233"/>
      <c r="CH89" s="262"/>
      <c r="CI89" s="351"/>
      <c r="CJ89" s="350"/>
      <c r="CK89" s="350"/>
      <c r="CL89" s="350">
        <v>2</v>
      </c>
      <c r="CM89" s="350"/>
      <c r="CN89" s="350"/>
      <c r="CO89" s="350"/>
      <c r="CP89" s="350"/>
      <c r="CQ89" s="364"/>
      <c r="CR89" s="370"/>
      <c r="CS89" s="367"/>
      <c r="CT89" s="367"/>
      <c r="CU89" s="367">
        <v>10</v>
      </c>
      <c r="CV89" s="367"/>
      <c r="CW89" s="387"/>
      <c r="CX89" s="398"/>
      <c r="CY89" s="399"/>
      <c r="CZ89" s="399"/>
      <c r="DA89" s="399"/>
      <c r="DB89" s="399">
        <v>1</v>
      </c>
      <c r="DC89" s="400"/>
      <c r="DD89" s="400"/>
      <c r="DE89" s="514"/>
      <c r="DF89" s="514">
        <f t="shared" si="1"/>
        <v>1</v>
      </c>
      <c r="DG89" s="144"/>
      <c r="DH89" s="143"/>
    </row>
    <row r="90" spans="1:112" x14ac:dyDescent="0.25">
      <c r="A90" s="15" t="s">
        <v>188</v>
      </c>
      <c r="B90" s="15">
        <v>801</v>
      </c>
      <c r="C90" s="15" t="s">
        <v>3599</v>
      </c>
      <c r="D90" s="15">
        <v>1722</v>
      </c>
      <c r="E90" s="15" t="s">
        <v>1459</v>
      </c>
      <c r="F90" s="15" t="s">
        <v>3600</v>
      </c>
      <c r="G90" s="15" t="s">
        <v>1461</v>
      </c>
      <c r="H90" s="15" t="s">
        <v>1462</v>
      </c>
      <c r="I90" s="15" t="s">
        <v>186</v>
      </c>
      <c r="J90" s="15" t="s">
        <v>3601</v>
      </c>
      <c r="K90" s="15" t="s">
        <v>1463</v>
      </c>
      <c r="L90" s="15" t="s">
        <v>3737</v>
      </c>
      <c r="M90" s="15" t="s">
        <v>3739</v>
      </c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>
        <v>1500</v>
      </c>
      <c r="AA90" s="70"/>
      <c r="AB90" s="70"/>
      <c r="AC90" s="70"/>
      <c r="AD90" s="70"/>
      <c r="AE90" s="70"/>
      <c r="AF90" s="70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>
        <v>10</v>
      </c>
      <c r="AT90" s="71"/>
      <c r="AU90" s="71"/>
      <c r="AV90" s="71"/>
      <c r="AW90" s="71"/>
      <c r="AX90" s="71"/>
      <c r="AY90" s="71"/>
      <c r="AZ90" s="131">
        <f>VLOOKUP(Table7[[#This Row],[Vlookup Store '#]],'Kiosk Stickers'!A$4:$H$538,2,FALSE)</f>
        <v>0</v>
      </c>
      <c r="BA90" s="131"/>
      <c r="BB90" s="131"/>
      <c r="BC90" s="131"/>
      <c r="BD90" s="131"/>
      <c r="BE90" s="169"/>
      <c r="BF90" s="194"/>
      <c r="BG90" s="173"/>
      <c r="BH90" s="173"/>
      <c r="BI90" s="173">
        <f>VLOOKUP(Table7[[#This Row],[Vlookup Store '#]],'Kiosk Stickers'!A$4:$H$538,3,FALSE)</f>
        <v>2</v>
      </c>
      <c r="BJ90" s="173"/>
      <c r="BK90" s="173"/>
      <c r="BL90" s="173"/>
      <c r="BM90" s="173"/>
      <c r="BN90" s="215"/>
      <c r="BO90" s="199">
        <f>VLOOKUP(Table7[[#This Row],[Vlookup Store '#]],'Kiosk Stickers'!A$4:$H$538,4,FALSE)</f>
        <v>0</v>
      </c>
      <c r="BP90" s="171"/>
      <c r="BQ90" s="226"/>
      <c r="BR90" s="184">
        <f>VLOOKUP(Table7[[#This Row],[Vlookup Store '#]],'Kiosk Stickers'!A$4:$H$538,5,FALSE)</f>
        <v>0</v>
      </c>
      <c r="BS90" s="173"/>
      <c r="BT90" s="173"/>
      <c r="BU90" s="173"/>
      <c r="BV90" s="173"/>
      <c r="BW90" s="173"/>
      <c r="BX90" s="173"/>
      <c r="BY90" s="173"/>
      <c r="BZ90" s="215"/>
      <c r="CA90" s="243"/>
      <c r="CB90" s="233"/>
      <c r="CC90" s="233"/>
      <c r="CD90" s="233"/>
      <c r="CE90" s="233"/>
      <c r="CF90" s="233"/>
      <c r="CG90" s="233"/>
      <c r="CH90" s="262"/>
      <c r="CI90" s="351"/>
      <c r="CJ90" s="350"/>
      <c r="CK90" s="350"/>
      <c r="CL90" s="350">
        <v>2</v>
      </c>
      <c r="CM90" s="350"/>
      <c r="CN90" s="350"/>
      <c r="CO90" s="350"/>
      <c r="CP90" s="350"/>
      <c r="CQ90" s="364"/>
      <c r="CR90" s="370"/>
      <c r="CS90" s="367"/>
      <c r="CT90" s="367"/>
      <c r="CU90" s="367">
        <v>10</v>
      </c>
      <c r="CV90" s="367"/>
      <c r="CW90" s="387"/>
      <c r="CX90" s="398"/>
      <c r="CY90" s="399"/>
      <c r="CZ90" s="399"/>
      <c r="DA90" s="399"/>
      <c r="DB90" s="399">
        <v>1</v>
      </c>
      <c r="DC90" s="400"/>
      <c r="DD90" s="400"/>
      <c r="DE90" s="514"/>
      <c r="DF90" s="514">
        <f t="shared" si="1"/>
        <v>1</v>
      </c>
      <c r="DG90" s="144"/>
      <c r="DH90" s="143"/>
    </row>
    <row r="91" spans="1:112" x14ac:dyDescent="0.25">
      <c r="A91" s="15" t="s">
        <v>188</v>
      </c>
      <c r="B91" s="15">
        <v>801</v>
      </c>
      <c r="C91" s="15" t="s">
        <v>3603</v>
      </c>
      <c r="D91" s="15">
        <v>1724</v>
      </c>
      <c r="E91" s="15" t="s">
        <v>1464</v>
      </c>
      <c r="F91" s="15" t="s">
        <v>1465</v>
      </c>
      <c r="G91" s="15" t="s">
        <v>1466</v>
      </c>
      <c r="H91" s="15" t="s">
        <v>1467</v>
      </c>
      <c r="I91" s="15" t="s">
        <v>186</v>
      </c>
      <c r="J91" s="15" t="s">
        <v>3604</v>
      </c>
      <c r="K91" s="15" t="s">
        <v>1468</v>
      </c>
      <c r="L91" s="15" t="s">
        <v>3737</v>
      </c>
      <c r="M91" s="15" t="s">
        <v>3739</v>
      </c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>
        <v>1500</v>
      </c>
      <c r="AA91" s="70"/>
      <c r="AB91" s="70"/>
      <c r="AC91" s="70"/>
      <c r="AD91" s="70"/>
      <c r="AE91" s="70"/>
      <c r="AF91" s="70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>
        <v>10</v>
      </c>
      <c r="AT91" s="71"/>
      <c r="AU91" s="71"/>
      <c r="AV91" s="71"/>
      <c r="AW91" s="71"/>
      <c r="AX91" s="71"/>
      <c r="AY91" s="71"/>
      <c r="AZ91" s="131">
        <f>VLOOKUP(Table7[[#This Row],[Vlookup Store '#]],'Kiosk Stickers'!A$4:$H$538,2,FALSE)</f>
        <v>0</v>
      </c>
      <c r="BA91" s="131"/>
      <c r="BB91" s="131"/>
      <c r="BC91" s="131"/>
      <c r="BD91" s="131"/>
      <c r="BE91" s="169"/>
      <c r="BF91" s="194"/>
      <c r="BG91" s="173"/>
      <c r="BH91" s="173"/>
      <c r="BI91" s="173">
        <f>VLOOKUP(Table7[[#This Row],[Vlookup Store '#]],'Kiosk Stickers'!A$4:$H$538,3,FALSE)</f>
        <v>2</v>
      </c>
      <c r="BJ91" s="173"/>
      <c r="BK91" s="173"/>
      <c r="BL91" s="173"/>
      <c r="BM91" s="173"/>
      <c r="BN91" s="215"/>
      <c r="BO91" s="199">
        <f>VLOOKUP(Table7[[#This Row],[Vlookup Store '#]],'Kiosk Stickers'!A$4:$H$538,4,FALSE)</f>
        <v>0</v>
      </c>
      <c r="BP91" s="171"/>
      <c r="BQ91" s="226"/>
      <c r="BR91" s="184">
        <f>VLOOKUP(Table7[[#This Row],[Vlookup Store '#]],'Kiosk Stickers'!A$4:$H$538,5,FALSE)</f>
        <v>0</v>
      </c>
      <c r="BS91" s="173"/>
      <c r="BT91" s="173"/>
      <c r="BU91" s="173"/>
      <c r="BV91" s="173"/>
      <c r="BW91" s="173"/>
      <c r="BX91" s="173"/>
      <c r="BY91" s="173"/>
      <c r="BZ91" s="215"/>
      <c r="CA91" s="243"/>
      <c r="CB91" s="233"/>
      <c r="CC91" s="233"/>
      <c r="CD91" s="233"/>
      <c r="CE91" s="233"/>
      <c r="CF91" s="233"/>
      <c r="CG91" s="233"/>
      <c r="CH91" s="262"/>
      <c r="CI91" s="351"/>
      <c r="CJ91" s="350"/>
      <c r="CK91" s="350"/>
      <c r="CL91" s="350">
        <v>2</v>
      </c>
      <c r="CM91" s="350"/>
      <c r="CN91" s="350"/>
      <c r="CO91" s="350"/>
      <c r="CP91" s="350"/>
      <c r="CQ91" s="364"/>
      <c r="CR91" s="370"/>
      <c r="CS91" s="367"/>
      <c r="CT91" s="367"/>
      <c r="CU91" s="367">
        <v>10</v>
      </c>
      <c r="CV91" s="367"/>
      <c r="CW91" s="387"/>
      <c r="CX91" s="398"/>
      <c r="CY91" s="399"/>
      <c r="CZ91" s="399"/>
      <c r="DA91" s="399"/>
      <c r="DB91" s="399">
        <v>1</v>
      </c>
      <c r="DC91" s="400"/>
      <c r="DD91" s="400"/>
      <c r="DE91" s="514"/>
      <c r="DF91" s="514">
        <f t="shared" si="1"/>
        <v>1</v>
      </c>
      <c r="DG91" s="144"/>
      <c r="DH91" s="143"/>
    </row>
    <row r="92" spans="1:112" x14ac:dyDescent="0.25">
      <c r="A92" s="15" t="s">
        <v>154</v>
      </c>
      <c r="B92" s="15">
        <v>800</v>
      </c>
      <c r="C92" s="15" t="s">
        <v>1529</v>
      </c>
      <c r="D92" s="15">
        <v>501</v>
      </c>
      <c r="E92" s="15" t="s">
        <v>1530</v>
      </c>
      <c r="F92" s="15" t="s">
        <v>1531</v>
      </c>
      <c r="G92" s="15" t="s">
        <v>1532</v>
      </c>
      <c r="H92" s="15" t="s">
        <v>158</v>
      </c>
      <c r="I92" s="15" t="s">
        <v>159</v>
      </c>
      <c r="J92" s="15" t="s">
        <v>3209</v>
      </c>
      <c r="K92" s="15" t="s">
        <v>351</v>
      </c>
      <c r="L92" s="15" t="s">
        <v>3737</v>
      </c>
      <c r="M92" s="15" t="s">
        <v>3963</v>
      </c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>
        <v>1500</v>
      </c>
      <c r="AC92" s="70"/>
      <c r="AD92" s="70"/>
      <c r="AE92" s="70"/>
      <c r="AF92" s="70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>
        <v>10</v>
      </c>
      <c r="AV92" s="71"/>
      <c r="AW92" s="71"/>
      <c r="AX92" s="71"/>
      <c r="AY92" s="71"/>
      <c r="AZ92" s="131">
        <f>VLOOKUP(Table7[[#This Row],[Vlookup Store '#]],'Kiosk Stickers'!A$4:$H$538,2,FALSE)</f>
        <v>0</v>
      </c>
      <c r="BA92" s="131"/>
      <c r="BB92" s="131"/>
      <c r="BC92" s="131"/>
      <c r="BD92" s="131"/>
      <c r="BE92" s="169"/>
      <c r="BF92" s="194"/>
      <c r="BG92" s="173"/>
      <c r="BH92" s="173"/>
      <c r="BI92" s="173">
        <f>VLOOKUP(Table7[[#This Row],[Vlookup Store '#]],'Kiosk Stickers'!A$4:$H$538,3,FALSE)</f>
        <v>2</v>
      </c>
      <c r="BJ92" s="173"/>
      <c r="BK92" s="173"/>
      <c r="BL92" s="173"/>
      <c r="BM92" s="173"/>
      <c r="BN92" s="215"/>
      <c r="BO92" s="199">
        <f>VLOOKUP(Table7[[#This Row],[Vlookup Store '#]],'Kiosk Stickers'!A$4:$H$538,4,FALSE)</f>
        <v>0</v>
      </c>
      <c r="BP92" s="171"/>
      <c r="BQ92" s="226"/>
      <c r="BR92" s="184">
        <f>VLOOKUP(Table7[[#This Row],[Vlookup Store '#]],'Kiosk Stickers'!A$4:$H$538,5,FALSE)</f>
        <v>0</v>
      </c>
      <c r="BS92" s="173"/>
      <c r="BT92" s="173"/>
      <c r="BU92" s="173"/>
      <c r="BV92" s="173"/>
      <c r="BW92" s="173"/>
      <c r="BX92" s="173"/>
      <c r="BY92" s="173"/>
      <c r="BZ92" s="215"/>
      <c r="CA92" s="243"/>
      <c r="CB92" s="233"/>
      <c r="CC92" s="233"/>
      <c r="CD92" s="233"/>
      <c r="CE92" s="233"/>
      <c r="CF92" s="233"/>
      <c r="CG92" s="233"/>
      <c r="CH92" s="262"/>
      <c r="CI92" s="351"/>
      <c r="CJ92" s="350"/>
      <c r="CK92" s="350"/>
      <c r="CL92" s="350">
        <v>2</v>
      </c>
      <c r="CM92" s="350"/>
      <c r="CN92" s="350"/>
      <c r="CO92" s="350"/>
      <c r="CP92" s="350"/>
      <c r="CQ92" s="364"/>
      <c r="CR92" s="370"/>
      <c r="CS92" s="367"/>
      <c r="CT92" s="367"/>
      <c r="CU92" s="367">
        <v>10</v>
      </c>
      <c r="CV92" s="367"/>
      <c r="CW92" s="387"/>
      <c r="CX92" s="398"/>
      <c r="CY92" s="399"/>
      <c r="CZ92" s="399"/>
      <c r="DA92" s="399"/>
      <c r="DB92" s="399">
        <v>1</v>
      </c>
      <c r="DC92" s="400"/>
      <c r="DD92" s="400"/>
      <c r="DE92" s="514"/>
      <c r="DF92" s="514">
        <f t="shared" si="1"/>
        <v>1</v>
      </c>
      <c r="DG92" s="144"/>
      <c r="DH92" s="143"/>
    </row>
    <row r="93" spans="1:112" x14ac:dyDescent="0.25">
      <c r="A93" s="15" t="s">
        <v>154</v>
      </c>
      <c r="B93" s="15">
        <v>800</v>
      </c>
      <c r="C93" s="15" t="s">
        <v>1539</v>
      </c>
      <c r="D93" s="15">
        <v>506</v>
      </c>
      <c r="E93" s="15" t="s">
        <v>1540</v>
      </c>
      <c r="F93" s="15" t="s">
        <v>1526</v>
      </c>
      <c r="G93" s="15" t="s">
        <v>1541</v>
      </c>
      <c r="H93" s="15" t="s">
        <v>1523</v>
      </c>
      <c r="I93" s="15" t="s">
        <v>159</v>
      </c>
      <c r="J93" s="15" t="s">
        <v>3212</v>
      </c>
      <c r="K93" s="15" t="s">
        <v>1542</v>
      </c>
      <c r="L93" s="15" t="s">
        <v>3737</v>
      </c>
      <c r="M93" s="15" t="s">
        <v>3963</v>
      </c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>
        <v>1500</v>
      </c>
      <c r="AC93" s="70"/>
      <c r="AD93" s="70"/>
      <c r="AE93" s="70"/>
      <c r="AF93" s="70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>
        <v>10</v>
      </c>
      <c r="AV93" s="71"/>
      <c r="AW93" s="71"/>
      <c r="AX93" s="71"/>
      <c r="AY93" s="71"/>
      <c r="AZ93" s="131">
        <f>VLOOKUP(Table7[[#This Row],[Vlookup Store '#]],'Kiosk Stickers'!A$4:$H$538,2,FALSE)</f>
        <v>0</v>
      </c>
      <c r="BA93" s="131"/>
      <c r="BB93" s="131"/>
      <c r="BC93" s="131"/>
      <c r="BD93" s="131"/>
      <c r="BE93" s="169"/>
      <c r="BF93" s="194"/>
      <c r="BG93" s="173"/>
      <c r="BH93" s="173"/>
      <c r="BI93" s="173">
        <f>VLOOKUP(Table7[[#This Row],[Vlookup Store '#]],'Kiosk Stickers'!A$4:$H$538,3,FALSE)</f>
        <v>1</v>
      </c>
      <c r="BJ93" s="173"/>
      <c r="BK93" s="173"/>
      <c r="BL93" s="173"/>
      <c r="BM93" s="173"/>
      <c r="BN93" s="215"/>
      <c r="BO93" s="199">
        <f>VLOOKUP(Table7[[#This Row],[Vlookup Store '#]],'Kiosk Stickers'!A$4:$H$538,4,FALSE)</f>
        <v>0</v>
      </c>
      <c r="BP93" s="171"/>
      <c r="BQ93" s="226"/>
      <c r="BR93" s="184">
        <f>VLOOKUP(Table7[[#This Row],[Vlookup Store '#]],'Kiosk Stickers'!A$4:$H$538,5,FALSE)</f>
        <v>0</v>
      </c>
      <c r="BS93" s="173"/>
      <c r="BT93" s="173"/>
      <c r="BU93" s="173"/>
      <c r="BV93" s="173"/>
      <c r="BW93" s="173"/>
      <c r="BX93" s="173"/>
      <c r="BY93" s="173"/>
      <c r="BZ93" s="215"/>
      <c r="CA93" s="243"/>
      <c r="CB93" s="233"/>
      <c r="CC93" s="233"/>
      <c r="CD93" s="233"/>
      <c r="CE93" s="233"/>
      <c r="CF93" s="233"/>
      <c r="CG93" s="233"/>
      <c r="CH93" s="262"/>
      <c r="CI93" s="351"/>
      <c r="CJ93" s="350"/>
      <c r="CK93" s="350"/>
      <c r="CL93" s="350">
        <v>2</v>
      </c>
      <c r="CM93" s="350"/>
      <c r="CN93" s="350"/>
      <c r="CO93" s="350"/>
      <c r="CP93" s="350"/>
      <c r="CQ93" s="364"/>
      <c r="CR93" s="370"/>
      <c r="CS93" s="367"/>
      <c r="CT93" s="367"/>
      <c r="CU93" s="367">
        <v>10</v>
      </c>
      <c r="CV93" s="367"/>
      <c r="CW93" s="387"/>
      <c r="CX93" s="398"/>
      <c r="CY93" s="399"/>
      <c r="CZ93" s="399"/>
      <c r="DA93" s="399"/>
      <c r="DB93" s="399">
        <v>1</v>
      </c>
      <c r="DC93" s="400"/>
      <c r="DD93" s="400"/>
      <c r="DE93" s="514"/>
      <c r="DF93" s="514">
        <f t="shared" si="1"/>
        <v>1</v>
      </c>
      <c r="DG93" s="144"/>
      <c r="DH93" s="143"/>
    </row>
    <row r="94" spans="1:112" x14ac:dyDescent="0.25">
      <c r="A94" s="15" t="s">
        <v>154</v>
      </c>
      <c r="B94" s="15">
        <v>800</v>
      </c>
      <c r="C94" s="15" t="s">
        <v>3541</v>
      </c>
      <c r="D94" s="15">
        <v>1509</v>
      </c>
      <c r="E94" s="15" t="s">
        <v>1520</v>
      </c>
      <c r="F94" s="15" t="s">
        <v>1521</v>
      </c>
      <c r="G94" s="15" t="s">
        <v>1522</v>
      </c>
      <c r="H94" s="15" t="s">
        <v>1523</v>
      </c>
      <c r="I94" s="15" t="s">
        <v>159</v>
      </c>
      <c r="J94" s="15" t="s">
        <v>3542</v>
      </c>
      <c r="K94" s="15" t="s">
        <v>1524</v>
      </c>
      <c r="L94" s="15" t="s">
        <v>3737</v>
      </c>
      <c r="M94" s="15" t="s">
        <v>3963</v>
      </c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>
        <v>1500</v>
      </c>
      <c r="AC94" s="70"/>
      <c r="AD94" s="70"/>
      <c r="AE94" s="70"/>
      <c r="AF94" s="70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>
        <v>10</v>
      </c>
      <c r="AV94" s="71"/>
      <c r="AW94" s="71"/>
      <c r="AX94" s="71"/>
      <c r="AY94" s="71"/>
      <c r="AZ94" s="131">
        <f>VLOOKUP(Table7[[#This Row],[Vlookup Store '#]],'Kiosk Stickers'!A$4:$H$538,2,FALSE)</f>
        <v>0</v>
      </c>
      <c r="BA94" s="131"/>
      <c r="BB94" s="131"/>
      <c r="BC94" s="131"/>
      <c r="BD94" s="131"/>
      <c r="BE94" s="169"/>
      <c r="BF94" s="194"/>
      <c r="BG94" s="173"/>
      <c r="BH94" s="173"/>
      <c r="BI94" s="173">
        <f>VLOOKUP(Table7[[#This Row],[Vlookup Store '#]],'Kiosk Stickers'!A$4:$H$538,3,FALSE)</f>
        <v>2</v>
      </c>
      <c r="BJ94" s="173"/>
      <c r="BK94" s="173"/>
      <c r="BL94" s="173"/>
      <c r="BM94" s="173"/>
      <c r="BN94" s="215"/>
      <c r="BO94" s="199">
        <f>VLOOKUP(Table7[[#This Row],[Vlookup Store '#]],'Kiosk Stickers'!A$4:$H$538,4,FALSE)</f>
        <v>0</v>
      </c>
      <c r="BP94" s="171"/>
      <c r="BQ94" s="226"/>
      <c r="BR94" s="184">
        <f>VLOOKUP(Table7[[#This Row],[Vlookup Store '#]],'Kiosk Stickers'!A$4:$H$538,5,FALSE)</f>
        <v>0</v>
      </c>
      <c r="BS94" s="173"/>
      <c r="BT94" s="173"/>
      <c r="BU94" s="173"/>
      <c r="BV94" s="173"/>
      <c r="BW94" s="173"/>
      <c r="BX94" s="173"/>
      <c r="BY94" s="173"/>
      <c r="BZ94" s="215"/>
      <c r="CA94" s="243"/>
      <c r="CB94" s="233"/>
      <c r="CC94" s="233"/>
      <c r="CD94" s="233"/>
      <c r="CE94" s="233"/>
      <c r="CF94" s="233"/>
      <c r="CG94" s="233"/>
      <c r="CH94" s="262"/>
      <c r="CI94" s="351"/>
      <c r="CJ94" s="350"/>
      <c r="CK94" s="350"/>
      <c r="CL94" s="350">
        <v>2</v>
      </c>
      <c r="CM94" s="350"/>
      <c r="CN94" s="350"/>
      <c r="CO94" s="350"/>
      <c r="CP94" s="350"/>
      <c r="CQ94" s="364"/>
      <c r="CR94" s="370"/>
      <c r="CS94" s="367"/>
      <c r="CT94" s="367"/>
      <c r="CU94" s="367">
        <v>10</v>
      </c>
      <c r="CV94" s="367"/>
      <c r="CW94" s="387"/>
      <c r="CX94" s="398"/>
      <c r="CY94" s="399"/>
      <c r="CZ94" s="399"/>
      <c r="DA94" s="399"/>
      <c r="DB94" s="399">
        <v>1</v>
      </c>
      <c r="DC94" s="400"/>
      <c r="DD94" s="400"/>
      <c r="DE94" s="514"/>
      <c r="DF94" s="514">
        <f t="shared" si="1"/>
        <v>1</v>
      </c>
      <c r="DG94" s="144"/>
      <c r="DH94" s="143"/>
    </row>
    <row r="95" spans="1:112" x14ac:dyDescent="0.25">
      <c r="A95" s="15" t="s">
        <v>154</v>
      </c>
      <c r="B95" s="15">
        <v>800</v>
      </c>
      <c r="C95" s="15" t="s">
        <v>3543</v>
      </c>
      <c r="D95" s="15">
        <v>1510</v>
      </c>
      <c r="E95" s="15" t="s">
        <v>1525</v>
      </c>
      <c r="F95" s="15" t="s">
        <v>1545</v>
      </c>
      <c r="G95" s="15" t="s">
        <v>1527</v>
      </c>
      <c r="H95" s="15" t="s">
        <v>1523</v>
      </c>
      <c r="I95" s="15" t="s">
        <v>159</v>
      </c>
      <c r="J95" s="15" t="s">
        <v>3212</v>
      </c>
      <c r="K95" s="15" t="s">
        <v>1528</v>
      </c>
      <c r="L95" s="15" t="s">
        <v>3737</v>
      </c>
      <c r="M95" s="15" t="s">
        <v>3963</v>
      </c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>
        <v>1500</v>
      </c>
      <c r="AC95" s="70"/>
      <c r="AD95" s="70"/>
      <c r="AE95" s="70"/>
      <c r="AF95" s="70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>
        <v>10</v>
      </c>
      <c r="AV95" s="71"/>
      <c r="AW95" s="71"/>
      <c r="AX95" s="71"/>
      <c r="AY95" s="71"/>
      <c r="AZ95" s="165"/>
      <c r="BA95" s="131"/>
      <c r="BB95" s="131"/>
      <c r="BC95" s="131"/>
      <c r="BD95" s="131">
        <f>VLOOKUP(Table7[[#This Row],[Vlookup Store '#]],'Kiosk Stickers'!A$4:$H$538,2,FALSE)</f>
        <v>1</v>
      </c>
      <c r="BE95" s="169"/>
      <c r="BF95" s="184">
        <f>VLOOKUP(Table7[[#This Row],[Vlookup Store '#]],'Kiosk Stickers'!A$4:$H$538,3,FALSE)</f>
        <v>0</v>
      </c>
      <c r="BG95" s="173"/>
      <c r="BH95" s="173"/>
      <c r="BI95" s="173"/>
      <c r="BJ95" s="173"/>
      <c r="BK95" s="173"/>
      <c r="BL95" s="173"/>
      <c r="BM95" s="173"/>
      <c r="BN95" s="215"/>
      <c r="BO95" s="199">
        <f>VLOOKUP(Table7[[#This Row],[Vlookup Store '#]],'Kiosk Stickers'!A$4:$H$538,4,FALSE)</f>
        <v>0</v>
      </c>
      <c r="BP95" s="171"/>
      <c r="BQ95" s="226"/>
      <c r="BR95" s="184">
        <f>VLOOKUP(Table7[[#This Row],[Vlookup Store '#]],'Kiosk Stickers'!A$4:$H$538,5,FALSE)</f>
        <v>0</v>
      </c>
      <c r="BS95" s="173"/>
      <c r="BT95" s="173"/>
      <c r="BU95" s="173"/>
      <c r="BV95" s="173"/>
      <c r="BW95" s="173"/>
      <c r="BX95" s="173"/>
      <c r="BY95" s="173"/>
      <c r="BZ95" s="215"/>
      <c r="CA95" s="243"/>
      <c r="CB95" s="233"/>
      <c r="CC95" s="233"/>
      <c r="CD95" s="233"/>
      <c r="CE95" s="233"/>
      <c r="CF95" s="233"/>
      <c r="CG95" s="233"/>
      <c r="CH95" s="262"/>
      <c r="CI95" s="351"/>
      <c r="CJ95" s="350"/>
      <c r="CK95" s="350"/>
      <c r="CL95" s="350">
        <v>2</v>
      </c>
      <c r="CM95" s="350"/>
      <c r="CN95" s="350"/>
      <c r="CO95" s="350"/>
      <c r="CP95" s="350"/>
      <c r="CQ95" s="364"/>
      <c r="CR95" s="370"/>
      <c r="CS95" s="367"/>
      <c r="CT95" s="367"/>
      <c r="CU95" s="367">
        <v>10</v>
      </c>
      <c r="CV95" s="367"/>
      <c r="CW95" s="387"/>
      <c r="CX95" s="398"/>
      <c r="CY95" s="399"/>
      <c r="CZ95" s="399"/>
      <c r="DA95" s="399"/>
      <c r="DB95" s="399">
        <v>1</v>
      </c>
      <c r="DC95" s="400"/>
      <c r="DD95" s="400"/>
      <c r="DE95" s="514"/>
      <c r="DF95" s="514">
        <f t="shared" si="1"/>
        <v>1</v>
      </c>
      <c r="DG95" s="144"/>
      <c r="DH95" s="143"/>
    </row>
    <row r="96" spans="1:112" x14ac:dyDescent="0.25">
      <c r="A96" s="15" t="s">
        <v>361</v>
      </c>
      <c r="B96" s="15">
        <v>801</v>
      </c>
      <c r="C96" s="15" t="s">
        <v>1559</v>
      </c>
      <c r="D96" s="15">
        <v>652</v>
      </c>
      <c r="E96" s="15" t="s">
        <v>1560</v>
      </c>
      <c r="F96" s="15" t="s">
        <v>1561</v>
      </c>
      <c r="G96" s="15" t="s">
        <v>1562</v>
      </c>
      <c r="H96" s="15" t="s">
        <v>1563</v>
      </c>
      <c r="I96" s="15" t="s">
        <v>366</v>
      </c>
      <c r="J96" s="15" t="s">
        <v>3246</v>
      </c>
      <c r="K96" s="15" t="s">
        <v>1564</v>
      </c>
      <c r="L96" s="15" t="s">
        <v>3775</v>
      </c>
      <c r="M96" s="15" t="s">
        <v>3828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>
        <v>1500</v>
      </c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>
        <v>10</v>
      </c>
      <c r="AZ96" s="131">
        <f>VLOOKUP(Table7[[#This Row],[Vlookup Store '#]],'Kiosk Stickers'!A$4:$H$538,2,FALSE)</f>
        <v>0</v>
      </c>
      <c r="BA96" s="131"/>
      <c r="BB96" s="131"/>
      <c r="BC96" s="131"/>
      <c r="BD96" s="131"/>
      <c r="BE96" s="169"/>
      <c r="BF96" s="194"/>
      <c r="BG96" s="173"/>
      <c r="BH96" s="173"/>
      <c r="BI96" s="173"/>
      <c r="BJ96" s="173"/>
      <c r="BK96" s="173">
        <f>VLOOKUP(Table7[[#This Row],[Vlookup Store '#]],'Kiosk Stickers'!A$4:$H$538,3,FALSE)</f>
        <v>2</v>
      </c>
      <c r="BL96" s="173"/>
      <c r="BM96" s="173"/>
      <c r="BN96" s="215"/>
      <c r="BO96" s="199">
        <f>VLOOKUP(Table7[[#This Row],[Vlookup Store '#]],'Kiosk Stickers'!A$4:$H$538,4,FALSE)</f>
        <v>0</v>
      </c>
      <c r="BP96" s="171"/>
      <c r="BQ96" s="226"/>
      <c r="BR96" s="184">
        <f>VLOOKUP(Table7[[#This Row],[Vlookup Store '#]],'Kiosk Stickers'!A$4:$H$538,5,FALSE)</f>
        <v>0</v>
      </c>
      <c r="BS96" s="173"/>
      <c r="BT96" s="173"/>
      <c r="BU96" s="173"/>
      <c r="BV96" s="173"/>
      <c r="BW96" s="173"/>
      <c r="BX96" s="173"/>
      <c r="BY96" s="173"/>
      <c r="BZ96" s="215"/>
      <c r="CA96" s="243"/>
      <c r="CB96" s="233"/>
      <c r="CC96" s="233"/>
      <c r="CD96" s="233"/>
      <c r="CE96" s="233"/>
      <c r="CF96" s="233"/>
      <c r="CG96" s="233"/>
      <c r="CH96" s="262"/>
      <c r="CI96" s="351"/>
      <c r="CJ96" s="350"/>
      <c r="CK96" s="350"/>
      <c r="CL96" s="350"/>
      <c r="CM96" s="350"/>
      <c r="CN96" s="353">
        <v>2</v>
      </c>
      <c r="CO96" s="350"/>
      <c r="CP96" s="350"/>
      <c r="CQ96" s="364"/>
      <c r="CR96" s="370"/>
      <c r="CS96" s="367"/>
      <c r="CT96" s="367"/>
      <c r="CU96" s="367"/>
      <c r="CV96" s="378">
        <v>10</v>
      </c>
      <c r="CW96" s="387"/>
      <c r="CX96" s="398"/>
      <c r="CY96" s="399"/>
      <c r="CZ96" s="399"/>
      <c r="DA96" s="399"/>
      <c r="DB96" s="396">
        <v>1</v>
      </c>
      <c r="DC96" s="400"/>
      <c r="DD96" s="400"/>
      <c r="DE96" s="514"/>
      <c r="DF96" s="514">
        <f t="shared" si="1"/>
        <v>1</v>
      </c>
      <c r="DG96" s="144"/>
      <c r="DH96" s="143"/>
    </row>
    <row r="97" spans="1:112" x14ac:dyDescent="0.25">
      <c r="A97" s="15" t="s">
        <v>1565</v>
      </c>
      <c r="B97" s="15">
        <v>801</v>
      </c>
      <c r="C97" s="15" t="s">
        <v>3526</v>
      </c>
      <c r="D97" s="15">
        <v>1474</v>
      </c>
      <c r="E97" s="15" t="s">
        <v>1570</v>
      </c>
      <c r="F97" s="15" t="s">
        <v>1571</v>
      </c>
      <c r="G97" s="15" t="s">
        <v>1572</v>
      </c>
      <c r="H97" s="15" t="s">
        <v>1302</v>
      </c>
      <c r="I97" s="15" t="s">
        <v>138</v>
      </c>
      <c r="J97" s="15" t="s">
        <v>3527</v>
      </c>
      <c r="K97" s="15" t="s">
        <v>1573</v>
      </c>
      <c r="L97" s="15" t="s">
        <v>3766</v>
      </c>
      <c r="M97" s="15" t="s">
        <v>4018</v>
      </c>
      <c r="N97" s="70"/>
      <c r="O97" s="70">
        <v>1500</v>
      </c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1"/>
      <c r="AH97" s="71">
        <v>10</v>
      </c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131">
        <f>VLOOKUP(Table7[[#This Row],[Vlookup Store '#]],'Kiosk Stickers'!A$4:$H$538,2,FALSE)</f>
        <v>2</v>
      </c>
      <c r="BA97" s="131"/>
      <c r="BB97" s="131"/>
      <c r="BC97" s="131"/>
      <c r="BD97" s="131"/>
      <c r="BE97" s="169"/>
      <c r="BF97" s="184">
        <f>VLOOKUP(Table7[[#This Row],[Vlookup Store '#]],'Kiosk Stickers'!A$4:$H$538,3,FALSE)</f>
        <v>0</v>
      </c>
      <c r="BG97" s="173"/>
      <c r="BH97" s="173"/>
      <c r="BI97" s="173"/>
      <c r="BJ97" s="173"/>
      <c r="BK97" s="173"/>
      <c r="BL97" s="173"/>
      <c r="BM97" s="173"/>
      <c r="BN97" s="215"/>
      <c r="BO97" s="199">
        <f>VLOOKUP(Table7[[#This Row],[Vlookup Store '#]],'Kiosk Stickers'!A$4:$H$538,4,FALSE)</f>
        <v>0</v>
      </c>
      <c r="BP97" s="171"/>
      <c r="BQ97" s="226"/>
      <c r="BR97" s="184">
        <f>VLOOKUP(Table7[[#This Row],[Vlookup Store '#]],'Kiosk Stickers'!A$4:$H$538,5,FALSE)</f>
        <v>0</v>
      </c>
      <c r="BS97" s="173"/>
      <c r="BT97" s="173"/>
      <c r="BU97" s="173"/>
      <c r="BV97" s="173"/>
      <c r="BW97" s="173"/>
      <c r="BX97" s="173"/>
      <c r="BY97" s="173"/>
      <c r="BZ97" s="215"/>
      <c r="CA97" s="243"/>
      <c r="CB97" s="233"/>
      <c r="CC97" s="233"/>
      <c r="CD97" s="233"/>
      <c r="CE97" s="233"/>
      <c r="CF97" s="233"/>
      <c r="CG97" s="233"/>
      <c r="CH97" s="262"/>
      <c r="CI97" s="351"/>
      <c r="CJ97" s="350"/>
      <c r="CK97" s="350"/>
      <c r="CL97" s="350"/>
      <c r="CM97" s="350"/>
      <c r="CN97" s="350"/>
      <c r="CO97" s="350"/>
      <c r="CP97" s="350">
        <v>2</v>
      </c>
      <c r="CQ97" s="364"/>
      <c r="CR97" s="370"/>
      <c r="CS97" s="367"/>
      <c r="CT97" s="367"/>
      <c r="CU97" s="367"/>
      <c r="CV97" s="367"/>
      <c r="CW97" s="387">
        <v>10</v>
      </c>
      <c r="CX97" s="398"/>
      <c r="CY97" s="399"/>
      <c r="CZ97" s="399"/>
      <c r="DA97" s="399"/>
      <c r="DB97" s="399"/>
      <c r="DC97" s="400"/>
      <c r="DD97" s="400"/>
      <c r="DE97" s="514">
        <v>1</v>
      </c>
      <c r="DF97" s="514">
        <f t="shared" si="1"/>
        <v>1</v>
      </c>
      <c r="DG97" s="144"/>
      <c r="DH97" s="143"/>
    </row>
    <row r="98" spans="1:112" x14ac:dyDescent="0.25">
      <c r="A98" s="15" t="s">
        <v>1565</v>
      </c>
      <c r="B98" s="15">
        <v>810</v>
      </c>
      <c r="C98" s="15" t="s">
        <v>3539</v>
      </c>
      <c r="D98" s="15">
        <v>1495</v>
      </c>
      <c r="E98" s="15" t="s">
        <v>1574</v>
      </c>
      <c r="F98" s="15" t="s">
        <v>1575</v>
      </c>
      <c r="G98" s="15" t="s">
        <v>1576</v>
      </c>
      <c r="H98" s="15" t="s">
        <v>1577</v>
      </c>
      <c r="I98" s="15" t="s">
        <v>138</v>
      </c>
      <c r="J98" s="15" t="s">
        <v>3540</v>
      </c>
      <c r="K98" s="15" t="s">
        <v>1578</v>
      </c>
      <c r="L98" s="15" t="s">
        <v>3766</v>
      </c>
      <c r="M98" s="15" t="s">
        <v>4011</v>
      </c>
      <c r="N98" s="70">
        <v>1500</v>
      </c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1">
        <v>10</v>
      </c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131">
        <v>1</v>
      </c>
      <c r="BA98" s="131"/>
      <c r="BB98" s="131"/>
      <c r="BC98" s="131"/>
      <c r="BD98" s="131"/>
      <c r="BE98" s="169"/>
      <c r="BF98" s="184"/>
      <c r="BG98" s="173"/>
      <c r="BH98" s="173"/>
      <c r="BI98" s="173"/>
      <c r="BJ98" s="173"/>
      <c r="BK98" s="173"/>
      <c r="BL98" s="173"/>
      <c r="BM98" s="173"/>
      <c r="BN98" s="215"/>
      <c r="BO98" s="199"/>
      <c r="BP98" s="171"/>
      <c r="BQ98" s="226"/>
      <c r="BR98" s="184"/>
      <c r="BS98" s="173"/>
      <c r="BT98" s="173"/>
      <c r="BU98" s="173"/>
      <c r="BV98" s="173"/>
      <c r="BW98" s="173"/>
      <c r="BX98" s="173"/>
      <c r="BY98" s="173"/>
      <c r="BZ98" s="215"/>
      <c r="CA98" s="243"/>
      <c r="CB98" s="233"/>
      <c r="CC98" s="233"/>
      <c r="CD98" s="233"/>
      <c r="CE98" s="233"/>
      <c r="CF98" s="233"/>
      <c r="CG98" s="233"/>
      <c r="CH98" s="262"/>
      <c r="CI98" s="351"/>
      <c r="CJ98" s="350"/>
      <c r="CK98" s="350"/>
      <c r="CL98" s="350"/>
      <c r="CM98" s="350"/>
      <c r="CN98" s="350"/>
      <c r="CO98" s="350"/>
      <c r="CP98" s="350">
        <v>2</v>
      </c>
      <c r="CQ98" s="364"/>
      <c r="CR98" s="370"/>
      <c r="CS98" s="367"/>
      <c r="CT98" s="367"/>
      <c r="CU98" s="367"/>
      <c r="CV98" s="367"/>
      <c r="CW98" s="387">
        <v>10</v>
      </c>
      <c r="CX98" s="398"/>
      <c r="CY98" s="399"/>
      <c r="CZ98" s="399"/>
      <c r="DA98" s="399"/>
      <c r="DB98" s="399"/>
      <c r="DC98" s="400"/>
      <c r="DD98" s="400"/>
      <c r="DE98" s="514">
        <v>1</v>
      </c>
      <c r="DF98" s="514">
        <f t="shared" si="1"/>
        <v>1</v>
      </c>
      <c r="DG98" s="144"/>
      <c r="DH98" s="143"/>
    </row>
    <row r="99" spans="1:112" x14ac:dyDescent="0.25">
      <c r="A99" s="15" t="s">
        <v>1565</v>
      </c>
      <c r="B99" s="15">
        <v>810</v>
      </c>
      <c r="C99" s="15" t="s">
        <v>3686</v>
      </c>
      <c r="D99" s="15">
        <v>2537</v>
      </c>
      <c r="E99" s="15" t="s">
        <v>1579</v>
      </c>
      <c r="F99" s="15" t="s">
        <v>2981</v>
      </c>
      <c r="G99" s="15" t="s">
        <v>1580</v>
      </c>
      <c r="H99" s="15" t="s">
        <v>1581</v>
      </c>
      <c r="I99" s="15" t="s">
        <v>138</v>
      </c>
      <c r="J99" s="15" t="s">
        <v>3687</v>
      </c>
      <c r="K99" s="15" t="s">
        <v>1582</v>
      </c>
      <c r="L99" s="15" t="s">
        <v>3766</v>
      </c>
      <c r="M99" s="15" t="s">
        <v>4018</v>
      </c>
      <c r="N99" s="70"/>
      <c r="O99" s="70">
        <v>1500</v>
      </c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1"/>
      <c r="AH99" s="71">
        <v>10</v>
      </c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131">
        <f>VLOOKUP(Table7[[#This Row],[Vlookup Store '#]],'Kiosk Stickers'!A$4:$H$538,2,FALSE)</f>
        <v>1</v>
      </c>
      <c r="BA99" s="131"/>
      <c r="BB99" s="131"/>
      <c r="BC99" s="131"/>
      <c r="BD99" s="131"/>
      <c r="BE99" s="169"/>
      <c r="BF99" s="184">
        <f>VLOOKUP(Table7[[#This Row],[Vlookup Store '#]],'Kiosk Stickers'!A$4:$H$538,3,FALSE)</f>
        <v>0</v>
      </c>
      <c r="BG99" s="173"/>
      <c r="BH99" s="173"/>
      <c r="BI99" s="173"/>
      <c r="BJ99" s="173"/>
      <c r="BK99" s="173"/>
      <c r="BL99" s="173"/>
      <c r="BM99" s="173"/>
      <c r="BN99" s="215"/>
      <c r="BO99" s="199">
        <f>VLOOKUP(Table7[[#This Row],[Vlookup Store '#]],'Kiosk Stickers'!A$4:$H$538,4,FALSE)</f>
        <v>0</v>
      </c>
      <c r="BP99" s="171"/>
      <c r="BQ99" s="226"/>
      <c r="BR99" s="184">
        <f>VLOOKUP(Table7[[#This Row],[Vlookup Store '#]],'Kiosk Stickers'!A$4:$H$538,5,FALSE)</f>
        <v>0</v>
      </c>
      <c r="BS99" s="173"/>
      <c r="BT99" s="173"/>
      <c r="BU99" s="173"/>
      <c r="BV99" s="173"/>
      <c r="BW99" s="173"/>
      <c r="BX99" s="173"/>
      <c r="BY99" s="173"/>
      <c r="BZ99" s="215"/>
      <c r="CA99" s="243"/>
      <c r="CB99" s="233"/>
      <c r="CC99" s="233"/>
      <c r="CD99" s="233"/>
      <c r="CE99" s="233"/>
      <c r="CF99" s="233"/>
      <c r="CG99" s="233"/>
      <c r="CH99" s="262"/>
      <c r="CI99" s="351"/>
      <c r="CJ99" s="350"/>
      <c r="CK99" s="350"/>
      <c r="CL99" s="350"/>
      <c r="CM99" s="350"/>
      <c r="CN99" s="350"/>
      <c r="CO99" s="350"/>
      <c r="CP99" s="350">
        <v>2</v>
      </c>
      <c r="CQ99" s="364"/>
      <c r="CR99" s="370"/>
      <c r="CS99" s="367"/>
      <c r="CT99" s="367"/>
      <c r="CU99" s="367"/>
      <c r="CV99" s="367"/>
      <c r="CW99" s="387">
        <v>10</v>
      </c>
      <c r="CX99" s="398"/>
      <c r="CY99" s="399"/>
      <c r="CZ99" s="399"/>
      <c r="DA99" s="399"/>
      <c r="DB99" s="399"/>
      <c r="DC99" s="400"/>
      <c r="DD99" s="400"/>
      <c r="DE99" s="514">
        <v>1</v>
      </c>
      <c r="DF99" s="514">
        <f t="shared" si="1"/>
        <v>1</v>
      </c>
      <c r="DG99" s="144"/>
      <c r="DH99" s="143"/>
    </row>
    <row r="100" spans="1:112" x14ac:dyDescent="0.25">
      <c r="A100" s="15" t="s">
        <v>1565</v>
      </c>
      <c r="B100" s="15">
        <v>810</v>
      </c>
      <c r="C100" s="15" t="s">
        <v>3688</v>
      </c>
      <c r="D100" s="15">
        <v>2538</v>
      </c>
      <c r="E100" s="15" t="s">
        <v>1583</v>
      </c>
      <c r="F100" s="15" t="s">
        <v>1584</v>
      </c>
      <c r="G100" s="15" t="s">
        <v>1585</v>
      </c>
      <c r="H100" s="15" t="s">
        <v>1586</v>
      </c>
      <c r="I100" s="15" t="s">
        <v>138</v>
      </c>
      <c r="J100" s="15" t="s">
        <v>3689</v>
      </c>
      <c r="K100" s="15" t="s">
        <v>1587</v>
      </c>
      <c r="L100" s="15" t="s">
        <v>3766</v>
      </c>
      <c r="M100" s="15" t="s">
        <v>4018</v>
      </c>
      <c r="N100" s="70"/>
      <c r="O100" s="70">
        <v>1500</v>
      </c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1"/>
      <c r="AH100" s="71">
        <v>10</v>
      </c>
      <c r="AI100" s="71"/>
      <c r="AJ100" s="71"/>
      <c r="AK100" s="71"/>
      <c r="AL100" s="71"/>
      <c r="AM100" s="71"/>
      <c r="AN100" s="71"/>
      <c r="AO100" s="71"/>
      <c r="AP100" s="71"/>
      <c r="AQ100" s="71"/>
      <c r="AR100" s="71"/>
      <c r="AS100" s="71"/>
      <c r="AT100" s="71"/>
      <c r="AU100" s="71"/>
      <c r="AV100" s="71"/>
      <c r="AW100" s="71"/>
      <c r="AX100" s="71"/>
      <c r="AY100" s="71"/>
      <c r="AZ100" s="131">
        <f>VLOOKUP(Table7[[#This Row],[Vlookup Store '#]],'Kiosk Stickers'!A$4:$H$538,2,FALSE)</f>
        <v>1</v>
      </c>
      <c r="BA100" s="131"/>
      <c r="BB100" s="131"/>
      <c r="BC100" s="131"/>
      <c r="BD100" s="131"/>
      <c r="BE100" s="169"/>
      <c r="BF100" s="184">
        <f>VLOOKUP(Table7[[#This Row],[Vlookup Store '#]],'Kiosk Stickers'!A$4:$H$538,3,FALSE)</f>
        <v>0</v>
      </c>
      <c r="BG100" s="173"/>
      <c r="BH100" s="173"/>
      <c r="BI100" s="173"/>
      <c r="BJ100" s="173"/>
      <c r="BK100" s="173"/>
      <c r="BL100" s="173"/>
      <c r="BM100" s="173"/>
      <c r="BN100" s="215"/>
      <c r="BO100" s="199">
        <f>VLOOKUP(Table7[[#This Row],[Vlookup Store '#]],'Kiosk Stickers'!A$4:$H$538,4,FALSE)</f>
        <v>0</v>
      </c>
      <c r="BP100" s="171"/>
      <c r="BQ100" s="226"/>
      <c r="BR100" s="184">
        <f>VLOOKUP(Table7[[#This Row],[Vlookup Store '#]],'Kiosk Stickers'!A$4:$H$538,5,FALSE)</f>
        <v>0</v>
      </c>
      <c r="BS100" s="173"/>
      <c r="BT100" s="173"/>
      <c r="BU100" s="173"/>
      <c r="BV100" s="173"/>
      <c r="BW100" s="173"/>
      <c r="BX100" s="173"/>
      <c r="BY100" s="173"/>
      <c r="BZ100" s="215"/>
      <c r="CA100" s="243"/>
      <c r="CB100" s="233"/>
      <c r="CC100" s="233"/>
      <c r="CD100" s="233"/>
      <c r="CE100" s="233"/>
      <c r="CF100" s="233"/>
      <c r="CG100" s="233"/>
      <c r="CH100" s="262"/>
      <c r="CI100" s="351"/>
      <c r="CJ100" s="350"/>
      <c r="CK100" s="350"/>
      <c r="CL100" s="350"/>
      <c r="CM100" s="350"/>
      <c r="CN100" s="350"/>
      <c r="CO100" s="350"/>
      <c r="CP100" s="350">
        <v>2</v>
      </c>
      <c r="CQ100" s="364"/>
      <c r="CR100" s="370"/>
      <c r="CS100" s="367"/>
      <c r="CT100" s="367"/>
      <c r="CU100" s="367"/>
      <c r="CV100" s="367"/>
      <c r="CW100" s="387">
        <v>10</v>
      </c>
      <c r="CX100" s="398"/>
      <c r="CY100" s="399"/>
      <c r="CZ100" s="399"/>
      <c r="DA100" s="399"/>
      <c r="DB100" s="399"/>
      <c r="DC100" s="400"/>
      <c r="DD100" s="400"/>
      <c r="DE100" s="514">
        <v>1</v>
      </c>
      <c r="DF100" s="514">
        <f t="shared" si="1"/>
        <v>1</v>
      </c>
      <c r="DG100" s="144"/>
      <c r="DH100" s="143"/>
    </row>
    <row r="101" spans="1:112" x14ac:dyDescent="0.25">
      <c r="A101" s="15" t="s">
        <v>1565</v>
      </c>
      <c r="B101" s="15">
        <v>810</v>
      </c>
      <c r="C101" s="15" t="s">
        <v>3693</v>
      </c>
      <c r="D101" s="15">
        <v>2554</v>
      </c>
      <c r="E101" s="15" t="s">
        <v>2982</v>
      </c>
      <c r="F101" s="15" t="s">
        <v>2983</v>
      </c>
      <c r="G101" s="15" t="s">
        <v>2984</v>
      </c>
      <c r="H101" s="15" t="s">
        <v>2985</v>
      </c>
      <c r="I101" s="15" t="s">
        <v>138</v>
      </c>
      <c r="J101" s="15" t="s">
        <v>3694</v>
      </c>
      <c r="K101" s="15" t="s">
        <v>2986</v>
      </c>
      <c r="L101" s="15" t="s">
        <v>3766</v>
      </c>
      <c r="M101" s="15" t="s">
        <v>4018</v>
      </c>
      <c r="N101" s="70"/>
      <c r="O101" s="70">
        <v>1500</v>
      </c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1"/>
      <c r="AH101" s="71">
        <v>10</v>
      </c>
      <c r="AI101" s="71"/>
      <c r="AJ101" s="71"/>
      <c r="AK101" s="71"/>
      <c r="AL101" s="71"/>
      <c r="AM101" s="71"/>
      <c r="AN101" s="71"/>
      <c r="AO101" s="71"/>
      <c r="AP101" s="71"/>
      <c r="AQ101" s="71"/>
      <c r="AR101" s="71"/>
      <c r="AS101" s="71"/>
      <c r="AT101" s="71"/>
      <c r="AU101" s="71"/>
      <c r="AV101" s="71"/>
      <c r="AW101" s="71"/>
      <c r="AX101" s="71"/>
      <c r="AY101" s="71"/>
      <c r="AZ101" s="131">
        <v>1</v>
      </c>
      <c r="BA101" s="131"/>
      <c r="BB101" s="131"/>
      <c r="BC101" s="131"/>
      <c r="BD101" s="131"/>
      <c r="BE101" s="169"/>
      <c r="BF101" s="184"/>
      <c r="BG101" s="173"/>
      <c r="BH101" s="173"/>
      <c r="BI101" s="173"/>
      <c r="BJ101" s="173"/>
      <c r="BK101" s="173"/>
      <c r="BL101" s="173"/>
      <c r="BM101" s="173"/>
      <c r="BN101" s="215"/>
      <c r="BO101" s="199"/>
      <c r="BP101" s="171"/>
      <c r="BQ101" s="226"/>
      <c r="BR101" s="184"/>
      <c r="BS101" s="173"/>
      <c r="BT101" s="173"/>
      <c r="BU101" s="173"/>
      <c r="BV101" s="173"/>
      <c r="BW101" s="173"/>
      <c r="BX101" s="173"/>
      <c r="BY101" s="173"/>
      <c r="BZ101" s="215"/>
      <c r="CA101" s="243"/>
      <c r="CB101" s="233"/>
      <c r="CC101" s="233"/>
      <c r="CD101" s="233"/>
      <c r="CE101" s="233"/>
      <c r="CF101" s="233"/>
      <c r="CG101" s="233"/>
      <c r="CH101" s="262"/>
      <c r="CI101" s="351"/>
      <c r="CJ101" s="350"/>
      <c r="CK101" s="350"/>
      <c r="CL101" s="350"/>
      <c r="CM101" s="350"/>
      <c r="CN101" s="350"/>
      <c r="CO101" s="350"/>
      <c r="CP101" s="350">
        <v>2</v>
      </c>
      <c r="CQ101" s="364"/>
      <c r="CR101" s="370"/>
      <c r="CS101" s="367"/>
      <c r="CT101" s="367"/>
      <c r="CU101" s="367"/>
      <c r="CV101" s="367"/>
      <c r="CW101" s="387">
        <v>10</v>
      </c>
      <c r="CX101" s="398"/>
      <c r="CY101" s="399"/>
      <c r="CZ101" s="399"/>
      <c r="DA101" s="399"/>
      <c r="DB101" s="399"/>
      <c r="DC101" s="400"/>
      <c r="DD101" s="400"/>
      <c r="DE101" s="514">
        <v>1</v>
      </c>
      <c r="DF101" s="514">
        <f t="shared" si="1"/>
        <v>1</v>
      </c>
      <c r="DG101" s="144"/>
      <c r="DH101" s="143"/>
    </row>
    <row r="102" spans="1:112" x14ac:dyDescent="0.25">
      <c r="A102" s="15" t="s">
        <v>1565</v>
      </c>
      <c r="B102" s="15">
        <v>810</v>
      </c>
      <c r="C102" s="15" t="s">
        <v>3701</v>
      </c>
      <c r="D102" s="15">
        <v>2567</v>
      </c>
      <c r="E102" s="15" t="s">
        <v>1588</v>
      </c>
      <c r="F102" s="15" t="s">
        <v>1589</v>
      </c>
      <c r="G102" s="15" t="s">
        <v>1590</v>
      </c>
      <c r="H102" s="15" t="s">
        <v>1591</v>
      </c>
      <c r="I102" s="15" t="s">
        <v>138</v>
      </c>
      <c r="J102" s="15" t="s">
        <v>3702</v>
      </c>
      <c r="K102" s="15" t="s">
        <v>1592</v>
      </c>
      <c r="L102" s="15" t="s">
        <v>3766</v>
      </c>
      <c r="M102" s="15" t="s">
        <v>4018</v>
      </c>
      <c r="N102" s="70"/>
      <c r="O102" s="70">
        <v>1500</v>
      </c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1"/>
      <c r="AH102" s="71">
        <v>10</v>
      </c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131">
        <f>VLOOKUP(Table7[[#This Row],[Vlookup Store '#]],'Kiosk Stickers'!A$4:$H$538,2,FALSE)</f>
        <v>1</v>
      </c>
      <c r="BA102" s="131"/>
      <c r="BB102" s="131"/>
      <c r="BC102" s="131"/>
      <c r="BD102" s="131"/>
      <c r="BE102" s="169"/>
      <c r="BF102" s="184">
        <f>VLOOKUP(Table7[[#This Row],[Vlookup Store '#]],'Kiosk Stickers'!A$4:$H$538,3,FALSE)</f>
        <v>0</v>
      </c>
      <c r="BG102" s="173"/>
      <c r="BH102" s="173"/>
      <c r="BI102" s="173"/>
      <c r="BJ102" s="173"/>
      <c r="BK102" s="173"/>
      <c r="BL102" s="173"/>
      <c r="BM102" s="173"/>
      <c r="BN102" s="215"/>
      <c r="BO102" s="199">
        <f>VLOOKUP(Table7[[#This Row],[Vlookup Store '#]],'Kiosk Stickers'!A$4:$H$538,4,FALSE)</f>
        <v>0</v>
      </c>
      <c r="BP102" s="171"/>
      <c r="BQ102" s="226"/>
      <c r="BR102" s="184">
        <f>VLOOKUP(Table7[[#This Row],[Vlookup Store '#]],'Kiosk Stickers'!A$4:$H$538,5,FALSE)</f>
        <v>0</v>
      </c>
      <c r="BS102" s="173"/>
      <c r="BT102" s="173"/>
      <c r="BU102" s="173"/>
      <c r="BV102" s="173"/>
      <c r="BW102" s="173"/>
      <c r="BX102" s="173"/>
      <c r="BY102" s="173"/>
      <c r="BZ102" s="215"/>
      <c r="CA102" s="243"/>
      <c r="CB102" s="233"/>
      <c r="CC102" s="233"/>
      <c r="CD102" s="233"/>
      <c r="CE102" s="233"/>
      <c r="CF102" s="233"/>
      <c r="CG102" s="233"/>
      <c r="CH102" s="262"/>
      <c r="CI102" s="351"/>
      <c r="CJ102" s="350"/>
      <c r="CK102" s="350"/>
      <c r="CL102" s="350"/>
      <c r="CM102" s="350"/>
      <c r="CN102" s="350"/>
      <c r="CO102" s="350"/>
      <c r="CP102" s="350">
        <v>2</v>
      </c>
      <c r="CQ102" s="364"/>
      <c r="CR102" s="370"/>
      <c r="CS102" s="367"/>
      <c r="CT102" s="367"/>
      <c r="CU102" s="367"/>
      <c r="CV102" s="367"/>
      <c r="CW102" s="387">
        <v>10</v>
      </c>
      <c r="CX102" s="398"/>
      <c r="CY102" s="399"/>
      <c r="CZ102" s="399"/>
      <c r="DA102" s="399"/>
      <c r="DB102" s="399"/>
      <c r="DC102" s="400"/>
      <c r="DD102" s="400"/>
      <c r="DE102" s="514">
        <v>1</v>
      </c>
      <c r="DF102" s="514">
        <f t="shared" si="1"/>
        <v>1</v>
      </c>
      <c r="DG102" s="144"/>
      <c r="DH102" s="143"/>
    </row>
    <row r="103" spans="1:112" x14ac:dyDescent="0.25">
      <c r="A103" s="15" t="s">
        <v>133</v>
      </c>
      <c r="B103" s="15">
        <v>810</v>
      </c>
      <c r="C103" s="15" t="s">
        <v>3524</v>
      </c>
      <c r="D103" s="15">
        <v>1473</v>
      </c>
      <c r="E103" s="15" t="s">
        <v>1601</v>
      </c>
      <c r="F103" s="15" t="s">
        <v>3002</v>
      </c>
      <c r="G103" s="15" t="s">
        <v>1602</v>
      </c>
      <c r="H103" s="15" t="s">
        <v>1603</v>
      </c>
      <c r="I103" s="15" t="s">
        <v>138</v>
      </c>
      <c r="J103" s="15" t="s">
        <v>3525</v>
      </c>
      <c r="K103" s="15" t="s">
        <v>1604</v>
      </c>
      <c r="L103" s="15" t="s">
        <v>3837</v>
      </c>
      <c r="M103" s="15" t="s">
        <v>3839</v>
      </c>
      <c r="N103" s="70"/>
      <c r="O103" s="70"/>
      <c r="P103" s="70"/>
      <c r="Q103" s="70"/>
      <c r="R103" s="70"/>
      <c r="S103" s="70"/>
      <c r="T103" s="70">
        <v>1500</v>
      </c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1"/>
      <c r="AH103" s="71"/>
      <c r="AI103" s="71"/>
      <c r="AJ103" s="71"/>
      <c r="AK103" s="71"/>
      <c r="AL103" s="71"/>
      <c r="AM103" s="71">
        <v>10</v>
      </c>
      <c r="AN103" s="71"/>
      <c r="AO103" s="71"/>
      <c r="AP103" s="71"/>
      <c r="AQ103" s="71"/>
      <c r="AR103" s="71"/>
      <c r="AS103" s="71"/>
      <c r="AT103" s="71"/>
      <c r="AU103" s="71"/>
      <c r="AV103" s="71"/>
      <c r="AW103" s="71"/>
      <c r="AX103" s="71"/>
      <c r="AY103" s="71"/>
      <c r="AZ103" s="165"/>
      <c r="BA103" s="131"/>
      <c r="BB103" s="131">
        <f>VLOOKUP(Table7[[#This Row],[Vlookup Store '#]],'Kiosk Stickers'!A$4:$H$538,2,FALSE)</f>
        <v>2</v>
      </c>
      <c r="BC103" s="131"/>
      <c r="BD103" s="131"/>
      <c r="BE103" s="169"/>
      <c r="BF103" s="184">
        <f>VLOOKUP(Table7[[#This Row],[Vlookup Store '#]],'Kiosk Stickers'!A$4:$H$538,3,FALSE)</f>
        <v>0</v>
      </c>
      <c r="BG103" s="173"/>
      <c r="BH103" s="173"/>
      <c r="BI103" s="173"/>
      <c r="BJ103" s="173"/>
      <c r="BK103" s="173"/>
      <c r="BL103" s="173"/>
      <c r="BM103" s="173"/>
      <c r="BN103" s="215"/>
      <c r="BO103" s="199">
        <f>VLOOKUP(Table7[[#This Row],[Vlookup Store '#]],'Kiosk Stickers'!A$4:$H$538,4,FALSE)</f>
        <v>0</v>
      </c>
      <c r="BP103" s="171"/>
      <c r="BQ103" s="226"/>
      <c r="BR103" s="184">
        <f>VLOOKUP(Table7[[#This Row],[Vlookup Store '#]],'Kiosk Stickers'!A$4:$H$538,5,FALSE)</f>
        <v>0</v>
      </c>
      <c r="BS103" s="173"/>
      <c r="BT103" s="173"/>
      <c r="BU103" s="173"/>
      <c r="BV103" s="173"/>
      <c r="BW103" s="173"/>
      <c r="BX103" s="173"/>
      <c r="BY103" s="173"/>
      <c r="BZ103" s="215"/>
      <c r="CA103" s="243"/>
      <c r="CB103" s="233"/>
      <c r="CC103" s="233"/>
      <c r="CD103" s="233"/>
      <c r="CE103" s="233"/>
      <c r="CF103" s="233"/>
      <c r="CG103" s="233"/>
      <c r="CH103" s="262"/>
      <c r="CI103" s="351">
        <v>2</v>
      </c>
      <c r="CJ103" s="350"/>
      <c r="CK103" s="350"/>
      <c r="CL103" s="350"/>
      <c r="CM103" s="350"/>
      <c r="CN103" s="350"/>
      <c r="CO103" s="350"/>
      <c r="CP103" s="350"/>
      <c r="CQ103" s="364"/>
      <c r="CR103" s="370">
        <v>10</v>
      </c>
      <c r="CS103" s="367"/>
      <c r="CT103" s="367"/>
      <c r="CU103" s="367"/>
      <c r="CV103" s="367"/>
      <c r="CW103" s="387"/>
      <c r="CX103" s="398">
        <v>1</v>
      </c>
      <c r="CY103" s="399"/>
      <c r="CZ103" s="399"/>
      <c r="DA103" s="399"/>
      <c r="DB103" s="399"/>
      <c r="DC103" s="400"/>
      <c r="DD103" s="400"/>
      <c r="DE103" s="514"/>
      <c r="DF103" s="514">
        <f>SUM(CX103:DE103)</f>
        <v>1</v>
      </c>
      <c r="DG103" s="144"/>
      <c r="DH103" s="143"/>
    </row>
    <row r="104" spans="1:112" x14ac:dyDescent="0.25">
      <c r="A104" s="15" t="s">
        <v>133</v>
      </c>
      <c r="B104" s="15">
        <v>810</v>
      </c>
      <c r="C104" s="15" t="s">
        <v>3704</v>
      </c>
      <c r="D104" s="15">
        <v>2570</v>
      </c>
      <c r="E104" s="15" t="s">
        <v>1593</v>
      </c>
      <c r="F104" s="15" t="s">
        <v>1594</v>
      </c>
      <c r="G104" s="15" t="s">
        <v>3007</v>
      </c>
      <c r="H104" s="15" t="s">
        <v>1595</v>
      </c>
      <c r="I104" s="15" t="s">
        <v>138</v>
      </c>
      <c r="J104" s="15" t="s">
        <v>3705</v>
      </c>
      <c r="K104" s="15" t="s">
        <v>1596</v>
      </c>
      <c r="L104" s="15" t="s">
        <v>3766</v>
      </c>
      <c r="M104" s="15" t="s">
        <v>4011</v>
      </c>
      <c r="N104" s="70">
        <v>1500</v>
      </c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1">
        <v>10</v>
      </c>
      <c r="AH104" s="71"/>
      <c r="AI104" s="71"/>
      <c r="AJ104" s="71"/>
      <c r="AK104" s="71"/>
      <c r="AL104" s="71"/>
      <c r="AM104" s="71"/>
      <c r="AN104" s="71"/>
      <c r="AO104" s="71"/>
      <c r="AP104" s="71"/>
      <c r="AQ104" s="71"/>
      <c r="AR104" s="71"/>
      <c r="AS104" s="71"/>
      <c r="AT104" s="71"/>
      <c r="AU104" s="71"/>
      <c r="AV104" s="71"/>
      <c r="AW104" s="71"/>
      <c r="AX104" s="71"/>
      <c r="AY104" s="71"/>
      <c r="AZ104" s="131">
        <f>VLOOKUP(Table7[[#This Row],[Vlookup Store '#]],'Kiosk Stickers'!A$4:$H$538,2,FALSE)</f>
        <v>2</v>
      </c>
      <c r="BA104" s="131"/>
      <c r="BB104" s="131"/>
      <c r="BC104" s="131"/>
      <c r="BD104" s="131"/>
      <c r="BE104" s="169"/>
      <c r="BF104" s="184">
        <f>VLOOKUP(Table7[[#This Row],[Vlookup Store '#]],'Kiosk Stickers'!A$4:$H$538,3,FALSE)</f>
        <v>0</v>
      </c>
      <c r="BG104" s="173"/>
      <c r="BH104" s="173"/>
      <c r="BI104" s="173"/>
      <c r="BJ104" s="173"/>
      <c r="BK104" s="173"/>
      <c r="BL104" s="173"/>
      <c r="BM104" s="173"/>
      <c r="BN104" s="215"/>
      <c r="BO104" s="199">
        <f>VLOOKUP(Table7[[#This Row],[Vlookup Store '#]],'Kiosk Stickers'!A$4:$H$538,4,FALSE)</f>
        <v>0</v>
      </c>
      <c r="BP104" s="171"/>
      <c r="BQ104" s="226"/>
      <c r="BR104" s="184">
        <f>VLOOKUP(Table7[[#This Row],[Vlookup Store '#]],'Kiosk Stickers'!A$4:$H$538,5,FALSE)</f>
        <v>0</v>
      </c>
      <c r="BS104" s="173"/>
      <c r="BT104" s="173"/>
      <c r="BU104" s="173"/>
      <c r="BV104" s="173"/>
      <c r="BW104" s="173"/>
      <c r="BX104" s="173"/>
      <c r="BY104" s="173"/>
      <c r="BZ104" s="215"/>
      <c r="CA104" s="243"/>
      <c r="CB104" s="233"/>
      <c r="CC104" s="233"/>
      <c r="CD104" s="233"/>
      <c r="CE104" s="233"/>
      <c r="CF104" s="233"/>
      <c r="CG104" s="233"/>
      <c r="CH104" s="262"/>
      <c r="CI104" s="351"/>
      <c r="CJ104" s="350"/>
      <c r="CK104" s="350"/>
      <c r="CL104" s="350"/>
      <c r="CM104" s="350"/>
      <c r="CN104" s="350"/>
      <c r="CO104" s="350"/>
      <c r="CP104" s="350">
        <v>2</v>
      </c>
      <c r="CQ104" s="364"/>
      <c r="CR104" s="370"/>
      <c r="CS104" s="367"/>
      <c r="CT104" s="367"/>
      <c r="CU104" s="367"/>
      <c r="CV104" s="367"/>
      <c r="CW104" s="387">
        <v>10</v>
      </c>
      <c r="CX104" s="398"/>
      <c r="CY104" s="399"/>
      <c r="CZ104" s="399"/>
      <c r="DA104" s="399"/>
      <c r="DB104" s="399"/>
      <c r="DC104" s="400"/>
      <c r="DD104" s="400"/>
      <c r="DE104" s="514">
        <v>1</v>
      </c>
      <c r="DF104" s="514">
        <f t="shared" si="1"/>
        <v>1</v>
      </c>
      <c r="DG104" s="144"/>
      <c r="DH104" s="143"/>
    </row>
    <row r="105" spans="1:112" x14ac:dyDescent="0.25">
      <c r="A105" s="15" t="s">
        <v>248</v>
      </c>
      <c r="B105" s="15">
        <v>810</v>
      </c>
      <c r="C105" s="15" t="s">
        <v>3513</v>
      </c>
      <c r="D105" s="15">
        <v>1464</v>
      </c>
      <c r="E105" s="15" t="s">
        <v>1715</v>
      </c>
      <c r="F105" s="15" t="s">
        <v>2958</v>
      </c>
      <c r="G105" s="15" t="s">
        <v>1716</v>
      </c>
      <c r="H105" s="15" t="s">
        <v>1717</v>
      </c>
      <c r="I105" s="15" t="s">
        <v>138</v>
      </c>
      <c r="J105" s="15" t="s">
        <v>3514</v>
      </c>
      <c r="K105" s="15" t="s">
        <v>1718</v>
      </c>
      <c r="L105" s="15" t="s">
        <v>3844</v>
      </c>
      <c r="M105" s="15" t="s">
        <v>3845</v>
      </c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>
        <v>1500</v>
      </c>
      <c r="Y105" s="70"/>
      <c r="Z105" s="70"/>
      <c r="AA105" s="70"/>
      <c r="AB105" s="70"/>
      <c r="AC105" s="70"/>
      <c r="AD105" s="70"/>
      <c r="AE105" s="70"/>
      <c r="AF105" s="70"/>
      <c r="AG105" s="71"/>
      <c r="AH105" s="71"/>
      <c r="AI105" s="71"/>
      <c r="AJ105" s="71"/>
      <c r="AK105" s="71"/>
      <c r="AL105" s="71"/>
      <c r="AM105" s="71"/>
      <c r="AN105" s="71"/>
      <c r="AO105" s="71"/>
      <c r="AP105" s="71"/>
      <c r="AQ105" s="71">
        <v>10</v>
      </c>
      <c r="AR105" s="71"/>
      <c r="AS105" s="71"/>
      <c r="AT105" s="71"/>
      <c r="AU105" s="71"/>
      <c r="AV105" s="71"/>
      <c r="AW105" s="71"/>
      <c r="AX105" s="71"/>
      <c r="AY105" s="71"/>
      <c r="AZ105" s="131">
        <f>VLOOKUP(Table7[[#This Row],[Vlookup Store '#]],'Kiosk Stickers'!A$4:$H$538,2,FALSE)</f>
        <v>0</v>
      </c>
      <c r="BA105" s="131"/>
      <c r="BB105" s="131"/>
      <c r="BC105" s="131"/>
      <c r="BD105" s="131"/>
      <c r="BE105" s="169"/>
      <c r="BF105" s="194"/>
      <c r="BG105" s="173"/>
      <c r="BH105" s="173">
        <f>VLOOKUP(Table7[[#This Row],[Vlookup Store '#]],'Kiosk Stickers'!A$4:$H$538,3,FALSE)</f>
        <v>2</v>
      </c>
      <c r="BI105" s="173"/>
      <c r="BJ105" s="173"/>
      <c r="BK105" s="173"/>
      <c r="BL105" s="173"/>
      <c r="BM105" s="173"/>
      <c r="BN105" s="215"/>
      <c r="BO105" s="199">
        <f>VLOOKUP(Table7[[#This Row],[Vlookup Store '#]],'Kiosk Stickers'!A$4:$H$538,4,FALSE)</f>
        <v>0</v>
      </c>
      <c r="BP105" s="171"/>
      <c r="BQ105" s="226"/>
      <c r="BR105" s="184">
        <f>VLOOKUP(Table7[[#This Row],[Vlookup Store '#]],'Kiosk Stickers'!A$4:$H$538,5,FALSE)</f>
        <v>0</v>
      </c>
      <c r="BS105" s="173"/>
      <c r="BT105" s="173"/>
      <c r="BU105" s="173"/>
      <c r="BV105" s="173"/>
      <c r="BW105" s="173"/>
      <c r="BX105" s="173"/>
      <c r="BY105" s="173"/>
      <c r="BZ105" s="215"/>
      <c r="CA105" s="243"/>
      <c r="CB105" s="233"/>
      <c r="CC105" s="233"/>
      <c r="CD105" s="233"/>
      <c r="CE105" s="233"/>
      <c r="CF105" s="233"/>
      <c r="CG105" s="233"/>
      <c r="CH105" s="262"/>
      <c r="CI105" s="351"/>
      <c r="CJ105" s="350"/>
      <c r="CK105" s="350">
        <v>2</v>
      </c>
      <c r="CL105" s="350"/>
      <c r="CM105" s="350"/>
      <c r="CN105" s="350"/>
      <c r="CO105" s="350"/>
      <c r="CP105" s="350"/>
      <c r="CQ105" s="364"/>
      <c r="CR105" s="370"/>
      <c r="CS105" s="367"/>
      <c r="CT105" s="367">
        <v>10</v>
      </c>
      <c r="CU105" s="367"/>
      <c r="CV105" s="367"/>
      <c r="CW105" s="387"/>
      <c r="CX105" s="398"/>
      <c r="CY105" s="399"/>
      <c r="CZ105" s="399">
        <v>1</v>
      </c>
      <c r="DA105" s="399"/>
      <c r="DB105" s="399"/>
      <c r="DC105" s="400"/>
      <c r="DD105" s="400"/>
      <c r="DE105" s="514"/>
      <c r="DF105" s="514">
        <f t="shared" si="1"/>
        <v>1</v>
      </c>
      <c r="DG105" s="144"/>
      <c r="DH105" s="143"/>
    </row>
    <row r="106" spans="1:112" x14ac:dyDescent="0.25">
      <c r="A106" s="15" t="s">
        <v>248</v>
      </c>
      <c r="B106" s="15">
        <v>810</v>
      </c>
      <c r="C106" s="15" t="s">
        <v>3518</v>
      </c>
      <c r="D106" s="15">
        <v>1467</v>
      </c>
      <c r="E106" s="15" t="s">
        <v>249</v>
      </c>
      <c r="F106" s="15" t="s">
        <v>1727</v>
      </c>
      <c r="G106" s="15" t="s">
        <v>250</v>
      </c>
      <c r="H106" s="15" t="s">
        <v>251</v>
      </c>
      <c r="I106" s="15" t="s">
        <v>138</v>
      </c>
      <c r="J106" s="15" t="s">
        <v>3519</v>
      </c>
      <c r="K106" s="15" t="s">
        <v>252</v>
      </c>
      <c r="L106" s="15" t="s">
        <v>3844</v>
      </c>
      <c r="M106" s="15" t="s">
        <v>3845</v>
      </c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>
        <v>1500</v>
      </c>
      <c r="Y106" s="70"/>
      <c r="Z106" s="70"/>
      <c r="AA106" s="70"/>
      <c r="AB106" s="70"/>
      <c r="AC106" s="70"/>
      <c r="AD106" s="70"/>
      <c r="AE106" s="70"/>
      <c r="AF106" s="70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>
        <v>10</v>
      </c>
      <c r="AR106" s="71"/>
      <c r="AS106" s="71"/>
      <c r="AT106" s="71"/>
      <c r="AU106" s="71"/>
      <c r="AV106" s="71"/>
      <c r="AW106" s="71"/>
      <c r="AX106" s="71"/>
      <c r="AY106" s="71"/>
      <c r="AZ106" s="131">
        <f>VLOOKUP(Table7[[#This Row],[Vlookup Store '#]],'Kiosk Stickers'!A$4:$H$538,2,FALSE)</f>
        <v>0</v>
      </c>
      <c r="BA106" s="131"/>
      <c r="BB106" s="131"/>
      <c r="BC106" s="131"/>
      <c r="BD106" s="131"/>
      <c r="BE106" s="169"/>
      <c r="BF106" s="194"/>
      <c r="BG106" s="173"/>
      <c r="BH106" s="173">
        <f>VLOOKUP(Table7[[#This Row],[Vlookup Store '#]],'Kiosk Stickers'!A$4:$H$538,3,FALSE)</f>
        <v>2</v>
      </c>
      <c r="BI106" s="173"/>
      <c r="BJ106" s="173"/>
      <c r="BK106" s="173"/>
      <c r="BL106" s="173"/>
      <c r="BM106" s="173"/>
      <c r="BN106" s="215"/>
      <c r="BO106" s="199">
        <f>VLOOKUP(Table7[[#This Row],[Vlookup Store '#]],'Kiosk Stickers'!A$4:$H$538,4,FALSE)</f>
        <v>0</v>
      </c>
      <c r="BP106" s="171"/>
      <c r="BQ106" s="226"/>
      <c r="BR106" s="184">
        <f>VLOOKUP(Table7[[#This Row],[Vlookup Store '#]],'Kiosk Stickers'!A$4:$H$538,5,FALSE)</f>
        <v>0</v>
      </c>
      <c r="BS106" s="173"/>
      <c r="BT106" s="173"/>
      <c r="BU106" s="173"/>
      <c r="BV106" s="173"/>
      <c r="BW106" s="173"/>
      <c r="BX106" s="173"/>
      <c r="BY106" s="173"/>
      <c r="BZ106" s="215"/>
      <c r="CA106" s="243"/>
      <c r="CB106" s="233"/>
      <c r="CC106" s="233"/>
      <c r="CD106" s="233"/>
      <c r="CE106" s="233"/>
      <c r="CF106" s="233"/>
      <c r="CG106" s="233"/>
      <c r="CH106" s="262"/>
      <c r="CI106" s="351"/>
      <c r="CJ106" s="350"/>
      <c r="CK106" s="350">
        <v>2</v>
      </c>
      <c r="CL106" s="350"/>
      <c r="CM106" s="350"/>
      <c r="CN106" s="350"/>
      <c r="CO106" s="350"/>
      <c r="CP106" s="350"/>
      <c r="CQ106" s="364"/>
      <c r="CR106" s="370"/>
      <c r="CS106" s="367"/>
      <c r="CT106" s="367">
        <v>10</v>
      </c>
      <c r="CU106" s="367"/>
      <c r="CV106" s="367"/>
      <c r="CW106" s="387"/>
      <c r="CX106" s="398"/>
      <c r="CY106" s="399"/>
      <c r="CZ106" s="399">
        <v>1</v>
      </c>
      <c r="DA106" s="399"/>
      <c r="DB106" s="399"/>
      <c r="DC106" s="400"/>
      <c r="DD106" s="400"/>
      <c r="DE106" s="514"/>
      <c r="DF106" s="514">
        <f t="shared" si="1"/>
        <v>1</v>
      </c>
      <c r="DG106" s="144"/>
      <c r="DH106" s="143"/>
    </row>
    <row r="107" spans="1:112" x14ac:dyDescent="0.25">
      <c r="A107" s="15" t="s">
        <v>248</v>
      </c>
      <c r="B107" s="15">
        <v>810</v>
      </c>
      <c r="C107" s="15" t="s">
        <v>3520</v>
      </c>
      <c r="D107" s="15">
        <v>1468</v>
      </c>
      <c r="E107" s="15" t="s">
        <v>1728</v>
      </c>
      <c r="F107" s="15" t="s">
        <v>1729</v>
      </c>
      <c r="G107" s="15" t="s">
        <v>1730</v>
      </c>
      <c r="H107" s="15" t="s">
        <v>251</v>
      </c>
      <c r="I107" s="15" t="s">
        <v>138</v>
      </c>
      <c r="J107" s="15" t="s">
        <v>3519</v>
      </c>
      <c r="K107" s="15" t="s">
        <v>1731</v>
      </c>
      <c r="L107" s="15" t="s">
        <v>3844</v>
      </c>
      <c r="M107" s="15" t="s">
        <v>3845</v>
      </c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>
        <v>1500</v>
      </c>
      <c r="Y107" s="70"/>
      <c r="Z107" s="70"/>
      <c r="AA107" s="70"/>
      <c r="AB107" s="70"/>
      <c r="AC107" s="70"/>
      <c r="AD107" s="70"/>
      <c r="AE107" s="70"/>
      <c r="AF107" s="70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>
        <v>10</v>
      </c>
      <c r="AR107" s="71"/>
      <c r="AS107" s="71"/>
      <c r="AT107" s="71"/>
      <c r="AU107" s="71"/>
      <c r="AV107" s="71"/>
      <c r="AW107" s="71"/>
      <c r="AX107" s="71"/>
      <c r="AY107" s="71"/>
      <c r="AZ107" s="131">
        <f>VLOOKUP(Table7[[#This Row],[Vlookup Store '#]],'Kiosk Stickers'!A$4:$H$538,2,FALSE)</f>
        <v>0</v>
      </c>
      <c r="BA107" s="131"/>
      <c r="BB107" s="131"/>
      <c r="BC107" s="131"/>
      <c r="BD107" s="131"/>
      <c r="BE107" s="169"/>
      <c r="BF107" s="194"/>
      <c r="BG107" s="173"/>
      <c r="BH107" s="173">
        <f>VLOOKUP(Table7[[#This Row],[Vlookup Store '#]],'Kiosk Stickers'!A$4:$H$538,3,FALSE)</f>
        <v>2</v>
      </c>
      <c r="BI107" s="173"/>
      <c r="BJ107" s="173"/>
      <c r="BK107" s="173"/>
      <c r="BL107" s="173"/>
      <c r="BM107" s="173"/>
      <c r="BN107" s="215"/>
      <c r="BO107" s="199">
        <f>VLOOKUP(Table7[[#This Row],[Vlookup Store '#]],'Kiosk Stickers'!A$4:$H$538,4,FALSE)</f>
        <v>0</v>
      </c>
      <c r="BP107" s="171"/>
      <c r="BQ107" s="226"/>
      <c r="BR107" s="184">
        <f>VLOOKUP(Table7[[#This Row],[Vlookup Store '#]],'Kiosk Stickers'!A$4:$H$538,5,FALSE)</f>
        <v>0</v>
      </c>
      <c r="BS107" s="173"/>
      <c r="BT107" s="173"/>
      <c r="BU107" s="173"/>
      <c r="BV107" s="173"/>
      <c r="BW107" s="173"/>
      <c r="BX107" s="173"/>
      <c r="BY107" s="173"/>
      <c r="BZ107" s="215"/>
      <c r="CA107" s="243"/>
      <c r="CB107" s="233"/>
      <c r="CC107" s="233"/>
      <c r="CD107" s="233"/>
      <c r="CE107" s="233"/>
      <c r="CF107" s="233"/>
      <c r="CG107" s="233"/>
      <c r="CH107" s="262"/>
      <c r="CI107" s="351"/>
      <c r="CJ107" s="350"/>
      <c r="CK107" s="350">
        <v>2</v>
      </c>
      <c r="CL107" s="350"/>
      <c r="CM107" s="350"/>
      <c r="CN107" s="350"/>
      <c r="CO107" s="350"/>
      <c r="CP107" s="350"/>
      <c r="CQ107" s="364"/>
      <c r="CR107" s="370"/>
      <c r="CS107" s="367"/>
      <c r="CT107" s="367">
        <v>10</v>
      </c>
      <c r="CU107" s="367"/>
      <c r="CV107" s="367"/>
      <c r="CW107" s="387"/>
      <c r="CX107" s="398"/>
      <c r="CY107" s="399"/>
      <c r="CZ107" s="399">
        <v>1</v>
      </c>
      <c r="DA107" s="399"/>
      <c r="DB107" s="399"/>
      <c r="DC107" s="400"/>
      <c r="DD107" s="400"/>
      <c r="DE107" s="514"/>
      <c r="DF107" s="514">
        <f t="shared" si="1"/>
        <v>1</v>
      </c>
      <c r="DG107" s="144"/>
      <c r="DH107" s="143"/>
    </row>
    <row r="108" spans="1:112" x14ac:dyDescent="0.25">
      <c r="A108" s="15" t="s">
        <v>174</v>
      </c>
      <c r="B108" s="15">
        <v>801</v>
      </c>
      <c r="C108" s="15" t="s">
        <v>1880</v>
      </c>
      <c r="D108" s="15">
        <v>609</v>
      </c>
      <c r="E108" s="15" t="s">
        <v>1881</v>
      </c>
      <c r="F108" s="15" t="s">
        <v>1886</v>
      </c>
      <c r="G108" s="15" t="s">
        <v>1882</v>
      </c>
      <c r="H108" s="15" t="s">
        <v>1773</v>
      </c>
      <c r="I108" s="15" t="s">
        <v>179</v>
      </c>
      <c r="J108" s="15" t="s">
        <v>3242</v>
      </c>
      <c r="K108" s="15" t="s">
        <v>1883</v>
      </c>
      <c r="L108" s="15" t="s">
        <v>3737</v>
      </c>
      <c r="M108" s="15" t="s">
        <v>3802</v>
      </c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>
        <v>1500</v>
      </c>
      <c r="AB108" s="70"/>
      <c r="AC108" s="70"/>
      <c r="AD108" s="70"/>
      <c r="AE108" s="70"/>
      <c r="AF108" s="70"/>
      <c r="AG108" s="71"/>
      <c r="AH108" s="71"/>
      <c r="AI108" s="71"/>
      <c r="AJ108" s="71"/>
      <c r="AK108" s="71"/>
      <c r="AL108" s="71"/>
      <c r="AM108" s="71"/>
      <c r="AN108" s="71"/>
      <c r="AO108" s="71"/>
      <c r="AP108" s="71"/>
      <c r="AQ108" s="71"/>
      <c r="AR108" s="71"/>
      <c r="AS108" s="71"/>
      <c r="AT108" s="71">
        <v>10</v>
      </c>
      <c r="AU108" s="71"/>
      <c r="AV108" s="71"/>
      <c r="AW108" s="71"/>
      <c r="AX108" s="71"/>
      <c r="AY108" s="71"/>
      <c r="AZ108" s="131">
        <f>VLOOKUP(Table7[[#This Row],[Vlookup Store '#]],'Kiosk Stickers'!A$4:$H$538,2,FALSE)</f>
        <v>0</v>
      </c>
      <c r="BA108" s="131"/>
      <c r="BB108" s="131"/>
      <c r="BC108" s="131"/>
      <c r="BD108" s="131"/>
      <c r="BE108" s="169"/>
      <c r="BF108" s="184">
        <f>VLOOKUP(Table7[[#This Row],[Vlookup Store '#]],'Kiosk Stickers'!A$4:$H$538,3,FALSE)</f>
        <v>0</v>
      </c>
      <c r="BG108" s="173"/>
      <c r="BH108" s="173"/>
      <c r="BI108" s="173"/>
      <c r="BJ108" s="173"/>
      <c r="BK108" s="173"/>
      <c r="BL108" s="173"/>
      <c r="BM108" s="173"/>
      <c r="BN108" s="215"/>
      <c r="BO108" s="199">
        <f>VLOOKUP(Table7[[#This Row],[Vlookup Store '#]],'Kiosk Stickers'!A$4:$H$538,4,FALSE)</f>
        <v>0</v>
      </c>
      <c r="BP108" s="171"/>
      <c r="BQ108" s="226"/>
      <c r="BR108" s="184">
        <f>VLOOKUP(Table7[[#This Row],[Vlookup Store '#]],'Kiosk Stickers'!A$4:$H$538,5,FALSE)</f>
        <v>0</v>
      </c>
      <c r="BS108" s="173"/>
      <c r="BT108" s="173"/>
      <c r="BU108" s="173"/>
      <c r="BV108" s="173"/>
      <c r="BW108" s="173"/>
      <c r="BX108" s="173"/>
      <c r="BY108" s="173"/>
      <c r="BZ108" s="215"/>
      <c r="CA108" s="244"/>
      <c r="CB108" s="233"/>
      <c r="CC108" s="239">
        <f>VLOOKUP(Table7[[#This Row],[Vlookup Store '#]],'Kiosk Stickers'!A$4:$H$538,6,FALSE)</f>
        <v>1</v>
      </c>
      <c r="CD108" s="233"/>
      <c r="CE108" s="233"/>
      <c r="CF108" s="233"/>
      <c r="CG108" s="233"/>
      <c r="CH108" s="262"/>
      <c r="CI108" s="351"/>
      <c r="CJ108" s="350"/>
      <c r="CK108" s="350"/>
      <c r="CL108" s="350">
        <v>2</v>
      </c>
      <c r="CM108" s="350"/>
      <c r="CN108" s="350"/>
      <c r="CO108" s="350"/>
      <c r="CP108" s="350"/>
      <c r="CQ108" s="364"/>
      <c r="CR108" s="370"/>
      <c r="CS108" s="367"/>
      <c r="CT108" s="367"/>
      <c r="CU108" s="367">
        <v>10</v>
      </c>
      <c r="CV108" s="367"/>
      <c r="CW108" s="387"/>
      <c r="CX108" s="398"/>
      <c r="CY108" s="399"/>
      <c r="CZ108" s="399"/>
      <c r="DA108" s="399"/>
      <c r="DB108" s="399">
        <v>1</v>
      </c>
      <c r="DC108" s="400"/>
      <c r="DD108" s="400"/>
      <c r="DE108" s="514"/>
      <c r="DF108" s="514">
        <f t="shared" si="1"/>
        <v>1</v>
      </c>
      <c r="DG108" s="144"/>
      <c r="DH108" s="143"/>
    </row>
    <row r="109" spans="1:112" x14ac:dyDescent="0.25">
      <c r="A109" s="15" t="s">
        <v>174</v>
      </c>
      <c r="B109" s="15">
        <v>801</v>
      </c>
      <c r="C109" s="15" t="s">
        <v>1911</v>
      </c>
      <c r="D109" s="15">
        <v>803</v>
      </c>
      <c r="E109" s="15" t="s">
        <v>1912</v>
      </c>
      <c r="F109" s="15" t="s">
        <v>3271</v>
      </c>
      <c r="G109" s="15" t="s">
        <v>1914</v>
      </c>
      <c r="H109" s="15" t="s">
        <v>1904</v>
      </c>
      <c r="I109" s="15" t="s">
        <v>179</v>
      </c>
      <c r="J109" s="15" t="s">
        <v>3269</v>
      </c>
      <c r="K109" s="15" t="s">
        <v>1915</v>
      </c>
      <c r="L109" s="15" t="s">
        <v>3737</v>
      </c>
      <c r="M109" s="15" t="s">
        <v>3739</v>
      </c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>
        <v>1500</v>
      </c>
      <c r="AA109" s="70"/>
      <c r="AB109" s="70"/>
      <c r="AC109" s="70"/>
      <c r="AD109" s="70"/>
      <c r="AE109" s="70"/>
      <c r="AF109" s="70"/>
      <c r="AG109" s="71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1"/>
      <c r="AS109" s="71">
        <v>10</v>
      </c>
      <c r="AT109" s="71"/>
      <c r="AU109" s="71"/>
      <c r="AV109" s="71"/>
      <c r="AW109" s="71"/>
      <c r="AX109" s="71"/>
      <c r="AY109" s="71"/>
      <c r="AZ109" s="131">
        <f>VLOOKUP(Table7[[#This Row],[Vlookup Store '#]],'Kiosk Stickers'!A$4:$H$538,2,FALSE)</f>
        <v>0</v>
      </c>
      <c r="BA109" s="131"/>
      <c r="BB109" s="131"/>
      <c r="BC109" s="131"/>
      <c r="BD109" s="131"/>
      <c r="BE109" s="169"/>
      <c r="BF109" s="184">
        <f>VLOOKUP(Table7[[#This Row],[Vlookup Store '#]],'Kiosk Stickers'!A$4:$H$538,3,FALSE)</f>
        <v>0</v>
      </c>
      <c r="BG109" s="173"/>
      <c r="BH109" s="173"/>
      <c r="BI109" s="173"/>
      <c r="BJ109" s="173"/>
      <c r="BK109" s="173"/>
      <c r="BL109" s="173"/>
      <c r="BM109" s="173"/>
      <c r="BN109" s="215"/>
      <c r="BO109" s="199">
        <f>VLOOKUP(Table7[[#This Row],[Vlookup Store '#]],'Kiosk Stickers'!A$4:$H$538,4,FALSE)</f>
        <v>0</v>
      </c>
      <c r="BP109" s="171"/>
      <c r="BQ109" s="226"/>
      <c r="BR109" s="194"/>
      <c r="BS109" s="173"/>
      <c r="BT109" s="173">
        <f>VLOOKUP(Table7[[#This Row],[Vlookup Store '#]],'Kiosk Stickers'!A$4:$H$538,5,FALSE)</f>
        <v>1</v>
      </c>
      <c r="BU109" s="173"/>
      <c r="BV109" s="173"/>
      <c r="BW109" s="173"/>
      <c r="BX109" s="173"/>
      <c r="BY109" s="173"/>
      <c r="BZ109" s="215"/>
      <c r="CA109" s="244"/>
      <c r="CB109" s="233"/>
      <c r="CC109" s="239"/>
      <c r="CD109" s="233"/>
      <c r="CE109" s="233"/>
      <c r="CF109" s="233"/>
      <c r="CG109" s="233"/>
      <c r="CH109" s="262"/>
      <c r="CI109" s="351"/>
      <c r="CJ109" s="350"/>
      <c r="CK109" s="350"/>
      <c r="CL109" s="350">
        <v>2</v>
      </c>
      <c r="CM109" s="350"/>
      <c r="CN109" s="350"/>
      <c r="CO109" s="350"/>
      <c r="CP109" s="350"/>
      <c r="CQ109" s="364"/>
      <c r="CR109" s="370"/>
      <c r="CS109" s="367"/>
      <c r="CT109" s="367"/>
      <c r="CU109" s="367">
        <v>10</v>
      </c>
      <c r="CV109" s="367"/>
      <c r="CW109" s="387"/>
      <c r="CX109" s="398"/>
      <c r="CY109" s="399"/>
      <c r="CZ109" s="399"/>
      <c r="DA109" s="399"/>
      <c r="DB109" s="399">
        <v>1</v>
      </c>
      <c r="DC109" s="400"/>
      <c r="DD109" s="400"/>
      <c r="DE109" s="514"/>
      <c r="DF109" s="514">
        <f t="shared" si="1"/>
        <v>1</v>
      </c>
      <c r="DG109" s="144"/>
      <c r="DH109" s="143"/>
    </row>
    <row r="110" spans="1:112" x14ac:dyDescent="0.25">
      <c r="A110" s="15" t="s">
        <v>174</v>
      </c>
      <c r="B110" s="15">
        <v>801</v>
      </c>
      <c r="C110" s="15" t="s">
        <v>3570</v>
      </c>
      <c r="D110" s="15">
        <v>1606</v>
      </c>
      <c r="E110" s="15" t="s">
        <v>1749</v>
      </c>
      <c r="F110" s="15" t="s">
        <v>1750</v>
      </c>
      <c r="G110" s="15" t="s">
        <v>1751</v>
      </c>
      <c r="H110" s="15" t="s">
        <v>240</v>
      </c>
      <c r="I110" s="15" t="s">
        <v>179</v>
      </c>
      <c r="J110" s="15" t="s">
        <v>3571</v>
      </c>
      <c r="K110" s="15" t="s">
        <v>1752</v>
      </c>
      <c r="L110" s="15" t="s">
        <v>3737</v>
      </c>
      <c r="M110" s="15" t="s">
        <v>3802</v>
      </c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>
        <v>1500</v>
      </c>
      <c r="AB110" s="70"/>
      <c r="AC110" s="70"/>
      <c r="AD110" s="70"/>
      <c r="AE110" s="70"/>
      <c r="AF110" s="70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>
        <v>10</v>
      </c>
      <c r="AU110" s="71"/>
      <c r="AV110" s="71"/>
      <c r="AW110" s="71"/>
      <c r="AX110" s="71"/>
      <c r="AY110" s="71"/>
      <c r="AZ110" s="165"/>
      <c r="BA110" s="131"/>
      <c r="BB110" s="131"/>
      <c r="BC110" s="131"/>
      <c r="BD110" s="131">
        <f>VLOOKUP(Table7[[#This Row],[Vlookup Store '#]],'Kiosk Stickers'!A$4:$H$538,2,FALSE)</f>
        <v>2</v>
      </c>
      <c r="BE110" s="169"/>
      <c r="BF110" s="184">
        <f>VLOOKUP(Table7[[#This Row],[Vlookup Store '#]],'Kiosk Stickers'!A$4:$H$538,3,FALSE)</f>
        <v>0</v>
      </c>
      <c r="BG110" s="173"/>
      <c r="BH110" s="173"/>
      <c r="BI110" s="173"/>
      <c r="BJ110" s="173"/>
      <c r="BK110" s="173"/>
      <c r="BL110" s="173"/>
      <c r="BM110" s="173"/>
      <c r="BN110" s="215"/>
      <c r="BO110" s="199">
        <f>VLOOKUP(Table7[[#This Row],[Vlookup Store '#]],'Kiosk Stickers'!A$4:$H$538,4,FALSE)</f>
        <v>0</v>
      </c>
      <c r="BP110" s="171"/>
      <c r="BQ110" s="226"/>
      <c r="BR110" s="184">
        <f>VLOOKUP(Table7[[#This Row],[Vlookup Store '#]],'Kiosk Stickers'!A$4:$H$538,5,FALSE)</f>
        <v>0</v>
      </c>
      <c r="BS110" s="173"/>
      <c r="BT110" s="173"/>
      <c r="BU110" s="173"/>
      <c r="BV110" s="173"/>
      <c r="BW110" s="173"/>
      <c r="BX110" s="173"/>
      <c r="BY110" s="173"/>
      <c r="BZ110" s="215"/>
      <c r="CA110" s="244"/>
      <c r="CB110" s="233"/>
      <c r="CC110" s="239"/>
      <c r="CD110" s="233"/>
      <c r="CE110" s="233"/>
      <c r="CF110" s="233"/>
      <c r="CG110" s="233"/>
      <c r="CH110" s="262"/>
      <c r="CI110" s="351"/>
      <c r="CJ110" s="350"/>
      <c r="CK110" s="350"/>
      <c r="CL110" s="350">
        <v>2</v>
      </c>
      <c r="CM110" s="350"/>
      <c r="CN110" s="350"/>
      <c r="CO110" s="350"/>
      <c r="CP110" s="350"/>
      <c r="CQ110" s="364"/>
      <c r="CR110" s="370"/>
      <c r="CS110" s="367"/>
      <c r="CT110" s="367"/>
      <c r="CU110" s="367">
        <v>10</v>
      </c>
      <c r="CV110" s="367"/>
      <c r="CW110" s="387"/>
      <c r="CX110" s="398"/>
      <c r="CY110" s="399"/>
      <c r="CZ110" s="399"/>
      <c r="DA110" s="399"/>
      <c r="DB110" s="399">
        <v>1</v>
      </c>
      <c r="DC110" s="400"/>
      <c r="DD110" s="400"/>
      <c r="DE110" s="514"/>
      <c r="DF110" s="514">
        <f t="shared" si="1"/>
        <v>1</v>
      </c>
      <c r="DG110" s="144"/>
      <c r="DH110" s="143"/>
    </row>
    <row r="111" spans="1:112" x14ac:dyDescent="0.25">
      <c r="A111" s="15" t="s">
        <v>174</v>
      </c>
      <c r="B111" s="15">
        <v>800</v>
      </c>
      <c r="C111" s="15" t="s">
        <v>3572</v>
      </c>
      <c r="D111" s="15">
        <v>1607</v>
      </c>
      <c r="E111" s="15" t="s">
        <v>1753</v>
      </c>
      <c r="F111" s="15" t="s">
        <v>3045</v>
      </c>
      <c r="G111" s="15" t="s">
        <v>1755</v>
      </c>
      <c r="H111" s="15" t="s">
        <v>1019</v>
      </c>
      <c r="I111" s="15" t="s">
        <v>179</v>
      </c>
      <c r="J111" s="15" t="s">
        <v>3573</v>
      </c>
      <c r="K111" s="15" t="s">
        <v>1756</v>
      </c>
      <c r="L111" s="15" t="s">
        <v>3737</v>
      </c>
      <c r="M111" s="15" t="s">
        <v>3802</v>
      </c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>
        <v>1500</v>
      </c>
      <c r="AB111" s="70"/>
      <c r="AC111" s="70"/>
      <c r="AD111" s="70"/>
      <c r="AE111" s="70"/>
      <c r="AF111" s="70"/>
      <c r="AG111" s="71"/>
      <c r="AH111" s="71"/>
      <c r="AI111" s="71"/>
      <c r="AJ111" s="71"/>
      <c r="AK111" s="71"/>
      <c r="AL111" s="71"/>
      <c r="AM111" s="71"/>
      <c r="AN111" s="71"/>
      <c r="AO111" s="71"/>
      <c r="AP111" s="71"/>
      <c r="AQ111" s="71"/>
      <c r="AR111" s="71"/>
      <c r="AS111" s="71"/>
      <c r="AT111" s="71">
        <v>10</v>
      </c>
      <c r="AU111" s="71"/>
      <c r="AV111" s="71"/>
      <c r="AW111" s="71"/>
      <c r="AX111" s="71"/>
      <c r="AY111" s="71"/>
      <c r="AZ111" s="166"/>
      <c r="BA111" s="131"/>
      <c r="BB111" s="131"/>
      <c r="BC111" s="131"/>
      <c r="BD111" s="131">
        <f>VLOOKUP(Table7[[#This Row],[Vlookup Store '#]],'Kiosk Stickers'!A$4:$H$538,2,FALSE)</f>
        <v>0</v>
      </c>
      <c r="BE111" s="169"/>
      <c r="BF111" s="194"/>
      <c r="BG111" s="173"/>
      <c r="BH111" s="173"/>
      <c r="BI111" s="173">
        <f>VLOOKUP(Table7[[#This Row],[Vlookup Store '#]],'Kiosk Stickers'!A$4:$H$538,3,FALSE)</f>
        <v>1</v>
      </c>
      <c r="BJ111" s="173"/>
      <c r="BK111" s="173"/>
      <c r="BL111" s="173"/>
      <c r="BM111" s="173"/>
      <c r="BN111" s="215"/>
      <c r="BO111" s="199">
        <f>VLOOKUP(Table7[[#This Row],[Vlookup Store '#]],'Kiosk Stickers'!A$4:$H$538,4,FALSE)</f>
        <v>0</v>
      </c>
      <c r="BP111" s="171"/>
      <c r="BQ111" s="226"/>
      <c r="BR111" s="184">
        <f>VLOOKUP(Table7[[#This Row],[Vlookup Store '#]],'Kiosk Stickers'!A$4:$H$538,5,FALSE)</f>
        <v>0</v>
      </c>
      <c r="BS111" s="173"/>
      <c r="BT111" s="173"/>
      <c r="BU111" s="173"/>
      <c r="BV111" s="173"/>
      <c r="BW111" s="173"/>
      <c r="BX111" s="173"/>
      <c r="BY111" s="173"/>
      <c r="BZ111" s="215"/>
      <c r="CA111" s="244"/>
      <c r="CB111" s="233"/>
      <c r="CC111" s="239"/>
      <c r="CD111" s="233"/>
      <c r="CE111" s="233"/>
      <c r="CF111" s="233"/>
      <c r="CG111" s="233"/>
      <c r="CH111" s="262"/>
      <c r="CI111" s="351"/>
      <c r="CJ111" s="350"/>
      <c r="CK111" s="350"/>
      <c r="CL111" s="350">
        <v>2</v>
      </c>
      <c r="CM111" s="350"/>
      <c r="CN111" s="350"/>
      <c r="CO111" s="350"/>
      <c r="CP111" s="350"/>
      <c r="CQ111" s="364"/>
      <c r="CR111" s="370"/>
      <c r="CS111" s="367"/>
      <c r="CT111" s="367"/>
      <c r="CU111" s="367">
        <v>10</v>
      </c>
      <c r="CV111" s="367"/>
      <c r="CW111" s="387"/>
      <c r="CX111" s="398"/>
      <c r="CY111" s="399"/>
      <c r="CZ111" s="399"/>
      <c r="DA111" s="399"/>
      <c r="DB111" s="399">
        <v>1</v>
      </c>
      <c r="DC111" s="400"/>
      <c r="DD111" s="400"/>
      <c r="DE111" s="514"/>
      <c r="DF111" s="514">
        <f t="shared" si="1"/>
        <v>1</v>
      </c>
      <c r="DG111" s="144"/>
      <c r="DH111" s="143"/>
    </row>
    <row r="112" spans="1:112" x14ac:dyDescent="0.25">
      <c r="A112" s="15" t="s">
        <v>174</v>
      </c>
      <c r="B112" s="15">
        <v>801</v>
      </c>
      <c r="C112" s="15" t="s">
        <v>3574</v>
      </c>
      <c r="D112" s="15">
        <v>1609</v>
      </c>
      <c r="E112" s="15" t="s">
        <v>1757</v>
      </c>
      <c r="F112" s="15" t="s">
        <v>1800</v>
      </c>
      <c r="G112" s="15" t="s">
        <v>1758</v>
      </c>
      <c r="H112" s="15" t="s">
        <v>1759</v>
      </c>
      <c r="I112" s="15" t="s">
        <v>179</v>
      </c>
      <c r="J112" s="15" t="s">
        <v>3575</v>
      </c>
      <c r="K112" s="15" t="s">
        <v>1760</v>
      </c>
      <c r="L112" s="15" t="s">
        <v>3737</v>
      </c>
      <c r="M112" s="15" t="s">
        <v>3802</v>
      </c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>
        <v>1500</v>
      </c>
      <c r="AB112" s="70"/>
      <c r="AC112" s="70"/>
      <c r="AD112" s="70"/>
      <c r="AE112" s="70"/>
      <c r="AF112" s="70"/>
      <c r="AG112" s="71"/>
      <c r="AH112" s="71"/>
      <c r="AI112" s="71"/>
      <c r="AJ112" s="71"/>
      <c r="AK112" s="71"/>
      <c r="AL112" s="71"/>
      <c r="AM112" s="71"/>
      <c r="AN112" s="71"/>
      <c r="AO112" s="71"/>
      <c r="AP112" s="71"/>
      <c r="AQ112" s="71"/>
      <c r="AR112" s="71"/>
      <c r="AS112" s="71"/>
      <c r="AT112" s="71">
        <v>10</v>
      </c>
      <c r="AU112" s="71"/>
      <c r="AV112" s="71"/>
      <c r="AW112" s="71"/>
      <c r="AX112" s="71"/>
      <c r="AY112" s="71"/>
      <c r="AZ112" s="166"/>
      <c r="BA112" s="131"/>
      <c r="BB112" s="131"/>
      <c r="BC112" s="131"/>
      <c r="BD112" s="131">
        <f>VLOOKUP(Table7[[#This Row],[Vlookup Store '#]],'Kiosk Stickers'!A$4:$H$538,2,FALSE)</f>
        <v>1</v>
      </c>
      <c r="BE112" s="169"/>
      <c r="BF112" s="194"/>
      <c r="BG112" s="173"/>
      <c r="BH112" s="173"/>
      <c r="BI112" s="173">
        <f>VLOOKUP(Table7[[#This Row],[Vlookup Store '#]],'Kiosk Stickers'!A$4:$H$538,3,FALSE)</f>
        <v>0</v>
      </c>
      <c r="BJ112" s="173"/>
      <c r="BK112" s="173"/>
      <c r="BL112" s="173"/>
      <c r="BM112" s="173"/>
      <c r="BN112" s="215"/>
      <c r="BO112" s="199">
        <f>VLOOKUP(Table7[[#This Row],[Vlookup Store '#]],'Kiosk Stickers'!A$4:$H$538,4,FALSE)</f>
        <v>0</v>
      </c>
      <c r="BP112" s="171"/>
      <c r="BQ112" s="226"/>
      <c r="BR112" s="184">
        <f>VLOOKUP(Table7[[#This Row],[Vlookup Store '#]],'Kiosk Stickers'!A$4:$H$538,5,FALSE)</f>
        <v>0</v>
      </c>
      <c r="BS112" s="173"/>
      <c r="BT112" s="173"/>
      <c r="BU112" s="173"/>
      <c r="BV112" s="173"/>
      <c r="BW112" s="173"/>
      <c r="BX112" s="173"/>
      <c r="BY112" s="173"/>
      <c r="BZ112" s="215"/>
      <c r="CA112" s="244"/>
      <c r="CB112" s="233"/>
      <c r="CC112" s="239"/>
      <c r="CD112" s="233"/>
      <c r="CE112" s="233"/>
      <c r="CF112" s="233"/>
      <c r="CG112" s="233"/>
      <c r="CH112" s="262"/>
      <c r="CI112" s="351"/>
      <c r="CJ112" s="350"/>
      <c r="CK112" s="350"/>
      <c r="CL112" s="350">
        <v>2</v>
      </c>
      <c r="CM112" s="350"/>
      <c r="CN112" s="350"/>
      <c r="CO112" s="350"/>
      <c r="CP112" s="350"/>
      <c r="CQ112" s="364"/>
      <c r="CR112" s="370"/>
      <c r="CS112" s="367"/>
      <c r="CT112" s="367"/>
      <c r="CU112" s="367">
        <v>10</v>
      </c>
      <c r="CV112" s="367"/>
      <c r="CW112" s="387"/>
      <c r="CX112" s="398"/>
      <c r="CY112" s="399"/>
      <c r="CZ112" s="399"/>
      <c r="DA112" s="399"/>
      <c r="DB112" s="399">
        <v>1</v>
      </c>
      <c r="DC112" s="400"/>
      <c r="DD112" s="400"/>
      <c r="DE112" s="514"/>
      <c r="DF112" s="514">
        <f t="shared" si="1"/>
        <v>1</v>
      </c>
      <c r="DG112" s="144"/>
      <c r="DH112" s="143"/>
    </row>
    <row r="113" spans="1:112" x14ac:dyDescent="0.25">
      <c r="A113" s="15" t="s">
        <v>174</v>
      </c>
      <c r="B113" s="15">
        <v>801</v>
      </c>
      <c r="C113" s="15" t="s">
        <v>3581</v>
      </c>
      <c r="D113" s="15">
        <v>1613</v>
      </c>
      <c r="E113" s="15" t="s">
        <v>1775</v>
      </c>
      <c r="F113" s="15" t="s">
        <v>1776</v>
      </c>
      <c r="G113" s="15" t="s">
        <v>1777</v>
      </c>
      <c r="H113" s="15" t="s">
        <v>1778</v>
      </c>
      <c r="I113" s="15" t="s">
        <v>179</v>
      </c>
      <c r="J113" s="15" t="s">
        <v>3582</v>
      </c>
      <c r="K113" s="15" t="s">
        <v>1779</v>
      </c>
      <c r="L113" s="15" t="s">
        <v>3737</v>
      </c>
      <c r="M113" s="15" t="s">
        <v>3802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>
        <v>1500</v>
      </c>
      <c r="AB113" s="70"/>
      <c r="AC113" s="70"/>
      <c r="AD113" s="70"/>
      <c r="AE113" s="70"/>
      <c r="AF113" s="70"/>
      <c r="AG113" s="71"/>
      <c r="AH113" s="71"/>
      <c r="AI113" s="71"/>
      <c r="AJ113" s="71"/>
      <c r="AK113" s="71"/>
      <c r="AL113" s="71"/>
      <c r="AM113" s="71"/>
      <c r="AN113" s="71"/>
      <c r="AO113" s="71"/>
      <c r="AP113" s="71"/>
      <c r="AQ113" s="71"/>
      <c r="AR113" s="71"/>
      <c r="AS113" s="71"/>
      <c r="AT113" s="71">
        <v>10</v>
      </c>
      <c r="AU113" s="71"/>
      <c r="AV113" s="71"/>
      <c r="AW113" s="71"/>
      <c r="AX113" s="71"/>
      <c r="AY113" s="71"/>
      <c r="AZ113" s="166"/>
      <c r="BA113" s="131"/>
      <c r="BB113" s="131"/>
      <c r="BC113" s="131"/>
      <c r="BD113" s="131"/>
      <c r="BE113" s="169"/>
      <c r="BF113" s="194"/>
      <c r="BG113" s="173"/>
      <c r="BH113" s="173"/>
      <c r="BI113" s="173">
        <v>1</v>
      </c>
      <c r="BJ113" s="173"/>
      <c r="BK113" s="173"/>
      <c r="BL113" s="173"/>
      <c r="BM113" s="173"/>
      <c r="BN113" s="215"/>
      <c r="BO113" s="199"/>
      <c r="BP113" s="171"/>
      <c r="BQ113" s="226"/>
      <c r="BR113" s="184"/>
      <c r="BS113" s="173"/>
      <c r="BT113" s="173"/>
      <c r="BU113" s="173"/>
      <c r="BV113" s="173"/>
      <c r="BW113" s="173"/>
      <c r="BX113" s="173"/>
      <c r="BY113" s="173"/>
      <c r="BZ113" s="215"/>
      <c r="CA113" s="244"/>
      <c r="CB113" s="233"/>
      <c r="CC113" s="239"/>
      <c r="CD113" s="233"/>
      <c r="CE113" s="233"/>
      <c r="CF113" s="233"/>
      <c r="CG113" s="233"/>
      <c r="CH113" s="262"/>
      <c r="CI113" s="351"/>
      <c r="CJ113" s="350"/>
      <c r="CK113" s="350"/>
      <c r="CL113" s="350">
        <v>2</v>
      </c>
      <c r="CM113" s="350"/>
      <c r="CN113" s="350"/>
      <c r="CO113" s="350"/>
      <c r="CP113" s="350"/>
      <c r="CQ113" s="364"/>
      <c r="CR113" s="370"/>
      <c r="CS113" s="367"/>
      <c r="CT113" s="367"/>
      <c r="CU113" s="367">
        <v>10</v>
      </c>
      <c r="CV113" s="367"/>
      <c r="CW113" s="387"/>
      <c r="CX113" s="398"/>
      <c r="CY113" s="399"/>
      <c r="CZ113" s="399"/>
      <c r="DA113" s="399"/>
      <c r="DB113" s="399">
        <v>1</v>
      </c>
      <c r="DC113" s="400"/>
      <c r="DD113" s="400"/>
      <c r="DE113" s="514"/>
      <c r="DF113" s="514">
        <f t="shared" si="1"/>
        <v>1</v>
      </c>
      <c r="DG113" s="144"/>
      <c r="DH113" s="143"/>
    </row>
    <row r="114" spans="1:112" x14ac:dyDescent="0.25">
      <c r="A114" s="15" t="s">
        <v>174</v>
      </c>
      <c r="B114" s="15">
        <v>801</v>
      </c>
      <c r="C114" s="15" t="s">
        <v>3583</v>
      </c>
      <c r="D114" s="15">
        <v>1614</v>
      </c>
      <c r="E114" s="15" t="s">
        <v>1780</v>
      </c>
      <c r="F114" s="15" t="s">
        <v>2979</v>
      </c>
      <c r="G114" s="15" t="s">
        <v>1782</v>
      </c>
      <c r="H114" s="15" t="s">
        <v>1783</v>
      </c>
      <c r="I114" s="15" t="s">
        <v>179</v>
      </c>
      <c r="J114" s="15" t="s">
        <v>3584</v>
      </c>
      <c r="K114" s="15" t="s">
        <v>1784</v>
      </c>
      <c r="L114" s="15" t="s">
        <v>3737</v>
      </c>
      <c r="M114" s="15" t="s">
        <v>3802</v>
      </c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>
        <v>1500</v>
      </c>
      <c r="AB114" s="70"/>
      <c r="AC114" s="70"/>
      <c r="AD114" s="70"/>
      <c r="AE114" s="70"/>
      <c r="AF114" s="70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>
        <v>10</v>
      </c>
      <c r="AU114" s="71"/>
      <c r="AV114" s="71"/>
      <c r="AW114" s="71"/>
      <c r="AX114" s="71"/>
      <c r="AY114" s="71"/>
      <c r="AZ114" s="166"/>
      <c r="BA114" s="131"/>
      <c r="BB114" s="131"/>
      <c r="BC114" s="131"/>
      <c r="BD114" s="131">
        <f>VLOOKUP(Table7[[#This Row],[Vlookup Store '#]],'Kiosk Stickers'!A$4:$H$538,2,FALSE)</f>
        <v>2</v>
      </c>
      <c r="BE114" s="169"/>
      <c r="BF114" s="194"/>
      <c r="BG114" s="173"/>
      <c r="BH114" s="173"/>
      <c r="BI114" s="173">
        <f>VLOOKUP(Table7[[#This Row],[Vlookup Store '#]],'Kiosk Stickers'!A$4:$H$538,3,FALSE)</f>
        <v>0</v>
      </c>
      <c r="BJ114" s="173"/>
      <c r="BK114" s="173"/>
      <c r="BL114" s="173"/>
      <c r="BM114" s="173"/>
      <c r="BN114" s="215"/>
      <c r="BO114" s="199">
        <f>VLOOKUP(Table7[[#This Row],[Vlookup Store '#]],'Kiosk Stickers'!A$4:$H$538,4,FALSE)</f>
        <v>0</v>
      </c>
      <c r="BP114" s="171"/>
      <c r="BQ114" s="226"/>
      <c r="BR114" s="184">
        <f>VLOOKUP(Table7[[#This Row],[Vlookup Store '#]],'Kiosk Stickers'!A$4:$H$538,5,FALSE)</f>
        <v>0</v>
      </c>
      <c r="BS114" s="173"/>
      <c r="BT114" s="173"/>
      <c r="BU114" s="173"/>
      <c r="BV114" s="173"/>
      <c r="BW114" s="173"/>
      <c r="BX114" s="173"/>
      <c r="BY114" s="173"/>
      <c r="BZ114" s="215"/>
      <c r="CA114" s="244"/>
      <c r="CB114" s="233"/>
      <c r="CC114" s="239"/>
      <c r="CD114" s="233"/>
      <c r="CE114" s="233"/>
      <c r="CF114" s="233"/>
      <c r="CG114" s="233"/>
      <c r="CH114" s="262"/>
      <c r="CI114" s="351"/>
      <c r="CJ114" s="350"/>
      <c r="CK114" s="350"/>
      <c r="CL114" s="350">
        <v>2</v>
      </c>
      <c r="CM114" s="350"/>
      <c r="CN114" s="350"/>
      <c r="CO114" s="350"/>
      <c r="CP114" s="350"/>
      <c r="CQ114" s="364"/>
      <c r="CR114" s="370"/>
      <c r="CS114" s="367"/>
      <c r="CT114" s="367"/>
      <c r="CU114" s="367">
        <v>10</v>
      </c>
      <c r="CV114" s="367"/>
      <c r="CW114" s="387"/>
      <c r="CX114" s="398"/>
      <c r="CY114" s="399"/>
      <c r="CZ114" s="399"/>
      <c r="DA114" s="399"/>
      <c r="DB114" s="399">
        <v>1</v>
      </c>
      <c r="DC114" s="400"/>
      <c r="DD114" s="400"/>
      <c r="DE114" s="514"/>
      <c r="DF114" s="514">
        <f t="shared" si="1"/>
        <v>1</v>
      </c>
      <c r="DG114" s="144"/>
      <c r="DH114" s="143"/>
    </row>
    <row r="115" spans="1:112" x14ac:dyDescent="0.25">
      <c r="A115" s="15" t="s">
        <v>174</v>
      </c>
      <c r="B115" s="15">
        <v>801</v>
      </c>
      <c r="C115" s="15" t="s">
        <v>3585</v>
      </c>
      <c r="D115" s="15">
        <v>1615</v>
      </c>
      <c r="E115" s="15" t="s">
        <v>1785</v>
      </c>
      <c r="F115" s="15" t="s">
        <v>1786</v>
      </c>
      <c r="G115" s="15" t="s">
        <v>1787</v>
      </c>
      <c r="H115" s="15" t="s">
        <v>1019</v>
      </c>
      <c r="I115" s="15" t="s">
        <v>179</v>
      </c>
      <c r="J115" s="15" t="s">
        <v>3586</v>
      </c>
      <c r="K115" s="15" t="s">
        <v>1788</v>
      </c>
      <c r="L115" s="15" t="s">
        <v>3737</v>
      </c>
      <c r="M115" s="15" t="s">
        <v>3802</v>
      </c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>
        <v>1500</v>
      </c>
      <c r="AB115" s="70"/>
      <c r="AC115" s="70"/>
      <c r="AD115" s="70"/>
      <c r="AE115" s="70"/>
      <c r="AF115" s="70"/>
      <c r="AG115" s="71"/>
      <c r="AH115" s="71"/>
      <c r="AI115" s="71"/>
      <c r="AJ115" s="71"/>
      <c r="AK115" s="71"/>
      <c r="AL115" s="71"/>
      <c r="AM115" s="71"/>
      <c r="AN115" s="71"/>
      <c r="AO115" s="71"/>
      <c r="AP115" s="71"/>
      <c r="AQ115" s="71"/>
      <c r="AR115" s="71"/>
      <c r="AS115" s="71"/>
      <c r="AT115" s="71">
        <v>10</v>
      </c>
      <c r="AU115" s="71"/>
      <c r="AV115" s="71"/>
      <c r="AW115" s="71"/>
      <c r="AX115" s="71"/>
      <c r="AY115" s="71"/>
      <c r="AZ115" s="166"/>
      <c r="BA115" s="131"/>
      <c r="BB115" s="131"/>
      <c r="BC115" s="131"/>
      <c r="BD115" s="131">
        <f>VLOOKUP(Table7[[#This Row],[Vlookup Store '#]],'Kiosk Stickers'!A$4:$H$538,2,FALSE)</f>
        <v>0</v>
      </c>
      <c r="BE115" s="169"/>
      <c r="BF115" s="194"/>
      <c r="BG115" s="173"/>
      <c r="BH115" s="173"/>
      <c r="BI115" s="173">
        <f>VLOOKUP(Table7[[#This Row],[Vlookup Store '#]],'Kiosk Stickers'!A$4:$H$538,3,FALSE)</f>
        <v>2</v>
      </c>
      <c r="BJ115" s="173"/>
      <c r="BK115" s="173"/>
      <c r="BL115" s="173"/>
      <c r="BM115" s="173"/>
      <c r="BN115" s="215"/>
      <c r="BO115" s="199">
        <f>VLOOKUP(Table7[[#This Row],[Vlookup Store '#]],'Kiosk Stickers'!A$4:$H$538,4,FALSE)</f>
        <v>0</v>
      </c>
      <c r="BP115" s="171"/>
      <c r="BQ115" s="226"/>
      <c r="BR115" s="184">
        <f>VLOOKUP(Table7[[#This Row],[Vlookup Store '#]],'Kiosk Stickers'!A$4:$H$538,5,FALSE)</f>
        <v>0</v>
      </c>
      <c r="BS115" s="173"/>
      <c r="BT115" s="173"/>
      <c r="BU115" s="173"/>
      <c r="BV115" s="173"/>
      <c r="BW115" s="173"/>
      <c r="BX115" s="173"/>
      <c r="BY115" s="173"/>
      <c r="BZ115" s="215"/>
      <c r="CA115" s="244"/>
      <c r="CB115" s="233"/>
      <c r="CC115" s="239"/>
      <c r="CD115" s="233"/>
      <c r="CE115" s="233"/>
      <c r="CF115" s="233"/>
      <c r="CG115" s="233"/>
      <c r="CH115" s="262"/>
      <c r="CI115" s="351"/>
      <c r="CJ115" s="350"/>
      <c r="CK115" s="350"/>
      <c r="CL115" s="350">
        <v>2</v>
      </c>
      <c r="CM115" s="350"/>
      <c r="CN115" s="350"/>
      <c r="CO115" s="350"/>
      <c r="CP115" s="350"/>
      <c r="CQ115" s="364"/>
      <c r="CR115" s="370"/>
      <c r="CS115" s="367"/>
      <c r="CT115" s="367"/>
      <c r="CU115" s="367">
        <v>10</v>
      </c>
      <c r="CV115" s="367"/>
      <c r="CW115" s="387"/>
      <c r="CX115" s="398"/>
      <c r="CY115" s="399"/>
      <c r="CZ115" s="399"/>
      <c r="DA115" s="399"/>
      <c r="DB115" s="399">
        <v>1</v>
      </c>
      <c r="DC115" s="400"/>
      <c r="DD115" s="400"/>
      <c r="DE115" s="514"/>
      <c r="DF115" s="514">
        <f t="shared" si="1"/>
        <v>1</v>
      </c>
      <c r="DG115" s="144"/>
      <c r="DH115" s="143"/>
    </row>
    <row r="116" spans="1:112" x14ac:dyDescent="0.25">
      <c r="A116" s="15" t="s">
        <v>174</v>
      </c>
      <c r="B116" s="15">
        <v>801</v>
      </c>
      <c r="C116" s="15" t="s">
        <v>3589</v>
      </c>
      <c r="D116" s="15">
        <v>1619</v>
      </c>
      <c r="E116" s="15" t="s">
        <v>1794</v>
      </c>
      <c r="F116" s="15" t="s">
        <v>1795</v>
      </c>
      <c r="G116" s="15" t="s">
        <v>1796</v>
      </c>
      <c r="H116" s="15" t="s">
        <v>1797</v>
      </c>
      <c r="I116" s="15" t="s">
        <v>179</v>
      </c>
      <c r="J116" s="15" t="s">
        <v>3590</v>
      </c>
      <c r="K116" s="15" t="s">
        <v>1798</v>
      </c>
      <c r="L116" s="15" t="s">
        <v>3737</v>
      </c>
      <c r="M116" s="15" t="s">
        <v>3802</v>
      </c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>
        <v>1500</v>
      </c>
      <c r="AB116" s="70"/>
      <c r="AC116" s="70"/>
      <c r="AD116" s="70"/>
      <c r="AE116" s="70"/>
      <c r="AF116" s="70"/>
      <c r="AG116" s="71"/>
      <c r="AH116" s="71"/>
      <c r="AI116" s="71"/>
      <c r="AJ116" s="71"/>
      <c r="AK116" s="71"/>
      <c r="AL116" s="71"/>
      <c r="AM116" s="71"/>
      <c r="AN116" s="71"/>
      <c r="AO116" s="71"/>
      <c r="AP116" s="71"/>
      <c r="AQ116" s="71"/>
      <c r="AR116" s="71"/>
      <c r="AS116" s="71"/>
      <c r="AT116" s="71">
        <v>10</v>
      </c>
      <c r="AU116" s="71"/>
      <c r="AV116" s="71"/>
      <c r="AW116" s="71"/>
      <c r="AX116" s="71"/>
      <c r="AY116" s="71"/>
      <c r="AZ116" s="166"/>
      <c r="BA116" s="131"/>
      <c r="BB116" s="131"/>
      <c r="BC116" s="131"/>
      <c r="BD116" s="131">
        <f>VLOOKUP(Table7[[#This Row],[Vlookup Store '#]],'Kiosk Stickers'!A$4:$H$538,2,FALSE)</f>
        <v>0</v>
      </c>
      <c r="BE116" s="169"/>
      <c r="BF116" s="194"/>
      <c r="BG116" s="173"/>
      <c r="BH116" s="173"/>
      <c r="BI116" s="173">
        <f>VLOOKUP(Table7[[#This Row],[Vlookup Store '#]],'Kiosk Stickers'!A$4:$H$538,3,FALSE)</f>
        <v>2</v>
      </c>
      <c r="BJ116" s="173"/>
      <c r="BK116" s="173"/>
      <c r="BL116" s="173"/>
      <c r="BM116" s="173"/>
      <c r="BN116" s="215"/>
      <c r="BO116" s="199">
        <f>VLOOKUP(Table7[[#This Row],[Vlookup Store '#]],'Kiosk Stickers'!A$4:$H$538,4,FALSE)</f>
        <v>0</v>
      </c>
      <c r="BP116" s="171"/>
      <c r="BQ116" s="226"/>
      <c r="BR116" s="184">
        <f>VLOOKUP(Table7[[#This Row],[Vlookup Store '#]],'Kiosk Stickers'!A$4:$H$538,5,FALSE)</f>
        <v>0</v>
      </c>
      <c r="BS116" s="173"/>
      <c r="BT116" s="173"/>
      <c r="BU116" s="173"/>
      <c r="BV116" s="173"/>
      <c r="BW116" s="173"/>
      <c r="BX116" s="173"/>
      <c r="BY116" s="173"/>
      <c r="BZ116" s="215"/>
      <c r="CA116" s="244"/>
      <c r="CB116" s="233"/>
      <c r="CC116" s="239"/>
      <c r="CD116" s="233"/>
      <c r="CE116" s="233"/>
      <c r="CF116" s="233"/>
      <c r="CG116" s="233"/>
      <c r="CH116" s="262"/>
      <c r="CI116" s="351"/>
      <c r="CJ116" s="350"/>
      <c r="CK116" s="350"/>
      <c r="CL116" s="350">
        <v>2</v>
      </c>
      <c r="CM116" s="350"/>
      <c r="CN116" s="350"/>
      <c r="CO116" s="350"/>
      <c r="CP116" s="350"/>
      <c r="CQ116" s="364"/>
      <c r="CR116" s="370"/>
      <c r="CS116" s="367"/>
      <c r="CT116" s="367"/>
      <c r="CU116" s="367">
        <v>10</v>
      </c>
      <c r="CV116" s="367"/>
      <c r="CW116" s="387"/>
      <c r="CX116" s="398"/>
      <c r="CY116" s="399"/>
      <c r="CZ116" s="399"/>
      <c r="DA116" s="399"/>
      <c r="DB116" s="399">
        <v>1</v>
      </c>
      <c r="DC116" s="400"/>
      <c r="DD116" s="400"/>
      <c r="DE116" s="514"/>
      <c r="DF116" s="514">
        <f t="shared" si="1"/>
        <v>1</v>
      </c>
      <c r="DG116" s="144"/>
      <c r="DH116" s="143"/>
    </row>
    <row r="117" spans="1:112" x14ac:dyDescent="0.25">
      <c r="A117" s="15" t="s">
        <v>174</v>
      </c>
      <c r="B117" s="15">
        <v>801</v>
      </c>
      <c r="C117" s="15" t="s">
        <v>3591</v>
      </c>
      <c r="D117" s="15">
        <v>1622</v>
      </c>
      <c r="E117" s="15" t="s">
        <v>1799</v>
      </c>
      <c r="F117" s="15" t="s">
        <v>3046</v>
      </c>
      <c r="G117" s="15" t="s">
        <v>1801</v>
      </c>
      <c r="H117" s="15" t="s">
        <v>1802</v>
      </c>
      <c r="I117" s="15" t="s">
        <v>179</v>
      </c>
      <c r="J117" s="15" t="s">
        <v>3592</v>
      </c>
      <c r="K117" s="15" t="s">
        <v>1803</v>
      </c>
      <c r="L117" s="15" t="s">
        <v>3737</v>
      </c>
      <c r="M117" s="15" t="s">
        <v>3802</v>
      </c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>
        <v>1500</v>
      </c>
      <c r="AB117" s="70"/>
      <c r="AC117" s="70"/>
      <c r="AD117" s="70"/>
      <c r="AE117" s="70"/>
      <c r="AF117" s="70"/>
      <c r="AG117" s="71"/>
      <c r="AH117" s="71"/>
      <c r="AI117" s="71"/>
      <c r="AJ117" s="71"/>
      <c r="AK117" s="71"/>
      <c r="AL117" s="71"/>
      <c r="AM117" s="71"/>
      <c r="AN117" s="71"/>
      <c r="AO117" s="71"/>
      <c r="AP117" s="71"/>
      <c r="AQ117" s="71"/>
      <c r="AR117" s="71"/>
      <c r="AS117" s="71"/>
      <c r="AT117" s="71">
        <v>10</v>
      </c>
      <c r="AU117" s="71"/>
      <c r="AV117" s="71"/>
      <c r="AW117" s="71"/>
      <c r="AX117" s="71"/>
      <c r="AY117" s="71"/>
      <c r="AZ117" s="166"/>
      <c r="BA117" s="131"/>
      <c r="BB117" s="131"/>
      <c r="BC117" s="131"/>
      <c r="BD117" s="131">
        <f>VLOOKUP(Table7[[#This Row],[Vlookup Store '#]],'Kiosk Stickers'!A$4:$H$538,2,FALSE)</f>
        <v>0</v>
      </c>
      <c r="BE117" s="169"/>
      <c r="BF117" s="194"/>
      <c r="BG117" s="173"/>
      <c r="BH117" s="173"/>
      <c r="BI117" s="173">
        <f>VLOOKUP(Table7[[#This Row],[Vlookup Store '#]],'Kiosk Stickers'!A$4:$H$538,3,FALSE)</f>
        <v>2</v>
      </c>
      <c r="BJ117" s="173"/>
      <c r="BK117" s="173"/>
      <c r="BL117" s="173"/>
      <c r="BM117" s="173"/>
      <c r="BN117" s="215"/>
      <c r="BO117" s="199">
        <f>VLOOKUP(Table7[[#This Row],[Vlookup Store '#]],'Kiosk Stickers'!A$4:$H$538,4,FALSE)</f>
        <v>0</v>
      </c>
      <c r="BP117" s="171"/>
      <c r="BQ117" s="226"/>
      <c r="BR117" s="184">
        <f>VLOOKUP(Table7[[#This Row],[Vlookup Store '#]],'Kiosk Stickers'!A$4:$H$538,5,FALSE)</f>
        <v>0</v>
      </c>
      <c r="BS117" s="173"/>
      <c r="BT117" s="173"/>
      <c r="BU117" s="173"/>
      <c r="BV117" s="173"/>
      <c r="BW117" s="173"/>
      <c r="BX117" s="173"/>
      <c r="BY117" s="173"/>
      <c r="BZ117" s="215"/>
      <c r="CA117" s="244"/>
      <c r="CB117" s="233"/>
      <c r="CC117" s="239"/>
      <c r="CD117" s="233"/>
      <c r="CE117" s="233"/>
      <c r="CF117" s="233"/>
      <c r="CG117" s="233"/>
      <c r="CH117" s="262"/>
      <c r="CI117" s="351"/>
      <c r="CJ117" s="350"/>
      <c r="CK117" s="350"/>
      <c r="CL117" s="350">
        <v>2</v>
      </c>
      <c r="CM117" s="350"/>
      <c r="CN117" s="350"/>
      <c r="CO117" s="350"/>
      <c r="CP117" s="350"/>
      <c r="CQ117" s="364"/>
      <c r="CR117" s="370"/>
      <c r="CS117" s="367"/>
      <c r="CT117" s="367"/>
      <c r="CU117" s="367">
        <v>10</v>
      </c>
      <c r="CV117" s="367"/>
      <c r="CW117" s="387"/>
      <c r="CX117" s="398"/>
      <c r="CY117" s="399"/>
      <c r="CZ117" s="399"/>
      <c r="DA117" s="399"/>
      <c r="DB117" s="399">
        <v>1</v>
      </c>
      <c r="DC117" s="400"/>
      <c r="DD117" s="400"/>
      <c r="DE117" s="514"/>
      <c r="DF117" s="514">
        <f t="shared" si="1"/>
        <v>1</v>
      </c>
      <c r="DG117" s="144"/>
      <c r="DH117" s="143"/>
    </row>
    <row r="118" spans="1:112" x14ac:dyDescent="0.25">
      <c r="A118" s="15" t="s">
        <v>174</v>
      </c>
      <c r="B118" s="15">
        <v>801</v>
      </c>
      <c r="C118" s="15" t="s">
        <v>3698</v>
      </c>
      <c r="D118" s="15">
        <v>2561</v>
      </c>
      <c r="E118" s="15" t="s">
        <v>1804</v>
      </c>
      <c r="F118" s="15" t="s">
        <v>1805</v>
      </c>
      <c r="G118" s="15" t="s">
        <v>1806</v>
      </c>
      <c r="H118" s="15" t="s">
        <v>1807</v>
      </c>
      <c r="I118" s="15" t="s">
        <v>179</v>
      </c>
      <c r="J118" s="15" t="s">
        <v>3699</v>
      </c>
      <c r="K118" s="15" t="s">
        <v>1808</v>
      </c>
      <c r="L118" s="15" t="s">
        <v>3737</v>
      </c>
      <c r="M118" s="15" t="s">
        <v>3802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>
        <v>1500</v>
      </c>
      <c r="AB118" s="70"/>
      <c r="AC118" s="70"/>
      <c r="AD118" s="70"/>
      <c r="AE118" s="70"/>
      <c r="AF118" s="70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>
        <v>10</v>
      </c>
      <c r="AU118" s="71"/>
      <c r="AV118" s="71"/>
      <c r="AW118" s="71"/>
      <c r="AX118" s="71"/>
      <c r="AY118" s="71"/>
      <c r="AZ118" s="166"/>
      <c r="BA118" s="131"/>
      <c r="BB118" s="131"/>
      <c r="BC118" s="131"/>
      <c r="BD118" s="131">
        <f>VLOOKUP(Table7[[#This Row],[Vlookup Store '#]],'Kiosk Stickers'!A$4:$H$538,2,FALSE)</f>
        <v>0</v>
      </c>
      <c r="BE118" s="169"/>
      <c r="BF118" s="184">
        <f>VLOOKUP(Table7[[#This Row],[Vlookup Store '#]],'Kiosk Stickers'!A$4:$H$538,3,FALSE)</f>
        <v>0</v>
      </c>
      <c r="BG118" s="173"/>
      <c r="BH118" s="173"/>
      <c r="BI118" s="173"/>
      <c r="BJ118" s="173"/>
      <c r="BK118" s="173"/>
      <c r="BL118" s="173"/>
      <c r="BM118" s="173"/>
      <c r="BN118" s="215"/>
      <c r="BO118" s="199">
        <f>VLOOKUP(Table7[[#This Row],[Vlookup Store '#]],'Kiosk Stickers'!A$4:$H$538,4,FALSE)</f>
        <v>0</v>
      </c>
      <c r="BP118" s="171"/>
      <c r="BQ118" s="226"/>
      <c r="BR118" s="184">
        <f>VLOOKUP(Table7[[#This Row],[Vlookup Store '#]],'Kiosk Stickers'!A$4:$H$538,5,FALSE)</f>
        <v>0</v>
      </c>
      <c r="BS118" s="173"/>
      <c r="BT118" s="173"/>
      <c r="BU118" s="173"/>
      <c r="BV118" s="173"/>
      <c r="BW118" s="173"/>
      <c r="BX118" s="173"/>
      <c r="BY118" s="173"/>
      <c r="BZ118" s="215"/>
      <c r="CA118" s="244"/>
      <c r="CB118" s="233"/>
      <c r="CC118" s="239">
        <f>VLOOKUP(Table7[[#This Row],[Vlookup Store '#]],'Kiosk Stickers'!A$4:$H$538,6,FALSE)</f>
        <v>1</v>
      </c>
      <c r="CD118" s="233"/>
      <c r="CE118" s="233"/>
      <c r="CF118" s="233"/>
      <c r="CG118" s="233"/>
      <c r="CH118" s="262"/>
      <c r="CI118" s="351"/>
      <c r="CJ118" s="350"/>
      <c r="CK118" s="350"/>
      <c r="CL118" s="350">
        <v>2</v>
      </c>
      <c r="CM118" s="350"/>
      <c r="CN118" s="350"/>
      <c r="CO118" s="350"/>
      <c r="CP118" s="350"/>
      <c r="CQ118" s="364"/>
      <c r="CR118" s="370"/>
      <c r="CS118" s="367"/>
      <c r="CT118" s="367"/>
      <c r="CU118" s="367">
        <v>10</v>
      </c>
      <c r="CV118" s="367"/>
      <c r="CW118" s="387"/>
      <c r="CX118" s="398"/>
      <c r="CY118" s="399"/>
      <c r="CZ118" s="399"/>
      <c r="DA118" s="399"/>
      <c r="DB118" s="399">
        <v>1</v>
      </c>
      <c r="DC118" s="400"/>
      <c r="DD118" s="400"/>
      <c r="DE118" s="514"/>
      <c r="DF118" s="514">
        <f t="shared" si="1"/>
        <v>1</v>
      </c>
      <c r="DG118" s="144"/>
      <c r="DH118" s="143"/>
    </row>
    <row r="119" spans="1:112" x14ac:dyDescent="0.25">
      <c r="A119" s="15" t="s">
        <v>174</v>
      </c>
      <c r="B119" s="15">
        <v>801</v>
      </c>
      <c r="C119" s="15" t="s">
        <v>3703</v>
      </c>
      <c r="D119" s="15">
        <v>2568</v>
      </c>
      <c r="E119" s="15" t="s">
        <v>1809</v>
      </c>
      <c r="F119" s="15" t="s">
        <v>1810</v>
      </c>
      <c r="G119" s="15" t="s">
        <v>1811</v>
      </c>
      <c r="H119" s="15" t="s">
        <v>1812</v>
      </c>
      <c r="I119" s="15" t="s">
        <v>179</v>
      </c>
      <c r="J119" s="15" t="s">
        <v>3187</v>
      </c>
      <c r="K119" s="15" t="s">
        <v>1813</v>
      </c>
      <c r="L119" s="15" t="s">
        <v>3737</v>
      </c>
      <c r="M119" s="15" t="s">
        <v>3802</v>
      </c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>
        <v>1500</v>
      </c>
      <c r="AB119" s="70"/>
      <c r="AC119" s="70"/>
      <c r="AD119" s="70"/>
      <c r="AE119" s="70"/>
      <c r="AF119" s="70"/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>
        <v>10</v>
      </c>
      <c r="AU119" s="71"/>
      <c r="AV119" s="71"/>
      <c r="AW119" s="71"/>
      <c r="AX119" s="71"/>
      <c r="AY119" s="71"/>
      <c r="AZ119" s="166"/>
      <c r="BA119" s="131"/>
      <c r="BB119" s="131"/>
      <c r="BC119" s="131"/>
      <c r="BD119" s="131">
        <f>VLOOKUP(Table7[[#This Row],[Vlookup Store '#]],'Kiosk Stickers'!A$4:$H$538,2,FALSE)</f>
        <v>1</v>
      </c>
      <c r="BE119" s="169"/>
      <c r="BF119" s="184">
        <f>VLOOKUP(Table7[[#This Row],[Vlookup Store '#]],'Kiosk Stickers'!A$4:$H$538,3,FALSE)</f>
        <v>0</v>
      </c>
      <c r="BG119" s="173"/>
      <c r="BH119" s="173"/>
      <c r="BI119" s="173"/>
      <c r="BJ119" s="173"/>
      <c r="BK119" s="173"/>
      <c r="BL119" s="173"/>
      <c r="BM119" s="173"/>
      <c r="BN119" s="215"/>
      <c r="BO119" s="199">
        <f>VLOOKUP(Table7[[#This Row],[Vlookup Store '#]],'Kiosk Stickers'!A$4:$H$538,4,FALSE)</f>
        <v>0</v>
      </c>
      <c r="BP119" s="171"/>
      <c r="BQ119" s="226"/>
      <c r="BR119" s="184">
        <f>VLOOKUP(Table7[[#This Row],[Vlookup Store '#]],'Kiosk Stickers'!A$4:$H$538,5,FALSE)</f>
        <v>0</v>
      </c>
      <c r="BS119" s="173"/>
      <c r="BT119" s="173"/>
      <c r="BU119" s="173"/>
      <c r="BV119" s="173"/>
      <c r="BW119" s="173"/>
      <c r="BX119" s="173"/>
      <c r="BY119" s="173"/>
      <c r="BZ119" s="215"/>
      <c r="CA119" s="244"/>
      <c r="CB119" s="233"/>
      <c r="CC119" s="239"/>
      <c r="CD119" s="233"/>
      <c r="CE119" s="233"/>
      <c r="CF119" s="233"/>
      <c r="CG119" s="233"/>
      <c r="CH119" s="262"/>
      <c r="CI119" s="351"/>
      <c r="CJ119" s="350"/>
      <c r="CK119" s="350"/>
      <c r="CL119" s="350">
        <v>2</v>
      </c>
      <c r="CM119" s="350"/>
      <c r="CN119" s="350"/>
      <c r="CO119" s="350"/>
      <c r="CP119" s="350"/>
      <c r="CQ119" s="364"/>
      <c r="CR119" s="370"/>
      <c r="CS119" s="367"/>
      <c r="CT119" s="367"/>
      <c r="CU119" s="367">
        <v>10</v>
      </c>
      <c r="CV119" s="367"/>
      <c r="CW119" s="387"/>
      <c r="CX119" s="398"/>
      <c r="CY119" s="399"/>
      <c r="CZ119" s="399"/>
      <c r="DA119" s="399"/>
      <c r="DB119" s="399">
        <v>1</v>
      </c>
      <c r="DC119" s="400"/>
      <c r="DD119" s="400"/>
      <c r="DE119" s="514"/>
      <c r="DF119" s="514">
        <f t="shared" si="1"/>
        <v>1</v>
      </c>
      <c r="DG119" s="144"/>
      <c r="DH119" s="143"/>
    </row>
    <row r="120" spans="1:112" x14ac:dyDescent="0.25">
      <c r="A120" s="15" t="s">
        <v>174</v>
      </c>
      <c r="B120" s="15">
        <v>801</v>
      </c>
      <c r="C120" s="15" t="s">
        <v>3706</v>
      </c>
      <c r="D120" s="15">
        <v>2580</v>
      </c>
      <c r="E120" s="15" t="s">
        <v>1814</v>
      </c>
      <c r="F120" s="15" t="s">
        <v>1815</v>
      </c>
      <c r="G120" s="15" t="s">
        <v>1816</v>
      </c>
      <c r="H120" s="15" t="s">
        <v>1817</v>
      </c>
      <c r="I120" s="15" t="s">
        <v>145</v>
      </c>
      <c r="J120" s="15" t="s">
        <v>3707</v>
      </c>
      <c r="K120" s="15" t="s">
        <v>1818</v>
      </c>
      <c r="L120" s="15" t="s">
        <v>3737</v>
      </c>
      <c r="M120" s="15" t="s">
        <v>3802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>
        <v>1500</v>
      </c>
      <c r="AB120" s="70"/>
      <c r="AC120" s="70"/>
      <c r="AD120" s="70"/>
      <c r="AE120" s="70"/>
      <c r="AF120" s="70"/>
      <c r="AG120" s="71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>
        <v>10</v>
      </c>
      <c r="AU120" s="71"/>
      <c r="AV120" s="71"/>
      <c r="AW120" s="71"/>
      <c r="AX120" s="71"/>
      <c r="AY120" s="71"/>
      <c r="AZ120" s="131">
        <f>VLOOKUP(Table7[[#This Row],[Vlookup Store '#]],'Kiosk Stickers'!A$4:$H$538,2,FALSE)</f>
        <v>0</v>
      </c>
      <c r="BA120" s="131"/>
      <c r="BB120" s="131"/>
      <c r="BC120" s="131"/>
      <c r="BD120" s="131"/>
      <c r="BE120" s="169"/>
      <c r="BF120" s="184">
        <f>VLOOKUP(Table7[[#This Row],[Vlookup Store '#]],'Kiosk Stickers'!A$4:$H$538,3,FALSE)</f>
        <v>0</v>
      </c>
      <c r="BG120" s="173"/>
      <c r="BH120" s="173"/>
      <c r="BI120" s="173"/>
      <c r="BJ120" s="173"/>
      <c r="BK120" s="173"/>
      <c r="BL120" s="173"/>
      <c r="BM120" s="173"/>
      <c r="BN120" s="215"/>
      <c r="BO120" s="199">
        <f>VLOOKUP(Table7[[#This Row],[Vlookup Store '#]],'Kiosk Stickers'!A$4:$H$538,4,FALSE)</f>
        <v>0</v>
      </c>
      <c r="BP120" s="171"/>
      <c r="BQ120" s="226"/>
      <c r="BR120" s="184">
        <f>VLOOKUP(Table7[[#This Row],[Vlookup Store '#]],'Kiosk Stickers'!A$4:$H$538,5,FALSE)</f>
        <v>0</v>
      </c>
      <c r="BS120" s="173"/>
      <c r="BT120" s="173"/>
      <c r="BU120" s="173"/>
      <c r="BV120" s="173"/>
      <c r="BW120" s="173"/>
      <c r="BX120" s="173"/>
      <c r="BY120" s="173"/>
      <c r="BZ120" s="215"/>
      <c r="CA120" s="244"/>
      <c r="CB120" s="233"/>
      <c r="CC120" s="239">
        <f>VLOOKUP(Table7[[#This Row],[Vlookup Store '#]],'Kiosk Stickers'!A$4:$H$538,6,FALSE)</f>
        <v>1</v>
      </c>
      <c r="CD120" s="233"/>
      <c r="CE120" s="233"/>
      <c r="CF120" s="233"/>
      <c r="CG120" s="233"/>
      <c r="CH120" s="262"/>
      <c r="CI120" s="351"/>
      <c r="CJ120" s="350"/>
      <c r="CK120" s="350"/>
      <c r="CL120" s="350">
        <v>2</v>
      </c>
      <c r="CM120" s="350"/>
      <c r="CN120" s="350"/>
      <c r="CO120" s="350"/>
      <c r="CP120" s="350"/>
      <c r="CQ120" s="364"/>
      <c r="CR120" s="370"/>
      <c r="CS120" s="367"/>
      <c r="CT120" s="367"/>
      <c r="CU120" s="367">
        <v>10</v>
      </c>
      <c r="CV120" s="367"/>
      <c r="CW120" s="387"/>
      <c r="CX120" s="398"/>
      <c r="CY120" s="399"/>
      <c r="CZ120" s="399"/>
      <c r="DA120" s="399"/>
      <c r="DB120" s="399">
        <v>1</v>
      </c>
      <c r="DC120" s="400"/>
      <c r="DD120" s="400"/>
      <c r="DE120" s="514"/>
      <c r="DF120" s="514">
        <f t="shared" si="1"/>
        <v>1</v>
      </c>
      <c r="DG120" s="144"/>
      <c r="DH120" s="143"/>
    </row>
    <row r="121" spans="1:112" x14ac:dyDescent="0.25">
      <c r="A121" s="15" t="s">
        <v>194</v>
      </c>
      <c r="B121" s="15">
        <v>801</v>
      </c>
      <c r="C121" s="15" t="s">
        <v>1929</v>
      </c>
      <c r="D121" s="15">
        <v>751</v>
      </c>
      <c r="E121" s="15" t="s">
        <v>1930</v>
      </c>
      <c r="F121" s="15" t="s">
        <v>1931</v>
      </c>
      <c r="G121" s="15" t="s">
        <v>1932</v>
      </c>
      <c r="H121" s="15" t="s">
        <v>198</v>
      </c>
      <c r="I121" s="15" t="s">
        <v>199</v>
      </c>
      <c r="J121" s="15" t="s">
        <v>3267</v>
      </c>
      <c r="K121" s="15" t="s">
        <v>1933</v>
      </c>
      <c r="L121" s="15" t="s">
        <v>3766</v>
      </c>
      <c r="M121" s="15" t="s">
        <v>4016</v>
      </c>
      <c r="N121" s="70"/>
      <c r="O121" s="70"/>
      <c r="P121" s="70"/>
      <c r="Q121" s="70"/>
      <c r="R121" s="70"/>
      <c r="S121" s="70">
        <v>1500</v>
      </c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1"/>
      <c r="AH121" s="71"/>
      <c r="AI121" s="71"/>
      <c r="AJ121" s="71"/>
      <c r="AK121" s="71"/>
      <c r="AL121" s="71">
        <v>10</v>
      </c>
      <c r="AM121" s="71"/>
      <c r="AN121" s="71"/>
      <c r="AO121" s="71"/>
      <c r="AP121" s="71"/>
      <c r="AQ121" s="71"/>
      <c r="AR121" s="71"/>
      <c r="AS121" s="71"/>
      <c r="AT121" s="71"/>
      <c r="AU121" s="71"/>
      <c r="AV121" s="71"/>
      <c r="AW121" s="71"/>
      <c r="AX121" s="71"/>
      <c r="AY121" s="71"/>
      <c r="AZ121" s="131">
        <f>VLOOKUP(Table7[[#This Row],[Vlookup Store '#]],'Kiosk Stickers'!A$4:$H$538,2,FALSE)</f>
        <v>0</v>
      </c>
      <c r="BA121" s="131"/>
      <c r="BB121" s="131"/>
      <c r="BC121" s="131"/>
      <c r="BD121" s="131"/>
      <c r="BE121" s="169"/>
      <c r="BF121" s="194"/>
      <c r="BG121" s="173"/>
      <c r="BH121" s="173"/>
      <c r="BI121" s="173"/>
      <c r="BJ121" s="173"/>
      <c r="BK121" s="173"/>
      <c r="BL121" s="173">
        <f>VLOOKUP(Table7[[#This Row],[Vlookup Store '#]],'Kiosk Stickers'!A$4:$H$538,3,FALSE)</f>
        <v>1</v>
      </c>
      <c r="BM121" s="173"/>
      <c r="BN121" s="215"/>
      <c r="BO121" s="199">
        <f>VLOOKUP(Table7[[#This Row],[Vlookup Store '#]],'Kiosk Stickers'!A$4:$H$538,4,FALSE)</f>
        <v>0</v>
      </c>
      <c r="BP121" s="171"/>
      <c r="BQ121" s="226"/>
      <c r="BR121" s="184">
        <f>VLOOKUP(Table7[[#This Row],[Vlookup Store '#]],'Kiosk Stickers'!A$4:$H$538,5,FALSE)</f>
        <v>0</v>
      </c>
      <c r="BS121" s="173"/>
      <c r="BT121" s="173"/>
      <c r="BU121" s="173"/>
      <c r="BV121" s="173"/>
      <c r="BW121" s="173"/>
      <c r="BX121" s="173"/>
      <c r="BY121" s="173"/>
      <c r="BZ121" s="215"/>
      <c r="CA121" s="243"/>
      <c r="CB121" s="233"/>
      <c r="CC121" s="233"/>
      <c r="CD121" s="233"/>
      <c r="CE121" s="233"/>
      <c r="CF121" s="233"/>
      <c r="CG121" s="233"/>
      <c r="CH121" s="262"/>
      <c r="CI121" s="351"/>
      <c r="CJ121" s="350"/>
      <c r="CK121" s="350"/>
      <c r="CL121" s="350"/>
      <c r="CM121" s="350"/>
      <c r="CN121" s="350"/>
      <c r="CO121" s="350">
        <v>2</v>
      </c>
      <c r="CP121" s="350"/>
      <c r="CQ121" s="364"/>
      <c r="CR121" s="370"/>
      <c r="CS121" s="367"/>
      <c r="CT121" s="367"/>
      <c r="CU121" s="367"/>
      <c r="CV121" s="367"/>
      <c r="CW121" s="387">
        <v>10</v>
      </c>
      <c r="CX121" s="398"/>
      <c r="CY121" s="399"/>
      <c r="CZ121" s="399"/>
      <c r="DA121" s="399"/>
      <c r="DB121" s="399"/>
      <c r="DC121" s="400"/>
      <c r="DD121" s="400">
        <v>1</v>
      </c>
      <c r="DE121" s="514"/>
      <c r="DF121" s="514">
        <f t="shared" si="1"/>
        <v>1</v>
      </c>
      <c r="DG121" s="144"/>
      <c r="DH121" s="143"/>
    </row>
    <row r="122" spans="1:112" x14ac:dyDescent="0.25">
      <c r="A122" s="15" t="s">
        <v>194</v>
      </c>
      <c r="B122" s="15">
        <v>801</v>
      </c>
      <c r="C122" s="15" t="s">
        <v>195</v>
      </c>
      <c r="D122" s="15">
        <v>752</v>
      </c>
      <c r="E122" s="15" t="s">
        <v>196</v>
      </c>
      <c r="F122" s="15" t="s">
        <v>1934</v>
      </c>
      <c r="G122" s="15" t="s">
        <v>197</v>
      </c>
      <c r="H122" s="15" t="s">
        <v>198</v>
      </c>
      <c r="I122" s="15" t="s">
        <v>199</v>
      </c>
      <c r="J122" s="15" t="s">
        <v>3267</v>
      </c>
      <c r="K122" s="15" t="s">
        <v>200</v>
      </c>
      <c r="L122" s="15" t="s">
        <v>3766</v>
      </c>
      <c r="M122" s="15" t="s">
        <v>4016</v>
      </c>
      <c r="N122" s="70"/>
      <c r="O122" s="70"/>
      <c r="P122" s="70"/>
      <c r="Q122" s="70"/>
      <c r="R122" s="70"/>
      <c r="S122" s="70">
        <v>1500</v>
      </c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1"/>
      <c r="AH122" s="71"/>
      <c r="AI122" s="71"/>
      <c r="AJ122" s="71"/>
      <c r="AK122" s="71"/>
      <c r="AL122" s="71">
        <v>10</v>
      </c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  <c r="AX122" s="71"/>
      <c r="AY122" s="71"/>
      <c r="AZ122" s="131">
        <f>VLOOKUP(Table7[[#This Row],[Vlookup Store '#]],'Kiosk Stickers'!A$4:$H$538,2,FALSE)</f>
        <v>0</v>
      </c>
      <c r="BA122" s="131"/>
      <c r="BB122" s="131"/>
      <c r="BC122" s="131"/>
      <c r="BD122" s="131"/>
      <c r="BE122" s="169"/>
      <c r="BF122" s="194"/>
      <c r="BG122" s="173"/>
      <c r="BH122" s="173"/>
      <c r="BI122" s="173"/>
      <c r="BJ122" s="173"/>
      <c r="BK122" s="173"/>
      <c r="BL122" s="173">
        <f>VLOOKUP(Table7[[#This Row],[Vlookup Store '#]],'Kiosk Stickers'!A$4:$H$538,3,FALSE)</f>
        <v>0</v>
      </c>
      <c r="BM122" s="173"/>
      <c r="BN122" s="215"/>
      <c r="BO122" s="199">
        <f>VLOOKUP(Table7[[#This Row],[Vlookup Store '#]],'Kiosk Stickers'!A$4:$H$538,4,FALSE)</f>
        <v>0</v>
      </c>
      <c r="BP122" s="171"/>
      <c r="BQ122" s="226"/>
      <c r="BR122" s="194"/>
      <c r="BS122" s="173"/>
      <c r="BT122" s="173"/>
      <c r="BU122" s="173"/>
      <c r="BV122" s="173"/>
      <c r="BW122" s="173">
        <f>VLOOKUP(Table7[[#This Row],[Vlookup Store '#]],'Kiosk Stickers'!A$4:$H$538,5,FALSE)</f>
        <v>1</v>
      </c>
      <c r="BX122" s="173"/>
      <c r="BY122" s="173"/>
      <c r="BZ122" s="215"/>
      <c r="CA122" s="243"/>
      <c r="CB122" s="233"/>
      <c r="CC122" s="233"/>
      <c r="CD122" s="233"/>
      <c r="CE122" s="233"/>
      <c r="CF122" s="233"/>
      <c r="CG122" s="233"/>
      <c r="CH122" s="262"/>
      <c r="CI122" s="351"/>
      <c r="CJ122" s="350"/>
      <c r="CK122" s="350"/>
      <c r="CL122" s="350"/>
      <c r="CM122" s="350"/>
      <c r="CN122" s="350"/>
      <c r="CO122" s="350">
        <v>2</v>
      </c>
      <c r="CP122" s="350"/>
      <c r="CQ122" s="364"/>
      <c r="CR122" s="370"/>
      <c r="CS122" s="367"/>
      <c r="CT122" s="367"/>
      <c r="CU122" s="367"/>
      <c r="CV122" s="367"/>
      <c r="CW122" s="387">
        <v>10</v>
      </c>
      <c r="CX122" s="398"/>
      <c r="CY122" s="399"/>
      <c r="CZ122" s="399"/>
      <c r="DA122" s="399"/>
      <c r="DB122" s="399"/>
      <c r="DC122" s="400"/>
      <c r="DD122" s="400">
        <v>1</v>
      </c>
      <c r="DE122" s="514"/>
      <c r="DF122" s="514">
        <f t="shared" si="1"/>
        <v>1</v>
      </c>
      <c r="DG122" s="144"/>
      <c r="DH122" s="143"/>
    </row>
    <row r="123" spans="1:112" x14ac:dyDescent="0.25">
      <c r="A123" s="15" t="s">
        <v>194</v>
      </c>
      <c r="B123" s="15">
        <v>801</v>
      </c>
      <c r="C123" s="15" t="s">
        <v>1935</v>
      </c>
      <c r="D123" s="15">
        <v>753</v>
      </c>
      <c r="E123" s="15" t="s">
        <v>1936</v>
      </c>
      <c r="F123" s="15" t="s">
        <v>1937</v>
      </c>
      <c r="G123" s="15" t="s">
        <v>1938</v>
      </c>
      <c r="H123" s="15" t="s">
        <v>198</v>
      </c>
      <c r="I123" s="15" t="s">
        <v>199</v>
      </c>
      <c r="J123" s="15" t="s">
        <v>3268</v>
      </c>
      <c r="K123" s="15" t="s">
        <v>1939</v>
      </c>
      <c r="L123" s="15" t="s">
        <v>3766</v>
      </c>
      <c r="M123" s="15" t="s">
        <v>4016</v>
      </c>
      <c r="N123" s="70"/>
      <c r="O123" s="70"/>
      <c r="P123" s="70"/>
      <c r="Q123" s="70"/>
      <c r="R123" s="70"/>
      <c r="S123" s="70">
        <v>1500</v>
      </c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1"/>
      <c r="AH123" s="71"/>
      <c r="AI123" s="71"/>
      <c r="AJ123" s="71"/>
      <c r="AK123" s="71"/>
      <c r="AL123" s="71">
        <v>10</v>
      </c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  <c r="AX123" s="71"/>
      <c r="AY123" s="71"/>
      <c r="AZ123" s="131">
        <f>VLOOKUP(Table7[[#This Row],[Vlookup Store '#]],'Kiosk Stickers'!A$4:$H$538,2,FALSE)</f>
        <v>0</v>
      </c>
      <c r="BA123" s="131"/>
      <c r="BB123" s="131"/>
      <c r="BC123" s="131"/>
      <c r="BD123" s="131"/>
      <c r="BE123" s="169"/>
      <c r="BF123" s="194"/>
      <c r="BG123" s="173"/>
      <c r="BH123" s="173"/>
      <c r="BI123" s="173"/>
      <c r="BJ123" s="173"/>
      <c r="BK123" s="173"/>
      <c r="BL123" s="173">
        <f>VLOOKUP(Table7[[#This Row],[Vlookup Store '#]],'Kiosk Stickers'!A$4:$H$538,3,FALSE)</f>
        <v>0</v>
      </c>
      <c r="BM123" s="173"/>
      <c r="BN123" s="215"/>
      <c r="BO123" s="199">
        <f>VLOOKUP(Table7[[#This Row],[Vlookup Store '#]],'Kiosk Stickers'!A$4:$H$538,4,FALSE)</f>
        <v>0</v>
      </c>
      <c r="BP123" s="171"/>
      <c r="BQ123" s="226"/>
      <c r="BR123" s="194"/>
      <c r="BS123" s="173"/>
      <c r="BT123" s="173"/>
      <c r="BU123" s="173"/>
      <c r="BV123" s="173"/>
      <c r="BW123" s="173">
        <f>VLOOKUP(Table7[[#This Row],[Vlookup Store '#]],'Kiosk Stickers'!A$4:$H$538,5,FALSE)</f>
        <v>0</v>
      </c>
      <c r="BX123" s="173"/>
      <c r="BY123" s="173"/>
      <c r="BZ123" s="215"/>
      <c r="CA123" s="244"/>
      <c r="CB123" s="233"/>
      <c r="CC123" s="233"/>
      <c r="CD123" s="233"/>
      <c r="CE123" s="233"/>
      <c r="CF123" s="239">
        <f>VLOOKUP(Table7[[#This Row],[Vlookup Store '#]],'Kiosk Stickers'!A$4:$H$538,6,FALSE)</f>
        <v>1</v>
      </c>
      <c r="CG123" s="233"/>
      <c r="CH123" s="262"/>
      <c r="CI123" s="351"/>
      <c r="CJ123" s="350"/>
      <c r="CK123" s="350"/>
      <c r="CL123" s="350"/>
      <c r="CM123" s="350"/>
      <c r="CN123" s="350"/>
      <c r="CO123" s="350">
        <v>2</v>
      </c>
      <c r="CP123" s="350"/>
      <c r="CQ123" s="364"/>
      <c r="CR123" s="370"/>
      <c r="CS123" s="367"/>
      <c r="CT123" s="367"/>
      <c r="CU123" s="367"/>
      <c r="CV123" s="367"/>
      <c r="CW123" s="387">
        <v>10</v>
      </c>
      <c r="CX123" s="398"/>
      <c r="CY123" s="399"/>
      <c r="CZ123" s="399"/>
      <c r="DA123" s="399"/>
      <c r="DB123" s="399"/>
      <c r="DC123" s="400"/>
      <c r="DD123" s="400">
        <v>1</v>
      </c>
      <c r="DE123" s="514"/>
      <c r="DF123" s="514">
        <f t="shared" si="1"/>
        <v>1</v>
      </c>
      <c r="DG123" s="144"/>
      <c r="DH123" s="143"/>
    </row>
    <row r="124" spans="1:112" x14ac:dyDescent="0.25">
      <c r="A124" s="15" t="s">
        <v>194</v>
      </c>
      <c r="B124" s="15">
        <v>801</v>
      </c>
      <c r="C124" s="15" t="s">
        <v>1940</v>
      </c>
      <c r="D124" s="15">
        <v>754</v>
      </c>
      <c r="E124" s="15" t="s">
        <v>1941</v>
      </c>
      <c r="F124" s="15" t="s">
        <v>1942</v>
      </c>
      <c r="G124" s="15" t="s">
        <v>1943</v>
      </c>
      <c r="H124" s="15" t="s">
        <v>198</v>
      </c>
      <c r="I124" s="15" t="s">
        <v>199</v>
      </c>
      <c r="J124" s="15" t="s">
        <v>1944</v>
      </c>
      <c r="K124" s="15" t="s">
        <v>1945</v>
      </c>
      <c r="L124" s="15" t="s">
        <v>3766</v>
      </c>
      <c r="M124" s="15" t="s">
        <v>4016</v>
      </c>
      <c r="N124" s="70"/>
      <c r="O124" s="70"/>
      <c r="P124" s="70"/>
      <c r="Q124" s="70"/>
      <c r="R124" s="70"/>
      <c r="S124" s="70">
        <v>1500</v>
      </c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1"/>
      <c r="AH124" s="71"/>
      <c r="AI124" s="71"/>
      <c r="AJ124" s="71"/>
      <c r="AK124" s="71"/>
      <c r="AL124" s="71">
        <v>10</v>
      </c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  <c r="AW124" s="71"/>
      <c r="AX124" s="71"/>
      <c r="AY124" s="71"/>
      <c r="AZ124" s="131">
        <f>VLOOKUP(Table7[[#This Row],[Vlookup Store '#]],'Kiosk Stickers'!A$4:$H$538,2,FALSE)</f>
        <v>0</v>
      </c>
      <c r="BA124" s="131"/>
      <c r="BB124" s="131"/>
      <c r="BC124" s="131"/>
      <c r="BD124" s="131"/>
      <c r="BE124" s="169"/>
      <c r="BF124" s="194"/>
      <c r="BG124" s="173"/>
      <c r="BH124" s="173"/>
      <c r="BI124" s="173"/>
      <c r="BJ124" s="173"/>
      <c r="BK124" s="173"/>
      <c r="BL124" s="173">
        <f>VLOOKUP(Table7[[#This Row],[Vlookup Store '#]],'Kiosk Stickers'!A$4:$H$538,3,FALSE)</f>
        <v>0</v>
      </c>
      <c r="BM124" s="173"/>
      <c r="BN124" s="215"/>
      <c r="BO124" s="199">
        <f>VLOOKUP(Table7[[#This Row],[Vlookup Store '#]],'Kiosk Stickers'!A$4:$H$538,4,FALSE)</f>
        <v>0</v>
      </c>
      <c r="BP124" s="171"/>
      <c r="BQ124" s="226"/>
      <c r="BR124" s="194"/>
      <c r="BS124" s="173"/>
      <c r="BT124" s="173"/>
      <c r="BU124" s="173"/>
      <c r="BV124" s="173"/>
      <c r="BW124" s="173">
        <f>VLOOKUP(Table7[[#This Row],[Vlookup Store '#]],'Kiosk Stickers'!A$4:$H$538,5,FALSE)</f>
        <v>1</v>
      </c>
      <c r="BX124" s="173"/>
      <c r="BY124" s="173"/>
      <c r="BZ124" s="215"/>
      <c r="CA124" s="244"/>
      <c r="CB124" s="233"/>
      <c r="CC124" s="233"/>
      <c r="CD124" s="233"/>
      <c r="CE124" s="233"/>
      <c r="CF124" s="239"/>
      <c r="CG124" s="233"/>
      <c r="CH124" s="262"/>
      <c r="CI124" s="351"/>
      <c r="CJ124" s="350"/>
      <c r="CK124" s="350"/>
      <c r="CL124" s="350"/>
      <c r="CM124" s="350"/>
      <c r="CN124" s="350"/>
      <c r="CO124" s="350">
        <v>2</v>
      </c>
      <c r="CP124" s="350"/>
      <c r="CQ124" s="364"/>
      <c r="CR124" s="370"/>
      <c r="CS124" s="367"/>
      <c r="CT124" s="367"/>
      <c r="CU124" s="367"/>
      <c r="CV124" s="367"/>
      <c r="CW124" s="387">
        <v>10</v>
      </c>
      <c r="CX124" s="398"/>
      <c r="CY124" s="399"/>
      <c r="CZ124" s="399"/>
      <c r="DA124" s="399"/>
      <c r="DB124" s="399"/>
      <c r="DC124" s="400"/>
      <c r="DD124" s="400">
        <v>1</v>
      </c>
      <c r="DE124" s="514"/>
      <c r="DF124" s="514">
        <f t="shared" si="1"/>
        <v>1</v>
      </c>
      <c r="DG124" s="144"/>
      <c r="DH124" s="143"/>
    </row>
    <row r="125" spans="1:112" x14ac:dyDescent="0.25">
      <c r="A125" s="15" t="s">
        <v>194</v>
      </c>
      <c r="B125" s="15">
        <v>801</v>
      </c>
      <c r="C125" s="15" t="s">
        <v>1946</v>
      </c>
      <c r="D125" s="15">
        <v>755</v>
      </c>
      <c r="E125" s="15" t="s">
        <v>1947</v>
      </c>
      <c r="F125" s="15" t="s">
        <v>1948</v>
      </c>
      <c r="G125" s="15" t="s">
        <v>1949</v>
      </c>
      <c r="H125" s="15" t="s">
        <v>198</v>
      </c>
      <c r="I125" s="15" t="s">
        <v>199</v>
      </c>
      <c r="J125" s="15" t="s">
        <v>1950</v>
      </c>
      <c r="K125" s="15" t="s">
        <v>1951</v>
      </c>
      <c r="L125" s="15" t="s">
        <v>3766</v>
      </c>
      <c r="M125" s="15" t="s">
        <v>4016</v>
      </c>
      <c r="N125" s="70"/>
      <c r="O125" s="70"/>
      <c r="P125" s="70"/>
      <c r="Q125" s="70"/>
      <c r="R125" s="70"/>
      <c r="S125" s="70">
        <v>1500</v>
      </c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1"/>
      <c r="AH125" s="71"/>
      <c r="AI125" s="71"/>
      <c r="AJ125" s="71"/>
      <c r="AK125" s="71"/>
      <c r="AL125" s="71">
        <v>10</v>
      </c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  <c r="AW125" s="71"/>
      <c r="AX125" s="71"/>
      <c r="AY125" s="71"/>
      <c r="AZ125" s="131">
        <f>VLOOKUP(Table7[[#This Row],[Vlookup Store '#]],'Kiosk Stickers'!A$4:$H$538,2,FALSE)</f>
        <v>0</v>
      </c>
      <c r="BA125" s="131"/>
      <c r="BB125" s="131"/>
      <c r="BC125" s="131"/>
      <c r="BD125" s="131"/>
      <c r="BE125" s="169"/>
      <c r="BF125" s="194"/>
      <c r="BG125" s="173"/>
      <c r="BH125" s="173"/>
      <c r="BI125" s="173"/>
      <c r="BJ125" s="173"/>
      <c r="BK125" s="173"/>
      <c r="BL125" s="173">
        <f>VLOOKUP(Table7[[#This Row],[Vlookup Store '#]],'Kiosk Stickers'!A$4:$H$538,3,FALSE)</f>
        <v>0</v>
      </c>
      <c r="BM125" s="173"/>
      <c r="BN125" s="215"/>
      <c r="BO125" s="199">
        <f>VLOOKUP(Table7[[#This Row],[Vlookup Store '#]],'Kiosk Stickers'!A$4:$H$538,4,FALSE)</f>
        <v>0</v>
      </c>
      <c r="BP125" s="171"/>
      <c r="BQ125" s="226"/>
      <c r="BR125" s="194"/>
      <c r="BS125" s="173"/>
      <c r="BT125" s="173"/>
      <c r="BU125" s="173"/>
      <c r="BV125" s="173"/>
      <c r="BW125" s="173">
        <f>VLOOKUP(Table7[[#This Row],[Vlookup Store '#]],'Kiosk Stickers'!A$4:$H$538,5,FALSE)</f>
        <v>1</v>
      </c>
      <c r="BX125" s="173"/>
      <c r="BY125" s="173"/>
      <c r="BZ125" s="215"/>
      <c r="CA125" s="244"/>
      <c r="CB125" s="233"/>
      <c r="CC125" s="233"/>
      <c r="CD125" s="233"/>
      <c r="CE125" s="233"/>
      <c r="CF125" s="239"/>
      <c r="CG125" s="233"/>
      <c r="CH125" s="262"/>
      <c r="CI125" s="351"/>
      <c r="CJ125" s="350"/>
      <c r="CK125" s="350"/>
      <c r="CL125" s="350"/>
      <c r="CM125" s="350"/>
      <c r="CN125" s="350"/>
      <c r="CO125" s="350">
        <v>2</v>
      </c>
      <c r="CP125" s="350"/>
      <c r="CQ125" s="364"/>
      <c r="CR125" s="370"/>
      <c r="CS125" s="367"/>
      <c r="CT125" s="367"/>
      <c r="CU125" s="367"/>
      <c r="CV125" s="367"/>
      <c r="CW125" s="387">
        <v>10</v>
      </c>
      <c r="CX125" s="398"/>
      <c r="CY125" s="399"/>
      <c r="CZ125" s="399"/>
      <c r="DA125" s="399"/>
      <c r="DB125" s="399"/>
      <c r="DC125" s="400"/>
      <c r="DD125" s="400">
        <v>1</v>
      </c>
      <c r="DE125" s="514"/>
      <c r="DF125" s="514">
        <f t="shared" si="1"/>
        <v>1</v>
      </c>
      <c r="DG125" s="144"/>
      <c r="DH125" s="143"/>
    </row>
    <row r="126" spans="1:112" x14ac:dyDescent="0.25">
      <c r="A126" s="15" t="s">
        <v>194</v>
      </c>
      <c r="B126" s="15">
        <v>801</v>
      </c>
      <c r="C126" s="15" t="s">
        <v>1952</v>
      </c>
      <c r="D126" s="15">
        <v>757</v>
      </c>
      <c r="E126" s="15" t="s">
        <v>1953</v>
      </c>
      <c r="F126" s="15" t="s">
        <v>1954</v>
      </c>
      <c r="G126" s="15" t="s">
        <v>1955</v>
      </c>
      <c r="H126" s="15" t="s">
        <v>198</v>
      </c>
      <c r="I126" s="15" t="s">
        <v>199</v>
      </c>
      <c r="J126" s="15" t="s">
        <v>3268</v>
      </c>
      <c r="K126" s="15" t="s">
        <v>1956</v>
      </c>
      <c r="L126" s="15" t="s">
        <v>3766</v>
      </c>
      <c r="M126" s="15" t="s">
        <v>4016</v>
      </c>
      <c r="N126" s="70"/>
      <c r="O126" s="70"/>
      <c r="P126" s="70"/>
      <c r="Q126" s="70"/>
      <c r="R126" s="70"/>
      <c r="S126" s="70">
        <v>1500</v>
      </c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1"/>
      <c r="AH126" s="71"/>
      <c r="AI126" s="71"/>
      <c r="AJ126" s="71"/>
      <c r="AK126" s="71"/>
      <c r="AL126" s="71">
        <v>10</v>
      </c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131">
        <f>VLOOKUP(Table7[[#This Row],[Vlookup Store '#]],'Kiosk Stickers'!A$4:$H$538,2,FALSE)</f>
        <v>0</v>
      </c>
      <c r="BA126" s="131"/>
      <c r="BB126" s="131"/>
      <c r="BC126" s="131"/>
      <c r="BD126" s="131"/>
      <c r="BE126" s="169"/>
      <c r="BF126" s="194"/>
      <c r="BG126" s="173"/>
      <c r="BH126" s="173"/>
      <c r="BI126" s="173"/>
      <c r="BJ126" s="173"/>
      <c r="BK126" s="173"/>
      <c r="BL126" s="173">
        <f>VLOOKUP(Table7[[#This Row],[Vlookup Store '#]],'Kiosk Stickers'!A$4:$H$538,3,FALSE)</f>
        <v>0</v>
      </c>
      <c r="BM126" s="173"/>
      <c r="BN126" s="215"/>
      <c r="BO126" s="199">
        <f>VLOOKUP(Table7[[#This Row],[Vlookup Store '#]],'Kiosk Stickers'!A$4:$H$538,4,FALSE)</f>
        <v>0</v>
      </c>
      <c r="BP126" s="171"/>
      <c r="BQ126" s="226"/>
      <c r="BR126" s="184">
        <f>VLOOKUP(Table7[[#This Row],[Vlookup Store '#]],'Kiosk Stickers'!A$4:$H$538,5,FALSE)</f>
        <v>0</v>
      </c>
      <c r="BS126" s="173"/>
      <c r="BT126" s="173"/>
      <c r="BU126" s="173"/>
      <c r="BV126" s="173"/>
      <c r="BW126" s="173"/>
      <c r="BX126" s="173"/>
      <c r="BY126" s="173"/>
      <c r="BZ126" s="215"/>
      <c r="CA126" s="244"/>
      <c r="CB126" s="233"/>
      <c r="CC126" s="233"/>
      <c r="CD126" s="233"/>
      <c r="CE126" s="233"/>
      <c r="CF126" s="239">
        <f>VLOOKUP(Table7[[#This Row],[Vlookup Store '#]],'Kiosk Stickers'!A$4:$H$538,6,FALSE)</f>
        <v>1</v>
      </c>
      <c r="CG126" s="233"/>
      <c r="CH126" s="262"/>
      <c r="CI126" s="351"/>
      <c r="CJ126" s="350"/>
      <c r="CK126" s="350"/>
      <c r="CL126" s="350"/>
      <c r="CM126" s="350"/>
      <c r="CN126" s="350"/>
      <c r="CO126" s="350">
        <v>2</v>
      </c>
      <c r="CP126" s="350"/>
      <c r="CQ126" s="364"/>
      <c r="CR126" s="370"/>
      <c r="CS126" s="367"/>
      <c r="CT126" s="367"/>
      <c r="CU126" s="367"/>
      <c r="CV126" s="367"/>
      <c r="CW126" s="387">
        <v>10</v>
      </c>
      <c r="CX126" s="398"/>
      <c r="CY126" s="399"/>
      <c r="CZ126" s="399"/>
      <c r="DA126" s="399"/>
      <c r="DB126" s="399"/>
      <c r="DC126" s="400"/>
      <c r="DD126" s="400">
        <v>1</v>
      </c>
      <c r="DE126" s="514"/>
      <c r="DF126" s="514">
        <f t="shared" si="1"/>
        <v>1</v>
      </c>
      <c r="DG126" s="144"/>
      <c r="DH126" s="143"/>
    </row>
    <row r="127" spans="1:112" x14ac:dyDescent="0.25">
      <c r="A127" s="15" t="s">
        <v>194</v>
      </c>
      <c r="B127" s="15">
        <v>801</v>
      </c>
      <c r="C127" s="15" t="s">
        <v>3605</v>
      </c>
      <c r="D127" s="15">
        <v>1751</v>
      </c>
      <c r="E127" s="15" t="s">
        <v>1916</v>
      </c>
      <c r="F127" s="15" t="s">
        <v>1917</v>
      </c>
      <c r="G127" s="15" t="s">
        <v>1918</v>
      </c>
      <c r="H127" s="15" t="s">
        <v>198</v>
      </c>
      <c r="I127" s="15" t="s">
        <v>199</v>
      </c>
      <c r="J127" s="15" t="s">
        <v>3606</v>
      </c>
      <c r="K127" s="15" t="s">
        <v>1919</v>
      </c>
      <c r="L127" s="15" t="s">
        <v>3766</v>
      </c>
      <c r="M127" s="15" t="s">
        <v>4016</v>
      </c>
      <c r="N127" s="70"/>
      <c r="O127" s="70"/>
      <c r="P127" s="70"/>
      <c r="Q127" s="70"/>
      <c r="R127" s="70"/>
      <c r="S127" s="70">
        <v>1500</v>
      </c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1"/>
      <c r="AH127" s="71"/>
      <c r="AI127" s="71"/>
      <c r="AJ127" s="71"/>
      <c r="AK127" s="71"/>
      <c r="AL127" s="71">
        <v>10</v>
      </c>
      <c r="AM127" s="71"/>
      <c r="AN127" s="71"/>
      <c r="AO127" s="71"/>
      <c r="AP127" s="71"/>
      <c r="AQ127" s="71"/>
      <c r="AR127" s="71"/>
      <c r="AS127" s="71"/>
      <c r="AT127" s="71"/>
      <c r="AU127" s="71"/>
      <c r="AV127" s="71"/>
      <c r="AW127" s="71"/>
      <c r="AX127" s="71"/>
      <c r="AY127" s="71"/>
      <c r="AZ127" s="131">
        <f>VLOOKUP(Table7[[#This Row],[Vlookup Store '#]],'Kiosk Stickers'!A$4:$H$538,2,FALSE)</f>
        <v>0</v>
      </c>
      <c r="BA127" s="131"/>
      <c r="BB127" s="131"/>
      <c r="BC127" s="131"/>
      <c r="BD127" s="131"/>
      <c r="BE127" s="169"/>
      <c r="BF127" s="194"/>
      <c r="BG127" s="173"/>
      <c r="BH127" s="173"/>
      <c r="BI127" s="173"/>
      <c r="BJ127" s="173"/>
      <c r="BK127" s="173"/>
      <c r="BL127" s="173">
        <f>VLOOKUP(Table7[[#This Row],[Vlookup Store '#]],'Kiosk Stickers'!A$4:$H$538,3,FALSE)</f>
        <v>2</v>
      </c>
      <c r="BM127" s="173"/>
      <c r="BN127" s="215"/>
      <c r="BO127" s="199">
        <f>VLOOKUP(Table7[[#This Row],[Vlookup Store '#]],'Kiosk Stickers'!A$4:$H$538,4,FALSE)</f>
        <v>0</v>
      </c>
      <c r="BP127" s="171"/>
      <c r="BQ127" s="226"/>
      <c r="BR127" s="184">
        <f>VLOOKUP(Table7[[#This Row],[Vlookup Store '#]],'Kiosk Stickers'!A$4:$H$538,5,FALSE)</f>
        <v>0</v>
      </c>
      <c r="BS127" s="173"/>
      <c r="BT127" s="173"/>
      <c r="BU127" s="173"/>
      <c r="BV127" s="173"/>
      <c r="BW127" s="173"/>
      <c r="BX127" s="173"/>
      <c r="BY127" s="173"/>
      <c r="BZ127" s="215"/>
      <c r="CA127" s="243"/>
      <c r="CB127" s="233"/>
      <c r="CC127" s="233"/>
      <c r="CD127" s="233"/>
      <c r="CE127" s="233"/>
      <c r="CF127" s="233"/>
      <c r="CG127" s="233"/>
      <c r="CH127" s="262"/>
      <c r="CI127" s="351"/>
      <c r="CJ127" s="350"/>
      <c r="CK127" s="350"/>
      <c r="CL127" s="350"/>
      <c r="CM127" s="350"/>
      <c r="CN127" s="350"/>
      <c r="CO127" s="350">
        <v>2</v>
      </c>
      <c r="CP127" s="350"/>
      <c r="CQ127" s="364"/>
      <c r="CR127" s="370"/>
      <c r="CS127" s="367"/>
      <c r="CT127" s="367"/>
      <c r="CU127" s="367"/>
      <c r="CV127" s="367"/>
      <c r="CW127" s="387">
        <v>10</v>
      </c>
      <c r="CX127" s="398"/>
      <c r="CY127" s="399"/>
      <c r="CZ127" s="399"/>
      <c r="DA127" s="399"/>
      <c r="DB127" s="399"/>
      <c r="DC127" s="400"/>
      <c r="DD127" s="400">
        <v>1</v>
      </c>
      <c r="DE127" s="514"/>
      <c r="DF127" s="514">
        <f t="shared" si="1"/>
        <v>1</v>
      </c>
      <c r="DG127" s="144"/>
      <c r="DH127" s="143"/>
    </row>
    <row r="128" spans="1:112" x14ac:dyDescent="0.25">
      <c r="A128" s="15" t="s">
        <v>194</v>
      </c>
      <c r="B128" s="15">
        <v>801</v>
      </c>
      <c r="C128" s="15" t="s">
        <v>3607</v>
      </c>
      <c r="D128" s="15">
        <v>1752</v>
      </c>
      <c r="E128" s="15" t="s">
        <v>1920</v>
      </c>
      <c r="F128" s="15" t="s">
        <v>1921</v>
      </c>
      <c r="G128" s="15" t="s">
        <v>1922</v>
      </c>
      <c r="H128" s="15" t="s">
        <v>198</v>
      </c>
      <c r="I128" s="15" t="s">
        <v>199</v>
      </c>
      <c r="J128" s="15" t="s">
        <v>3267</v>
      </c>
      <c r="K128" s="15" t="s">
        <v>1923</v>
      </c>
      <c r="L128" s="15" t="s">
        <v>3766</v>
      </c>
      <c r="M128" s="15" t="s">
        <v>4016</v>
      </c>
      <c r="N128" s="70"/>
      <c r="O128" s="70"/>
      <c r="P128" s="70"/>
      <c r="Q128" s="70"/>
      <c r="R128" s="70"/>
      <c r="S128" s="70">
        <v>1500</v>
      </c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1"/>
      <c r="AH128" s="71"/>
      <c r="AI128" s="71"/>
      <c r="AJ128" s="71"/>
      <c r="AK128" s="71"/>
      <c r="AL128" s="71">
        <v>10</v>
      </c>
      <c r="AM128" s="71"/>
      <c r="AN128" s="71"/>
      <c r="AO128" s="71"/>
      <c r="AP128" s="71"/>
      <c r="AQ128" s="71"/>
      <c r="AR128" s="71"/>
      <c r="AS128" s="71"/>
      <c r="AT128" s="71"/>
      <c r="AU128" s="71"/>
      <c r="AV128" s="71"/>
      <c r="AW128" s="71"/>
      <c r="AX128" s="71"/>
      <c r="AY128" s="71"/>
      <c r="AZ128" s="131">
        <f>VLOOKUP(Table7[[#This Row],[Vlookup Store '#]],'Kiosk Stickers'!A$4:$H$538,2,FALSE)</f>
        <v>0</v>
      </c>
      <c r="BA128" s="131"/>
      <c r="BB128" s="131"/>
      <c r="BC128" s="131"/>
      <c r="BD128" s="131"/>
      <c r="BE128" s="169"/>
      <c r="BF128" s="194"/>
      <c r="BG128" s="173"/>
      <c r="BH128" s="173"/>
      <c r="BI128" s="173"/>
      <c r="BJ128" s="173"/>
      <c r="BK128" s="173"/>
      <c r="BL128" s="173">
        <f>VLOOKUP(Table7[[#This Row],[Vlookup Store '#]],'Kiosk Stickers'!A$4:$H$538,3,FALSE)</f>
        <v>2</v>
      </c>
      <c r="BM128" s="173"/>
      <c r="BN128" s="215"/>
      <c r="BO128" s="199">
        <f>VLOOKUP(Table7[[#This Row],[Vlookup Store '#]],'Kiosk Stickers'!A$4:$H$538,4,FALSE)</f>
        <v>0</v>
      </c>
      <c r="BP128" s="171"/>
      <c r="BQ128" s="226"/>
      <c r="BR128" s="184">
        <f>VLOOKUP(Table7[[#This Row],[Vlookup Store '#]],'Kiosk Stickers'!A$4:$H$538,5,FALSE)</f>
        <v>0</v>
      </c>
      <c r="BS128" s="173"/>
      <c r="BT128" s="173"/>
      <c r="BU128" s="173"/>
      <c r="BV128" s="173"/>
      <c r="BW128" s="173"/>
      <c r="BX128" s="173"/>
      <c r="BY128" s="173"/>
      <c r="BZ128" s="215"/>
      <c r="CA128" s="243"/>
      <c r="CB128" s="233"/>
      <c r="CC128" s="233"/>
      <c r="CD128" s="233"/>
      <c r="CE128" s="233"/>
      <c r="CF128" s="233"/>
      <c r="CG128" s="233"/>
      <c r="CH128" s="262"/>
      <c r="CI128" s="351"/>
      <c r="CJ128" s="350"/>
      <c r="CK128" s="350"/>
      <c r="CL128" s="350"/>
      <c r="CM128" s="350"/>
      <c r="CN128" s="350"/>
      <c r="CO128" s="350">
        <v>2</v>
      </c>
      <c r="CP128" s="350"/>
      <c r="CQ128" s="364"/>
      <c r="CR128" s="370"/>
      <c r="CS128" s="367"/>
      <c r="CT128" s="367"/>
      <c r="CU128" s="367"/>
      <c r="CV128" s="367"/>
      <c r="CW128" s="387">
        <v>10</v>
      </c>
      <c r="CX128" s="398"/>
      <c r="CY128" s="399"/>
      <c r="CZ128" s="399"/>
      <c r="DA128" s="399"/>
      <c r="DB128" s="399"/>
      <c r="DC128" s="400"/>
      <c r="DD128" s="400">
        <v>1</v>
      </c>
      <c r="DE128" s="514"/>
      <c r="DF128" s="514">
        <f t="shared" si="1"/>
        <v>1</v>
      </c>
      <c r="DG128" s="144"/>
      <c r="DH128" s="143"/>
    </row>
    <row r="129" spans="1:112" x14ac:dyDescent="0.25">
      <c r="A129" s="15" t="s">
        <v>194</v>
      </c>
      <c r="B129" s="15">
        <v>801</v>
      </c>
      <c r="C129" s="15" t="s">
        <v>3674</v>
      </c>
      <c r="D129" s="15">
        <v>2518</v>
      </c>
      <c r="E129" s="15" t="s">
        <v>1924</v>
      </c>
      <c r="F129" s="15" t="s">
        <v>1925</v>
      </c>
      <c r="G129" s="15" t="s">
        <v>1926</v>
      </c>
      <c r="H129" s="15" t="s">
        <v>1927</v>
      </c>
      <c r="I129" s="15" t="s">
        <v>199</v>
      </c>
      <c r="J129" s="15" t="s">
        <v>3675</v>
      </c>
      <c r="K129" s="15" t="s">
        <v>1928</v>
      </c>
      <c r="L129" s="15" t="s">
        <v>3766</v>
      </c>
      <c r="M129" s="15" t="s">
        <v>4016</v>
      </c>
      <c r="N129" s="70"/>
      <c r="O129" s="70"/>
      <c r="P129" s="70"/>
      <c r="Q129" s="70"/>
      <c r="R129" s="70"/>
      <c r="S129" s="70">
        <v>1500</v>
      </c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1"/>
      <c r="AH129" s="71"/>
      <c r="AI129" s="71"/>
      <c r="AJ129" s="71"/>
      <c r="AK129" s="71"/>
      <c r="AL129" s="71">
        <v>10</v>
      </c>
      <c r="AM129" s="71"/>
      <c r="AN129" s="71"/>
      <c r="AO129" s="71"/>
      <c r="AP129" s="71"/>
      <c r="AQ129" s="71"/>
      <c r="AR129" s="71"/>
      <c r="AS129" s="71"/>
      <c r="AT129" s="71"/>
      <c r="AU129" s="71"/>
      <c r="AV129" s="71"/>
      <c r="AW129" s="71"/>
      <c r="AX129" s="71"/>
      <c r="AY129" s="71"/>
      <c r="AZ129" s="165"/>
      <c r="BA129" s="131">
        <f>VLOOKUP(Table7[[#This Row],[Vlookup Store '#]],'Kiosk Stickers'!A$4:$H$538,2,FALSE)</f>
        <v>1</v>
      </c>
      <c r="BB129" s="131"/>
      <c r="BC129" s="131"/>
      <c r="BD129" s="131"/>
      <c r="BE129" s="169"/>
      <c r="BF129" s="184">
        <f>VLOOKUP(Table7[[#This Row],[Vlookup Store '#]],'Kiosk Stickers'!A$4:$H$538,3,FALSE)</f>
        <v>0</v>
      </c>
      <c r="BG129" s="173"/>
      <c r="BH129" s="173"/>
      <c r="BI129" s="173"/>
      <c r="BJ129" s="173"/>
      <c r="BK129" s="173"/>
      <c r="BL129" s="173"/>
      <c r="BM129" s="173"/>
      <c r="BN129" s="215"/>
      <c r="BO129" s="199">
        <f>VLOOKUP(Table7[[#This Row],[Vlookup Store '#]],'Kiosk Stickers'!A$4:$H$538,4,FALSE)</f>
        <v>0</v>
      </c>
      <c r="BP129" s="171"/>
      <c r="BQ129" s="226"/>
      <c r="BR129" s="184">
        <f>VLOOKUP(Table7[[#This Row],[Vlookup Store '#]],'Kiosk Stickers'!A$4:$H$538,5,FALSE)</f>
        <v>0</v>
      </c>
      <c r="BS129" s="173"/>
      <c r="BT129" s="173"/>
      <c r="BU129" s="173"/>
      <c r="BV129" s="173"/>
      <c r="BW129" s="173"/>
      <c r="BX129" s="173"/>
      <c r="BY129" s="173"/>
      <c r="BZ129" s="215"/>
      <c r="CA129" s="243"/>
      <c r="CB129" s="233"/>
      <c r="CC129" s="233"/>
      <c r="CD129" s="233"/>
      <c r="CE129" s="233"/>
      <c r="CF129" s="233"/>
      <c r="CG129" s="233"/>
      <c r="CH129" s="262"/>
      <c r="CI129" s="351"/>
      <c r="CJ129" s="350"/>
      <c r="CK129" s="350"/>
      <c r="CL129" s="350"/>
      <c r="CM129" s="350"/>
      <c r="CN129" s="350"/>
      <c r="CO129" s="350">
        <v>2</v>
      </c>
      <c r="CP129" s="350"/>
      <c r="CQ129" s="364"/>
      <c r="CR129" s="370"/>
      <c r="CS129" s="367"/>
      <c r="CT129" s="367"/>
      <c r="CU129" s="367"/>
      <c r="CV129" s="367"/>
      <c r="CW129" s="387">
        <v>10</v>
      </c>
      <c r="CX129" s="398"/>
      <c r="CY129" s="399"/>
      <c r="CZ129" s="399"/>
      <c r="DA129" s="399"/>
      <c r="DB129" s="399"/>
      <c r="DC129" s="400"/>
      <c r="DD129" s="400">
        <v>1</v>
      </c>
      <c r="DE129" s="514"/>
      <c r="DF129" s="514">
        <f t="shared" si="1"/>
        <v>1</v>
      </c>
      <c r="DG129" s="144"/>
      <c r="DH129" s="143"/>
    </row>
    <row r="130" spans="1:112" x14ac:dyDescent="0.25">
      <c r="A130" s="15" t="s">
        <v>208</v>
      </c>
      <c r="B130" s="15">
        <v>815</v>
      </c>
      <c r="C130" s="15" t="s">
        <v>1957</v>
      </c>
      <c r="D130" s="15">
        <v>861</v>
      </c>
      <c r="E130" s="15" t="s">
        <v>1958</v>
      </c>
      <c r="F130" s="15" t="s">
        <v>1959</v>
      </c>
      <c r="G130" s="15" t="s">
        <v>1960</v>
      </c>
      <c r="H130" s="15" t="s">
        <v>1961</v>
      </c>
      <c r="I130" s="15" t="s">
        <v>213</v>
      </c>
      <c r="J130" s="15" t="s">
        <v>3285</v>
      </c>
      <c r="K130" s="15" t="s">
        <v>1962</v>
      </c>
      <c r="L130" s="15" t="s">
        <v>3737</v>
      </c>
      <c r="M130" s="15" t="s">
        <v>4022</v>
      </c>
      <c r="N130" s="70"/>
      <c r="O130" s="70"/>
      <c r="P130" s="70"/>
      <c r="Q130" s="70"/>
      <c r="R130" s="70">
        <v>1500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1"/>
      <c r="AH130" s="71"/>
      <c r="AI130" s="71"/>
      <c r="AJ130" s="71"/>
      <c r="AK130" s="71">
        <v>10</v>
      </c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  <c r="AY130" s="71"/>
      <c r="AZ130" s="131"/>
      <c r="BA130" s="131"/>
      <c r="BB130" s="131"/>
      <c r="BC130" s="131"/>
      <c r="BD130" s="131"/>
      <c r="BE130" s="169"/>
      <c r="BF130" s="184"/>
      <c r="BG130" s="173"/>
      <c r="BH130" s="173"/>
      <c r="BI130" s="173"/>
      <c r="BJ130" s="173"/>
      <c r="BK130" s="173"/>
      <c r="BL130" s="173"/>
      <c r="BM130" s="173"/>
      <c r="BN130" s="215"/>
      <c r="BO130" s="199"/>
      <c r="BP130" s="171"/>
      <c r="BQ130" s="226"/>
      <c r="BR130" s="184"/>
      <c r="BS130" s="173"/>
      <c r="BT130" s="173"/>
      <c r="BU130" s="173"/>
      <c r="BV130" s="173"/>
      <c r="BW130" s="173"/>
      <c r="BX130" s="173"/>
      <c r="BY130" s="173"/>
      <c r="BZ130" s="215"/>
      <c r="CA130" s="244"/>
      <c r="CB130" s="233"/>
      <c r="CC130" s="233"/>
      <c r="CD130" s="239">
        <v>1</v>
      </c>
      <c r="CE130" s="233"/>
      <c r="CF130" s="233"/>
      <c r="CG130" s="233"/>
      <c r="CH130" s="262"/>
      <c r="CI130" s="351"/>
      <c r="CJ130" s="350"/>
      <c r="CK130" s="350"/>
      <c r="CL130" s="350"/>
      <c r="CM130" s="350">
        <v>2</v>
      </c>
      <c r="CN130" s="350"/>
      <c r="CO130" s="350"/>
      <c r="CP130" s="350"/>
      <c r="CQ130" s="364"/>
      <c r="CR130" s="370"/>
      <c r="CS130" s="367"/>
      <c r="CT130" s="367"/>
      <c r="CU130" s="367">
        <v>10</v>
      </c>
      <c r="CV130" s="367"/>
      <c r="CW130" s="387"/>
      <c r="CX130" s="398"/>
      <c r="CY130" s="399"/>
      <c r="CZ130" s="399"/>
      <c r="DA130" s="399">
        <v>1</v>
      </c>
      <c r="DB130" s="399"/>
      <c r="DC130" s="400"/>
      <c r="DD130" s="400"/>
      <c r="DE130" s="514"/>
      <c r="DF130" s="514">
        <f t="shared" si="1"/>
        <v>1</v>
      </c>
      <c r="DG130" s="144"/>
      <c r="DH130" s="143"/>
    </row>
    <row r="131" spans="1:112" x14ac:dyDescent="0.25">
      <c r="A131" s="15" t="s">
        <v>208</v>
      </c>
      <c r="B131" s="15">
        <v>815</v>
      </c>
      <c r="C131" s="15" t="s">
        <v>1974</v>
      </c>
      <c r="D131" s="15">
        <v>864</v>
      </c>
      <c r="E131" s="15" t="s">
        <v>1975</v>
      </c>
      <c r="F131" s="15" t="s">
        <v>1976</v>
      </c>
      <c r="G131" s="15" t="s">
        <v>1977</v>
      </c>
      <c r="H131" s="15" t="s">
        <v>1523</v>
      </c>
      <c r="I131" s="15" t="s">
        <v>213</v>
      </c>
      <c r="J131" s="15" t="s">
        <v>3288</v>
      </c>
      <c r="K131" s="15" t="s">
        <v>1978</v>
      </c>
      <c r="L131" s="15" t="s">
        <v>3737</v>
      </c>
      <c r="M131" s="15" t="s">
        <v>4022</v>
      </c>
      <c r="N131" s="70"/>
      <c r="O131" s="70"/>
      <c r="P131" s="70"/>
      <c r="Q131" s="70"/>
      <c r="R131" s="70">
        <v>1500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1"/>
      <c r="AH131" s="71"/>
      <c r="AI131" s="71"/>
      <c r="AJ131" s="71"/>
      <c r="AK131" s="71">
        <v>10</v>
      </c>
      <c r="AL131" s="71"/>
      <c r="AM131" s="71"/>
      <c r="AN131" s="71"/>
      <c r="AO131" s="71"/>
      <c r="AP131" s="71"/>
      <c r="AQ131" s="71"/>
      <c r="AR131" s="71"/>
      <c r="AS131" s="71"/>
      <c r="AT131" s="71"/>
      <c r="AU131" s="71"/>
      <c r="AV131" s="71"/>
      <c r="AW131" s="71"/>
      <c r="AX131" s="71"/>
      <c r="AY131" s="71"/>
      <c r="AZ131" s="131">
        <f>VLOOKUP(Table7[[#This Row],[Vlookup Store '#]],'Kiosk Stickers'!A$4:$H$538,2,FALSE)</f>
        <v>0</v>
      </c>
      <c r="BA131" s="131"/>
      <c r="BB131" s="131"/>
      <c r="BC131" s="131"/>
      <c r="BD131" s="131"/>
      <c r="BE131" s="169"/>
      <c r="BF131" s="194"/>
      <c r="BG131" s="173"/>
      <c r="BH131" s="173"/>
      <c r="BI131" s="173"/>
      <c r="BJ131" s="173">
        <f>VLOOKUP(Table7[[#This Row],[Vlookup Store '#]],'Kiosk Stickers'!A$4:$H$538,3,FALSE)</f>
        <v>1</v>
      </c>
      <c r="BK131" s="173"/>
      <c r="BL131" s="173"/>
      <c r="BM131" s="173"/>
      <c r="BN131" s="215"/>
      <c r="BO131" s="199">
        <f>VLOOKUP(Table7[[#This Row],[Vlookup Store '#]],'Kiosk Stickers'!A$4:$H$538,4,FALSE)</f>
        <v>0</v>
      </c>
      <c r="BP131" s="171"/>
      <c r="BQ131" s="226"/>
      <c r="BR131" s="184">
        <f>VLOOKUP(Table7[[#This Row],[Vlookup Store '#]],'Kiosk Stickers'!A$4:$H$538,5,FALSE)</f>
        <v>0</v>
      </c>
      <c r="BS131" s="173"/>
      <c r="BT131" s="173"/>
      <c r="BU131" s="173"/>
      <c r="BV131" s="173"/>
      <c r="BW131" s="173"/>
      <c r="BX131" s="173"/>
      <c r="BY131" s="173"/>
      <c r="BZ131" s="215"/>
      <c r="CA131" s="243"/>
      <c r="CB131" s="233"/>
      <c r="CC131" s="233"/>
      <c r="CD131" s="233"/>
      <c r="CE131" s="233"/>
      <c r="CF131" s="233"/>
      <c r="CG131" s="233"/>
      <c r="CH131" s="262"/>
      <c r="CI131" s="351"/>
      <c r="CJ131" s="350"/>
      <c r="CK131" s="350"/>
      <c r="CL131" s="350"/>
      <c r="CM131" s="350">
        <v>2</v>
      </c>
      <c r="CN131" s="350"/>
      <c r="CO131" s="350"/>
      <c r="CP131" s="350"/>
      <c r="CQ131" s="364"/>
      <c r="CR131" s="370"/>
      <c r="CS131" s="367"/>
      <c r="CT131" s="367"/>
      <c r="CU131" s="367">
        <v>10</v>
      </c>
      <c r="CV131" s="367"/>
      <c r="CW131" s="387"/>
      <c r="CX131" s="398"/>
      <c r="CY131" s="399"/>
      <c r="CZ131" s="399"/>
      <c r="DA131" s="399">
        <v>1</v>
      </c>
      <c r="DB131" s="399"/>
      <c r="DC131" s="400"/>
      <c r="DD131" s="400"/>
      <c r="DE131" s="514"/>
      <c r="DF131" s="514">
        <f t="shared" si="1"/>
        <v>1</v>
      </c>
      <c r="DG131" s="144"/>
      <c r="DH131" s="143"/>
    </row>
    <row r="132" spans="1:112" x14ac:dyDescent="0.25">
      <c r="A132" s="15" t="s">
        <v>208</v>
      </c>
      <c r="B132" s="15">
        <v>815</v>
      </c>
      <c r="C132" s="15" t="s">
        <v>209</v>
      </c>
      <c r="D132" s="15">
        <v>865</v>
      </c>
      <c r="E132" s="15" t="s">
        <v>210</v>
      </c>
      <c r="F132" s="15" t="s">
        <v>1979</v>
      </c>
      <c r="G132" s="15" t="s">
        <v>211</v>
      </c>
      <c r="H132" s="15" t="s">
        <v>212</v>
      </c>
      <c r="I132" s="15" t="s">
        <v>213</v>
      </c>
      <c r="J132" s="15" t="s">
        <v>3289</v>
      </c>
      <c r="K132" s="15" t="s">
        <v>214</v>
      </c>
      <c r="L132" s="15" t="s">
        <v>3737</v>
      </c>
      <c r="M132" s="15" t="s">
        <v>4022</v>
      </c>
      <c r="N132" s="70"/>
      <c r="O132" s="70"/>
      <c r="P132" s="70"/>
      <c r="Q132" s="70"/>
      <c r="R132" s="70">
        <v>1500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1"/>
      <c r="AH132" s="71"/>
      <c r="AI132" s="71"/>
      <c r="AJ132" s="71"/>
      <c r="AK132" s="71">
        <v>10</v>
      </c>
      <c r="AL132" s="71"/>
      <c r="AM132" s="71"/>
      <c r="AN132" s="71"/>
      <c r="AO132" s="71"/>
      <c r="AP132" s="71"/>
      <c r="AQ132" s="71"/>
      <c r="AR132" s="71"/>
      <c r="AS132" s="71"/>
      <c r="AT132" s="71"/>
      <c r="AU132" s="71"/>
      <c r="AV132" s="71"/>
      <c r="AW132" s="71"/>
      <c r="AX132" s="71"/>
      <c r="AY132" s="71"/>
      <c r="AZ132" s="131">
        <f>VLOOKUP(Table7[[#This Row],[Vlookup Store '#]],'Kiosk Stickers'!A$4:$H$538,2,FALSE)</f>
        <v>0</v>
      </c>
      <c r="BA132" s="131"/>
      <c r="BB132" s="131"/>
      <c r="BC132" s="131"/>
      <c r="BD132" s="131"/>
      <c r="BE132" s="169"/>
      <c r="BF132" s="194"/>
      <c r="BG132" s="173"/>
      <c r="BH132" s="173"/>
      <c r="BI132" s="173"/>
      <c r="BJ132" s="173">
        <f>VLOOKUP(Table7[[#This Row],[Vlookup Store '#]],'Kiosk Stickers'!A$4:$H$538,3,FALSE)</f>
        <v>0</v>
      </c>
      <c r="BK132" s="173"/>
      <c r="BL132" s="173"/>
      <c r="BM132" s="173"/>
      <c r="BN132" s="215"/>
      <c r="BO132" s="199">
        <f>VLOOKUP(Table7[[#This Row],[Vlookup Store '#]],'Kiosk Stickers'!A$4:$H$538,4,FALSE)</f>
        <v>0</v>
      </c>
      <c r="BP132" s="171"/>
      <c r="BQ132" s="226"/>
      <c r="BR132" s="194"/>
      <c r="BS132" s="173"/>
      <c r="BT132" s="173"/>
      <c r="BU132" s="173">
        <f>VLOOKUP(Table7[[#This Row],[Vlookup Store '#]],'Kiosk Stickers'!A$4:$H$538,5,FALSE)</f>
        <v>1</v>
      </c>
      <c r="BV132" s="173"/>
      <c r="BW132" s="173"/>
      <c r="BX132" s="173"/>
      <c r="BY132" s="173"/>
      <c r="BZ132" s="215"/>
      <c r="CA132" s="243"/>
      <c r="CB132" s="233"/>
      <c r="CC132" s="233"/>
      <c r="CD132" s="233"/>
      <c r="CE132" s="233"/>
      <c r="CF132" s="233"/>
      <c r="CG132" s="233"/>
      <c r="CH132" s="262"/>
      <c r="CI132" s="351"/>
      <c r="CJ132" s="350"/>
      <c r="CK132" s="350"/>
      <c r="CL132" s="350"/>
      <c r="CM132" s="350">
        <v>2</v>
      </c>
      <c r="CN132" s="350"/>
      <c r="CO132" s="350"/>
      <c r="CP132" s="350"/>
      <c r="CQ132" s="364"/>
      <c r="CR132" s="370"/>
      <c r="CS132" s="367"/>
      <c r="CT132" s="367"/>
      <c r="CU132" s="367">
        <v>10</v>
      </c>
      <c r="CV132" s="367"/>
      <c r="CW132" s="387"/>
      <c r="CX132" s="398"/>
      <c r="CY132" s="399"/>
      <c r="CZ132" s="399"/>
      <c r="DA132" s="399">
        <v>1</v>
      </c>
      <c r="DB132" s="399"/>
      <c r="DC132" s="400"/>
      <c r="DD132" s="400"/>
      <c r="DE132" s="514"/>
      <c r="DF132" s="514">
        <f t="shared" si="1"/>
        <v>1</v>
      </c>
      <c r="DG132" s="144"/>
      <c r="DH132" s="143"/>
    </row>
    <row r="133" spans="1:112" x14ac:dyDescent="0.25">
      <c r="A133" s="15" t="s">
        <v>208</v>
      </c>
      <c r="B133" s="15">
        <v>815</v>
      </c>
      <c r="C133" s="15" t="s">
        <v>1980</v>
      </c>
      <c r="D133" s="15">
        <v>866</v>
      </c>
      <c r="E133" s="15" t="s">
        <v>1981</v>
      </c>
      <c r="F133" s="15" t="s">
        <v>1982</v>
      </c>
      <c r="G133" s="15" t="s">
        <v>1983</v>
      </c>
      <c r="H133" s="15" t="s">
        <v>1595</v>
      </c>
      <c r="I133" s="15" t="s">
        <v>213</v>
      </c>
      <c r="J133" s="15" t="s">
        <v>3290</v>
      </c>
      <c r="K133" s="15" t="s">
        <v>1984</v>
      </c>
      <c r="L133" s="15" t="s">
        <v>3737</v>
      </c>
      <c r="M133" s="15" t="s">
        <v>4022</v>
      </c>
      <c r="N133" s="70"/>
      <c r="O133" s="70"/>
      <c r="P133" s="70"/>
      <c r="Q133" s="70"/>
      <c r="R133" s="70">
        <v>1500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1"/>
      <c r="AH133" s="71"/>
      <c r="AI133" s="71"/>
      <c r="AJ133" s="71"/>
      <c r="AK133" s="71">
        <v>10</v>
      </c>
      <c r="AL133" s="71"/>
      <c r="AM133" s="71"/>
      <c r="AN133" s="71"/>
      <c r="AO133" s="71"/>
      <c r="AP133" s="71"/>
      <c r="AQ133" s="71"/>
      <c r="AR133" s="71"/>
      <c r="AS133" s="71"/>
      <c r="AT133" s="71"/>
      <c r="AU133" s="71"/>
      <c r="AV133" s="71"/>
      <c r="AW133" s="71"/>
      <c r="AX133" s="71"/>
      <c r="AY133" s="71"/>
      <c r="AZ133" s="131">
        <f>VLOOKUP(Table7[[#This Row],[Vlookup Store '#]],'Kiosk Stickers'!A$4:$H$538,2,FALSE)</f>
        <v>0</v>
      </c>
      <c r="BA133" s="131"/>
      <c r="BB133" s="131"/>
      <c r="BC133" s="131"/>
      <c r="BD133" s="131"/>
      <c r="BE133" s="169"/>
      <c r="BF133" s="194"/>
      <c r="BG133" s="173"/>
      <c r="BH133" s="173"/>
      <c r="BI133" s="173"/>
      <c r="BJ133" s="173">
        <f>VLOOKUP(Table7[[#This Row],[Vlookup Store '#]],'Kiosk Stickers'!A$4:$H$538,3,FALSE)</f>
        <v>0</v>
      </c>
      <c r="BK133" s="173"/>
      <c r="BL133" s="173"/>
      <c r="BM133" s="173"/>
      <c r="BN133" s="215"/>
      <c r="BO133" s="199">
        <f>VLOOKUP(Table7[[#This Row],[Vlookup Store '#]],'Kiosk Stickers'!A$4:$H$538,4,FALSE)</f>
        <v>0</v>
      </c>
      <c r="BP133" s="171"/>
      <c r="BQ133" s="226"/>
      <c r="BR133" s="194"/>
      <c r="BS133" s="173"/>
      <c r="BT133" s="173"/>
      <c r="BU133" s="173">
        <f>VLOOKUP(Table7[[#This Row],[Vlookup Store '#]],'Kiosk Stickers'!A$4:$H$538,5,FALSE)</f>
        <v>1</v>
      </c>
      <c r="BV133" s="173"/>
      <c r="BW133" s="173"/>
      <c r="BX133" s="173"/>
      <c r="BY133" s="173"/>
      <c r="BZ133" s="215"/>
      <c r="CA133" s="243"/>
      <c r="CB133" s="233"/>
      <c r="CC133" s="233"/>
      <c r="CD133" s="233"/>
      <c r="CE133" s="233"/>
      <c r="CF133" s="233"/>
      <c r="CG133" s="233"/>
      <c r="CH133" s="262"/>
      <c r="CI133" s="351"/>
      <c r="CJ133" s="350"/>
      <c r="CK133" s="350"/>
      <c r="CL133" s="350"/>
      <c r="CM133" s="350">
        <v>2</v>
      </c>
      <c r="CN133" s="350"/>
      <c r="CO133" s="350"/>
      <c r="CP133" s="350"/>
      <c r="CQ133" s="364"/>
      <c r="CR133" s="370"/>
      <c r="CS133" s="367"/>
      <c r="CT133" s="367"/>
      <c r="CU133" s="367">
        <v>10</v>
      </c>
      <c r="CV133" s="367"/>
      <c r="CW133" s="387"/>
      <c r="CX133" s="398"/>
      <c r="CY133" s="399"/>
      <c r="CZ133" s="399"/>
      <c r="DA133" s="399">
        <v>1</v>
      </c>
      <c r="DB133" s="399"/>
      <c r="DC133" s="400"/>
      <c r="DD133" s="400"/>
      <c r="DE133" s="514"/>
      <c r="DF133" s="514">
        <f t="shared" si="1"/>
        <v>1</v>
      </c>
      <c r="DG133" s="144"/>
      <c r="DH133" s="143"/>
    </row>
    <row r="134" spans="1:112" x14ac:dyDescent="0.25">
      <c r="A134" s="15" t="s">
        <v>208</v>
      </c>
      <c r="B134" s="15">
        <v>815</v>
      </c>
      <c r="C134" s="15" t="s">
        <v>1990</v>
      </c>
      <c r="D134" s="15">
        <v>868</v>
      </c>
      <c r="E134" s="15" t="s">
        <v>1991</v>
      </c>
      <c r="F134" s="15" t="s">
        <v>1992</v>
      </c>
      <c r="G134" s="15" t="s">
        <v>1993</v>
      </c>
      <c r="H134" s="15" t="s">
        <v>333</v>
      </c>
      <c r="I134" s="15" t="s">
        <v>213</v>
      </c>
      <c r="J134" s="15" t="s">
        <v>3292</v>
      </c>
      <c r="K134" s="15" t="s">
        <v>1994</v>
      </c>
      <c r="L134" s="15" t="s">
        <v>3737</v>
      </c>
      <c r="M134" s="15" t="s">
        <v>4022</v>
      </c>
      <c r="N134" s="70"/>
      <c r="O134" s="70"/>
      <c r="P134" s="70"/>
      <c r="Q134" s="70"/>
      <c r="R134" s="70">
        <v>1500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1"/>
      <c r="AH134" s="71"/>
      <c r="AI134" s="71"/>
      <c r="AJ134" s="71"/>
      <c r="AK134" s="71">
        <v>10</v>
      </c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71"/>
      <c r="AX134" s="71"/>
      <c r="AY134" s="71"/>
      <c r="AZ134" s="131">
        <f>VLOOKUP(Table7[[#This Row],[Vlookup Store '#]],'Kiosk Stickers'!A$4:$H$538,2,FALSE)</f>
        <v>0</v>
      </c>
      <c r="BA134" s="131"/>
      <c r="BB134" s="131"/>
      <c r="BC134" s="131"/>
      <c r="BD134" s="131"/>
      <c r="BE134" s="169"/>
      <c r="BF134" s="194"/>
      <c r="BG134" s="173"/>
      <c r="BH134" s="173"/>
      <c r="BI134" s="173"/>
      <c r="BJ134" s="173">
        <f>VLOOKUP(Table7[[#This Row],[Vlookup Store '#]],'Kiosk Stickers'!A$4:$H$538,3,FALSE)</f>
        <v>2</v>
      </c>
      <c r="BK134" s="173"/>
      <c r="BL134" s="173"/>
      <c r="BM134" s="173"/>
      <c r="BN134" s="215"/>
      <c r="BO134" s="199">
        <f>VLOOKUP(Table7[[#This Row],[Vlookup Store '#]],'Kiosk Stickers'!A$4:$H$538,4,FALSE)</f>
        <v>0</v>
      </c>
      <c r="BP134" s="171"/>
      <c r="BQ134" s="226"/>
      <c r="BR134" s="184">
        <f>VLOOKUP(Table7[[#This Row],[Vlookup Store '#]],'Kiosk Stickers'!A$4:$H$538,5,FALSE)</f>
        <v>0</v>
      </c>
      <c r="BS134" s="173"/>
      <c r="BT134" s="173"/>
      <c r="BU134" s="173"/>
      <c r="BV134" s="173"/>
      <c r="BW134" s="173"/>
      <c r="BX134" s="173"/>
      <c r="BY134" s="173"/>
      <c r="BZ134" s="215"/>
      <c r="CA134" s="243"/>
      <c r="CB134" s="233"/>
      <c r="CC134" s="233"/>
      <c r="CD134" s="233"/>
      <c r="CE134" s="233"/>
      <c r="CF134" s="233"/>
      <c r="CG134" s="233"/>
      <c r="CH134" s="262"/>
      <c r="CI134" s="351"/>
      <c r="CJ134" s="350"/>
      <c r="CK134" s="350"/>
      <c r="CL134" s="350"/>
      <c r="CM134" s="350">
        <v>2</v>
      </c>
      <c r="CN134" s="350"/>
      <c r="CO134" s="350"/>
      <c r="CP134" s="350"/>
      <c r="CQ134" s="364"/>
      <c r="CR134" s="370"/>
      <c r="CS134" s="367"/>
      <c r="CT134" s="367"/>
      <c r="CU134" s="367">
        <v>10</v>
      </c>
      <c r="CV134" s="367"/>
      <c r="CW134" s="387"/>
      <c r="CX134" s="398"/>
      <c r="CY134" s="399"/>
      <c r="CZ134" s="399"/>
      <c r="DA134" s="399">
        <v>1</v>
      </c>
      <c r="DB134" s="399"/>
      <c r="DC134" s="400"/>
      <c r="DD134" s="400"/>
      <c r="DE134" s="514"/>
      <c r="DF134" s="514">
        <f t="shared" ref="DF134:DF197" si="2">SUM(CX134:DE134)</f>
        <v>1</v>
      </c>
      <c r="DG134" s="144"/>
      <c r="DH134" s="143"/>
    </row>
    <row r="135" spans="1:112" x14ac:dyDescent="0.25">
      <c r="A135" s="15" t="s">
        <v>120</v>
      </c>
      <c r="B135" s="15">
        <v>806</v>
      </c>
      <c r="C135" s="15" t="s">
        <v>2066</v>
      </c>
      <c r="D135" s="15">
        <v>398</v>
      </c>
      <c r="E135" s="15" t="s">
        <v>2067</v>
      </c>
      <c r="F135" s="15" t="s">
        <v>2068</v>
      </c>
      <c r="G135" s="15" t="s">
        <v>2069</v>
      </c>
      <c r="H135" s="15" t="s">
        <v>124</v>
      </c>
      <c r="I135" s="15" t="s">
        <v>39</v>
      </c>
      <c r="J135" s="15" t="s">
        <v>3174</v>
      </c>
      <c r="K135" s="15" t="s">
        <v>2070</v>
      </c>
      <c r="L135" s="15" t="s">
        <v>3775</v>
      </c>
      <c r="M135" s="15" t="s">
        <v>3776</v>
      </c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>
        <v>1500</v>
      </c>
      <c r="AE135" s="70"/>
      <c r="AF135" s="70"/>
      <c r="AG135" s="71"/>
      <c r="AH135" s="71"/>
      <c r="AI135" s="71"/>
      <c r="AJ135" s="71"/>
      <c r="AK135" s="71"/>
      <c r="AL135" s="71"/>
      <c r="AM135" s="71"/>
      <c r="AN135" s="71"/>
      <c r="AO135" s="71"/>
      <c r="AP135" s="71"/>
      <c r="AQ135" s="71"/>
      <c r="AR135" s="71"/>
      <c r="AS135" s="71"/>
      <c r="AT135" s="71"/>
      <c r="AU135" s="71"/>
      <c r="AV135" s="71"/>
      <c r="AW135" s="71">
        <v>10</v>
      </c>
      <c r="AX135" s="71"/>
      <c r="AY135" s="71"/>
      <c r="AZ135" s="131">
        <f>VLOOKUP(Table7[[#This Row],[Vlookup Store '#]],'Kiosk Stickers'!A$4:$H$538,2,FALSE)</f>
        <v>0</v>
      </c>
      <c r="BA135" s="131"/>
      <c r="BB135" s="131"/>
      <c r="BC135" s="131"/>
      <c r="BD135" s="131"/>
      <c r="BE135" s="169"/>
      <c r="BF135" s="184">
        <f>VLOOKUP(Table7[[#This Row],[Vlookup Store '#]],'Kiosk Stickers'!A$4:$H$538,3,FALSE)</f>
        <v>0</v>
      </c>
      <c r="BG135" s="173"/>
      <c r="BH135" s="173"/>
      <c r="BI135" s="173"/>
      <c r="BJ135" s="173"/>
      <c r="BK135" s="173"/>
      <c r="BL135" s="173"/>
      <c r="BM135" s="173"/>
      <c r="BN135" s="215"/>
      <c r="BO135" s="199">
        <f>VLOOKUP(Table7[[#This Row],[Vlookup Store '#]],'Kiosk Stickers'!A$4:$H$538,4,FALSE)</f>
        <v>0</v>
      </c>
      <c r="BP135" s="171"/>
      <c r="BQ135" s="226"/>
      <c r="BR135" s="184">
        <f>VLOOKUP(Table7[[#This Row],[Vlookup Store '#]],'Kiosk Stickers'!A$4:$H$538,5,FALSE)</f>
        <v>0</v>
      </c>
      <c r="BS135" s="173"/>
      <c r="BT135" s="173"/>
      <c r="BU135" s="173"/>
      <c r="BV135" s="173"/>
      <c r="BW135" s="173"/>
      <c r="BX135" s="173"/>
      <c r="BY135" s="173"/>
      <c r="BZ135" s="215"/>
      <c r="CA135" s="244"/>
      <c r="CB135" s="233"/>
      <c r="CC135" s="233"/>
      <c r="CD135" s="233"/>
      <c r="CE135" s="239">
        <f>VLOOKUP(Table7[[#This Row],[Vlookup Store '#]],'Kiosk Stickers'!A$4:$H$538,6,FALSE)</f>
        <v>1</v>
      </c>
      <c r="CF135" s="233"/>
      <c r="CG135" s="233"/>
      <c r="CH135" s="262"/>
      <c r="CI135" s="351"/>
      <c r="CJ135" s="350"/>
      <c r="CK135" s="350"/>
      <c r="CL135" s="350"/>
      <c r="CM135" s="350"/>
      <c r="CN135" s="353">
        <v>2</v>
      </c>
      <c r="CO135" s="350"/>
      <c r="CP135" s="350"/>
      <c r="CQ135" s="364"/>
      <c r="CR135" s="370"/>
      <c r="CS135" s="367"/>
      <c r="CT135" s="367"/>
      <c r="CU135" s="367"/>
      <c r="CV135" s="378">
        <v>10</v>
      </c>
      <c r="CW135" s="387"/>
      <c r="CX135" s="398"/>
      <c r="CY135" s="399"/>
      <c r="CZ135" s="399"/>
      <c r="DA135" s="399"/>
      <c r="DB135" s="396"/>
      <c r="DC135" s="396">
        <v>1</v>
      </c>
      <c r="DD135" s="400"/>
      <c r="DE135" s="514"/>
      <c r="DF135" s="514">
        <f t="shared" si="2"/>
        <v>1</v>
      </c>
      <c r="DG135" s="144"/>
      <c r="DH135" s="143"/>
    </row>
    <row r="136" spans="1:112" x14ac:dyDescent="0.25">
      <c r="A136" s="15" t="s">
        <v>120</v>
      </c>
      <c r="B136" s="15">
        <v>806</v>
      </c>
      <c r="C136" s="15" t="s">
        <v>2071</v>
      </c>
      <c r="D136" s="15">
        <v>399</v>
      </c>
      <c r="E136" s="15" t="s">
        <v>2072</v>
      </c>
      <c r="F136" s="15" t="s">
        <v>2073</v>
      </c>
      <c r="G136" s="15" t="s">
        <v>2074</v>
      </c>
      <c r="H136" s="15" t="s">
        <v>124</v>
      </c>
      <c r="I136" s="15" t="s">
        <v>39</v>
      </c>
      <c r="J136" s="15" t="s">
        <v>3172</v>
      </c>
      <c r="K136" s="15" t="s">
        <v>2075</v>
      </c>
      <c r="L136" s="15" t="s">
        <v>3775</v>
      </c>
      <c r="M136" s="15" t="s">
        <v>3776</v>
      </c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>
        <v>1500</v>
      </c>
      <c r="AE136" s="70"/>
      <c r="AF136" s="70"/>
      <c r="AG136" s="71"/>
      <c r="AH136" s="71"/>
      <c r="AI136" s="71"/>
      <c r="AJ136" s="71"/>
      <c r="AK136" s="71"/>
      <c r="AL136" s="71"/>
      <c r="AM136" s="71"/>
      <c r="AN136" s="71"/>
      <c r="AO136" s="71"/>
      <c r="AP136" s="71"/>
      <c r="AQ136" s="71"/>
      <c r="AR136" s="71"/>
      <c r="AS136" s="71"/>
      <c r="AT136" s="71"/>
      <c r="AU136" s="71"/>
      <c r="AV136" s="71"/>
      <c r="AW136" s="71">
        <v>10</v>
      </c>
      <c r="AX136" s="71"/>
      <c r="AY136" s="71"/>
      <c r="AZ136" s="131">
        <f>VLOOKUP(Table7[[#This Row],[Vlookup Store '#]],'Kiosk Stickers'!A$4:$H$538,2,FALSE)</f>
        <v>0</v>
      </c>
      <c r="BA136" s="131"/>
      <c r="BB136" s="131"/>
      <c r="BC136" s="131"/>
      <c r="BD136" s="131"/>
      <c r="BE136" s="169"/>
      <c r="BF136" s="194"/>
      <c r="BG136" s="173"/>
      <c r="BH136" s="173"/>
      <c r="BI136" s="173"/>
      <c r="BJ136" s="173"/>
      <c r="BK136" s="173">
        <f>VLOOKUP(Table7[[#This Row],[Vlookup Store '#]],'Kiosk Stickers'!A$4:$H$538,3,FALSE)</f>
        <v>2</v>
      </c>
      <c r="BL136" s="173"/>
      <c r="BM136" s="173"/>
      <c r="BN136" s="215"/>
      <c r="BO136" s="199">
        <f>VLOOKUP(Table7[[#This Row],[Vlookup Store '#]],'Kiosk Stickers'!A$4:$H$538,4,FALSE)</f>
        <v>0</v>
      </c>
      <c r="BP136" s="171"/>
      <c r="BQ136" s="226"/>
      <c r="BR136" s="184">
        <f>VLOOKUP(Table7[[#This Row],[Vlookup Store '#]],'Kiosk Stickers'!A$4:$H$538,5,FALSE)</f>
        <v>0</v>
      </c>
      <c r="BS136" s="173"/>
      <c r="BT136" s="173"/>
      <c r="BU136" s="173"/>
      <c r="BV136" s="173"/>
      <c r="BW136" s="173"/>
      <c r="BX136" s="173"/>
      <c r="BY136" s="173"/>
      <c r="BZ136" s="215"/>
      <c r="CA136" s="243"/>
      <c r="CB136" s="233"/>
      <c r="CC136" s="233"/>
      <c r="CD136" s="233"/>
      <c r="CE136" s="233"/>
      <c r="CF136" s="233"/>
      <c r="CG136" s="233"/>
      <c r="CH136" s="262"/>
      <c r="CI136" s="351"/>
      <c r="CJ136" s="350"/>
      <c r="CK136" s="350"/>
      <c r="CL136" s="350"/>
      <c r="CM136" s="350"/>
      <c r="CN136" s="353">
        <v>2</v>
      </c>
      <c r="CO136" s="350"/>
      <c r="CP136" s="350"/>
      <c r="CQ136" s="364"/>
      <c r="CR136" s="370"/>
      <c r="CS136" s="367"/>
      <c r="CT136" s="367"/>
      <c r="CU136" s="367"/>
      <c r="CV136" s="378">
        <v>10</v>
      </c>
      <c r="CW136" s="387"/>
      <c r="CX136" s="398"/>
      <c r="CY136" s="399"/>
      <c r="CZ136" s="399"/>
      <c r="DA136" s="399"/>
      <c r="DB136" s="396"/>
      <c r="DC136" s="396">
        <v>1</v>
      </c>
      <c r="DD136" s="400"/>
      <c r="DE136" s="514"/>
      <c r="DF136" s="514">
        <f t="shared" si="2"/>
        <v>1</v>
      </c>
      <c r="DG136" s="144"/>
      <c r="DH136" s="143"/>
    </row>
    <row r="137" spans="1:112" x14ac:dyDescent="0.25">
      <c r="A137" s="15" t="s">
        <v>120</v>
      </c>
      <c r="B137" s="15">
        <v>806</v>
      </c>
      <c r="C137" s="15" t="s">
        <v>3498</v>
      </c>
      <c r="D137" s="15">
        <v>1394</v>
      </c>
      <c r="E137" s="15" t="s">
        <v>2008</v>
      </c>
      <c r="F137" s="15" t="s">
        <v>2009</v>
      </c>
      <c r="G137" s="15" t="s">
        <v>2010</v>
      </c>
      <c r="H137" s="15" t="s">
        <v>124</v>
      </c>
      <c r="I137" s="15" t="s">
        <v>39</v>
      </c>
      <c r="J137" s="15" t="s">
        <v>3499</v>
      </c>
      <c r="K137" s="15" t="s">
        <v>2011</v>
      </c>
      <c r="L137" s="15" t="s">
        <v>3775</v>
      </c>
      <c r="M137" s="15" t="s">
        <v>3776</v>
      </c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>
        <v>1500</v>
      </c>
      <c r="AE137" s="70"/>
      <c r="AF137" s="70"/>
      <c r="AG137" s="71"/>
      <c r="AH137" s="71"/>
      <c r="AI137" s="71"/>
      <c r="AJ137" s="71"/>
      <c r="AK137" s="71"/>
      <c r="AL137" s="71"/>
      <c r="AM137" s="71"/>
      <c r="AN137" s="71"/>
      <c r="AO137" s="71"/>
      <c r="AP137" s="71"/>
      <c r="AQ137" s="71"/>
      <c r="AR137" s="71"/>
      <c r="AS137" s="71"/>
      <c r="AT137" s="71"/>
      <c r="AU137" s="71"/>
      <c r="AV137" s="71"/>
      <c r="AW137" s="71">
        <v>10</v>
      </c>
      <c r="AX137" s="71"/>
      <c r="AY137" s="71"/>
      <c r="AZ137" s="165"/>
      <c r="BA137" s="131"/>
      <c r="BB137" s="131"/>
      <c r="BC137" s="131"/>
      <c r="BD137" s="131"/>
      <c r="BE137" s="169">
        <v>1</v>
      </c>
      <c r="BF137" s="194"/>
      <c r="BG137" s="173"/>
      <c r="BH137" s="173"/>
      <c r="BI137" s="173"/>
      <c r="BJ137" s="173"/>
      <c r="BK137" s="173"/>
      <c r="BL137" s="173"/>
      <c r="BM137" s="173"/>
      <c r="BN137" s="215"/>
      <c r="BO137" s="199"/>
      <c r="BP137" s="171"/>
      <c r="BQ137" s="226"/>
      <c r="BR137" s="184"/>
      <c r="BS137" s="173"/>
      <c r="BT137" s="173"/>
      <c r="BU137" s="173"/>
      <c r="BV137" s="173"/>
      <c r="BW137" s="173"/>
      <c r="BX137" s="173"/>
      <c r="BY137" s="173"/>
      <c r="BZ137" s="215"/>
      <c r="CA137" s="243"/>
      <c r="CB137" s="233"/>
      <c r="CC137" s="233"/>
      <c r="CD137" s="233"/>
      <c r="CE137" s="233"/>
      <c r="CF137" s="233"/>
      <c r="CG137" s="233"/>
      <c r="CH137" s="262"/>
      <c r="CI137" s="351"/>
      <c r="CJ137" s="350"/>
      <c r="CK137" s="350"/>
      <c r="CL137" s="350"/>
      <c r="CM137" s="350"/>
      <c r="CN137" s="353">
        <v>2</v>
      </c>
      <c r="CO137" s="350"/>
      <c r="CP137" s="350"/>
      <c r="CQ137" s="364"/>
      <c r="CR137" s="370"/>
      <c r="CS137" s="367"/>
      <c r="CT137" s="367"/>
      <c r="CU137" s="367"/>
      <c r="CV137" s="378">
        <v>10</v>
      </c>
      <c r="CW137" s="387"/>
      <c r="CX137" s="398"/>
      <c r="CY137" s="399"/>
      <c r="CZ137" s="399"/>
      <c r="DA137" s="399"/>
      <c r="DB137" s="396"/>
      <c r="DC137" s="396">
        <v>1</v>
      </c>
      <c r="DD137" s="400"/>
      <c r="DE137" s="514"/>
      <c r="DF137" s="514">
        <f t="shared" si="2"/>
        <v>1</v>
      </c>
      <c r="DG137" s="144"/>
      <c r="DH137" s="143"/>
    </row>
    <row r="138" spans="1:112" x14ac:dyDescent="0.25">
      <c r="A138" s="15" t="s">
        <v>120</v>
      </c>
      <c r="B138" s="15">
        <v>806</v>
      </c>
      <c r="C138" s="15" t="s">
        <v>3500</v>
      </c>
      <c r="D138" s="15">
        <v>1395</v>
      </c>
      <c r="E138" s="15" t="s">
        <v>2012</v>
      </c>
      <c r="F138" s="15" t="s">
        <v>2013</v>
      </c>
      <c r="G138" s="15" t="s">
        <v>2014</v>
      </c>
      <c r="H138" s="15" t="s">
        <v>2015</v>
      </c>
      <c r="I138" s="15" t="s">
        <v>39</v>
      </c>
      <c r="J138" s="15" t="s">
        <v>3173</v>
      </c>
      <c r="K138" s="15" t="s">
        <v>2016</v>
      </c>
      <c r="L138" s="15" t="s">
        <v>3775</v>
      </c>
      <c r="M138" s="15" t="s">
        <v>3776</v>
      </c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>
        <v>1500</v>
      </c>
      <c r="AE138" s="70"/>
      <c r="AF138" s="70"/>
      <c r="AG138" s="71"/>
      <c r="AH138" s="71"/>
      <c r="AI138" s="71"/>
      <c r="AJ138" s="71"/>
      <c r="AK138" s="71"/>
      <c r="AL138" s="71"/>
      <c r="AM138" s="71"/>
      <c r="AN138" s="71"/>
      <c r="AO138" s="71"/>
      <c r="AP138" s="71"/>
      <c r="AQ138" s="71"/>
      <c r="AR138" s="71"/>
      <c r="AS138" s="71"/>
      <c r="AT138" s="71"/>
      <c r="AU138" s="71"/>
      <c r="AV138" s="71"/>
      <c r="AW138" s="71">
        <v>10</v>
      </c>
      <c r="AX138" s="71"/>
      <c r="AY138" s="71"/>
      <c r="AZ138" s="166"/>
      <c r="BA138" s="131"/>
      <c r="BB138" s="131"/>
      <c r="BC138" s="131"/>
      <c r="BD138" s="131"/>
      <c r="BE138" s="169">
        <f>VLOOKUP(Table7[[#This Row],[Vlookup Store '#]],'Kiosk Stickers'!A$4:$H$538,2,FALSE)</f>
        <v>0</v>
      </c>
      <c r="BF138" s="194"/>
      <c r="BG138" s="173"/>
      <c r="BH138" s="173"/>
      <c r="BI138" s="173"/>
      <c r="BJ138" s="173"/>
      <c r="BK138" s="173">
        <f>VLOOKUP(Table7[[#This Row],[Vlookup Store '#]],'Kiosk Stickers'!A$4:$H$538,3,FALSE)</f>
        <v>1</v>
      </c>
      <c r="BL138" s="173"/>
      <c r="BM138" s="173"/>
      <c r="BN138" s="215"/>
      <c r="BO138" s="199">
        <f>VLOOKUP(Table7[[#This Row],[Vlookup Store '#]],'Kiosk Stickers'!A$4:$H$538,4,FALSE)</f>
        <v>0</v>
      </c>
      <c r="BP138" s="171"/>
      <c r="BQ138" s="226"/>
      <c r="BR138" s="184">
        <f>VLOOKUP(Table7[[#This Row],[Vlookup Store '#]],'Kiosk Stickers'!A$4:$H$538,5,FALSE)</f>
        <v>0</v>
      </c>
      <c r="BS138" s="173"/>
      <c r="BT138" s="173"/>
      <c r="BU138" s="173"/>
      <c r="BV138" s="173"/>
      <c r="BW138" s="173"/>
      <c r="BX138" s="173"/>
      <c r="BY138" s="173"/>
      <c r="BZ138" s="215"/>
      <c r="CA138" s="243"/>
      <c r="CB138" s="233"/>
      <c r="CC138" s="233"/>
      <c r="CD138" s="233"/>
      <c r="CE138" s="233"/>
      <c r="CF138" s="233"/>
      <c r="CG138" s="233"/>
      <c r="CH138" s="262"/>
      <c r="CI138" s="351"/>
      <c r="CJ138" s="350"/>
      <c r="CK138" s="350"/>
      <c r="CL138" s="350"/>
      <c r="CM138" s="350"/>
      <c r="CN138" s="353">
        <v>2</v>
      </c>
      <c r="CO138" s="350"/>
      <c r="CP138" s="350"/>
      <c r="CQ138" s="364"/>
      <c r="CR138" s="370"/>
      <c r="CS138" s="367"/>
      <c r="CT138" s="367"/>
      <c r="CU138" s="367"/>
      <c r="CV138" s="378">
        <v>10</v>
      </c>
      <c r="CW138" s="387"/>
      <c r="CX138" s="398"/>
      <c r="CY138" s="399"/>
      <c r="CZ138" s="399"/>
      <c r="DA138" s="399"/>
      <c r="DB138" s="396"/>
      <c r="DC138" s="396">
        <v>1</v>
      </c>
      <c r="DD138" s="400"/>
      <c r="DE138" s="514"/>
      <c r="DF138" s="514">
        <f t="shared" si="2"/>
        <v>1</v>
      </c>
      <c r="DG138" s="144"/>
      <c r="DH138" s="143"/>
    </row>
    <row r="139" spans="1:112" x14ac:dyDescent="0.25">
      <c r="A139" s="15" t="s">
        <v>120</v>
      </c>
      <c r="B139" s="15">
        <v>806</v>
      </c>
      <c r="C139" s="15" t="s">
        <v>3671</v>
      </c>
      <c r="D139" s="15">
        <v>2502</v>
      </c>
      <c r="E139" s="15" t="s">
        <v>2017</v>
      </c>
      <c r="F139" s="15" t="s">
        <v>2018</v>
      </c>
      <c r="G139" s="15" t="s">
        <v>2019</v>
      </c>
      <c r="H139" s="15" t="s">
        <v>124</v>
      </c>
      <c r="I139" s="15" t="s">
        <v>39</v>
      </c>
      <c r="J139" s="15" t="s">
        <v>3178</v>
      </c>
      <c r="K139" s="15" t="s">
        <v>2020</v>
      </c>
      <c r="L139" s="15" t="s">
        <v>3775</v>
      </c>
      <c r="M139" s="15" t="s">
        <v>3776</v>
      </c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>
        <v>1500</v>
      </c>
      <c r="AE139" s="70"/>
      <c r="AF139" s="70"/>
      <c r="AG139" s="71"/>
      <c r="AH139" s="71"/>
      <c r="AI139" s="71"/>
      <c r="AJ139" s="71"/>
      <c r="AK139" s="71"/>
      <c r="AL139" s="71"/>
      <c r="AM139" s="71"/>
      <c r="AN139" s="71"/>
      <c r="AO139" s="71"/>
      <c r="AP139" s="71"/>
      <c r="AQ139" s="71"/>
      <c r="AR139" s="71"/>
      <c r="AS139" s="71"/>
      <c r="AT139" s="71"/>
      <c r="AU139" s="71"/>
      <c r="AV139" s="71"/>
      <c r="AW139" s="71">
        <v>10</v>
      </c>
      <c r="AX139" s="71"/>
      <c r="AY139" s="71"/>
      <c r="AZ139" s="166"/>
      <c r="BA139" s="131"/>
      <c r="BB139" s="131"/>
      <c r="BC139" s="131"/>
      <c r="BD139" s="131"/>
      <c r="BE139" s="169">
        <f>VLOOKUP(Table7[[#This Row],[Vlookup Store '#]],'Kiosk Stickers'!A$4:$H$538,2,FALSE)</f>
        <v>1</v>
      </c>
      <c r="BF139" s="194"/>
      <c r="BG139" s="173"/>
      <c r="BH139" s="173"/>
      <c r="BI139" s="173"/>
      <c r="BJ139" s="173"/>
      <c r="BK139" s="173">
        <f>VLOOKUP(Table7[[#This Row],[Vlookup Store '#]],'Kiosk Stickers'!A$4:$H$538,3,FALSE)</f>
        <v>0</v>
      </c>
      <c r="BL139" s="173"/>
      <c r="BM139" s="173"/>
      <c r="BN139" s="215"/>
      <c r="BO139" s="199">
        <f>VLOOKUP(Table7[[#This Row],[Vlookup Store '#]],'Kiosk Stickers'!A$4:$H$538,4,FALSE)</f>
        <v>0</v>
      </c>
      <c r="BP139" s="171"/>
      <c r="BQ139" s="226"/>
      <c r="BR139" s="184">
        <f>VLOOKUP(Table7[[#This Row],[Vlookup Store '#]],'Kiosk Stickers'!A$4:$H$538,5,FALSE)</f>
        <v>0</v>
      </c>
      <c r="BS139" s="173"/>
      <c r="BT139" s="173"/>
      <c r="BU139" s="173"/>
      <c r="BV139" s="173"/>
      <c r="BW139" s="173"/>
      <c r="BX139" s="173"/>
      <c r="BY139" s="173"/>
      <c r="BZ139" s="215"/>
      <c r="CA139" s="243"/>
      <c r="CB139" s="233"/>
      <c r="CC139" s="233"/>
      <c r="CD139" s="233"/>
      <c r="CE139" s="233"/>
      <c r="CF139" s="233"/>
      <c r="CG139" s="233"/>
      <c r="CH139" s="262"/>
      <c r="CI139" s="351"/>
      <c r="CJ139" s="350"/>
      <c r="CK139" s="350"/>
      <c r="CL139" s="350"/>
      <c r="CM139" s="350"/>
      <c r="CN139" s="353">
        <v>2</v>
      </c>
      <c r="CO139" s="350"/>
      <c r="CP139" s="350"/>
      <c r="CQ139" s="364"/>
      <c r="CR139" s="370"/>
      <c r="CS139" s="367"/>
      <c r="CT139" s="367"/>
      <c r="CU139" s="367"/>
      <c r="CV139" s="378">
        <v>10</v>
      </c>
      <c r="CW139" s="387"/>
      <c r="CX139" s="398"/>
      <c r="CY139" s="399"/>
      <c r="CZ139" s="399"/>
      <c r="DA139" s="399"/>
      <c r="DB139" s="396"/>
      <c r="DC139" s="396">
        <v>1</v>
      </c>
      <c r="DD139" s="400"/>
      <c r="DE139" s="514"/>
      <c r="DF139" s="514">
        <f t="shared" si="2"/>
        <v>1</v>
      </c>
      <c r="DG139" s="144"/>
      <c r="DH139" s="143"/>
    </row>
    <row r="140" spans="1:112" x14ac:dyDescent="0.25">
      <c r="A140" s="15" t="s">
        <v>120</v>
      </c>
      <c r="B140" s="15">
        <v>806</v>
      </c>
      <c r="C140" s="15" t="s">
        <v>3672</v>
      </c>
      <c r="D140" s="15">
        <v>2504</v>
      </c>
      <c r="E140" s="15" t="s">
        <v>2021</v>
      </c>
      <c r="F140" s="15" t="s">
        <v>2022</v>
      </c>
      <c r="G140" s="15" t="s">
        <v>2023</v>
      </c>
      <c r="H140" s="15" t="s">
        <v>2015</v>
      </c>
      <c r="I140" s="15" t="s">
        <v>39</v>
      </c>
      <c r="J140" s="15" t="s">
        <v>3673</v>
      </c>
      <c r="K140" s="15" t="s">
        <v>2024</v>
      </c>
      <c r="L140" s="15" t="s">
        <v>3775</v>
      </c>
      <c r="M140" s="15" t="s">
        <v>3776</v>
      </c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>
        <v>1500</v>
      </c>
      <c r="AE140" s="70"/>
      <c r="AF140" s="70"/>
      <c r="AG140" s="71"/>
      <c r="AH140" s="71"/>
      <c r="AI140" s="71"/>
      <c r="AJ140" s="71"/>
      <c r="AK140" s="71"/>
      <c r="AL140" s="71"/>
      <c r="AM140" s="71"/>
      <c r="AN140" s="71"/>
      <c r="AO140" s="71"/>
      <c r="AP140" s="71"/>
      <c r="AQ140" s="71"/>
      <c r="AR140" s="71"/>
      <c r="AS140" s="71"/>
      <c r="AT140" s="71"/>
      <c r="AU140" s="71"/>
      <c r="AV140" s="71"/>
      <c r="AW140" s="71">
        <v>10</v>
      </c>
      <c r="AX140" s="71"/>
      <c r="AY140" s="71"/>
      <c r="AZ140" s="166"/>
      <c r="BA140" s="131"/>
      <c r="BB140" s="131"/>
      <c r="BC140" s="131"/>
      <c r="BD140" s="131"/>
      <c r="BE140" s="169">
        <f>VLOOKUP(Table7[[#This Row],[Vlookup Store '#]],'Kiosk Stickers'!A$4:$H$538,2,FALSE)</f>
        <v>1</v>
      </c>
      <c r="BF140" s="194"/>
      <c r="BG140" s="173"/>
      <c r="BH140" s="173"/>
      <c r="BI140" s="173"/>
      <c r="BJ140" s="173"/>
      <c r="BK140" s="173">
        <f>VLOOKUP(Table7[[#This Row],[Vlookup Store '#]],'Kiosk Stickers'!A$4:$H$538,3,FALSE)</f>
        <v>0</v>
      </c>
      <c r="BL140" s="173"/>
      <c r="BM140" s="173"/>
      <c r="BN140" s="215"/>
      <c r="BO140" s="199">
        <f>VLOOKUP(Table7[[#This Row],[Vlookup Store '#]],'Kiosk Stickers'!A$4:$H$538,4,FALSE)</f>
        <v>0</v>
      </c>
      <c r="BP140" s="171"/>
      <c r="BQ140" s="226"/>
      <c r="BR140" s="184">
        <f>VLOOKUP(Table7[[#This Row],[Vlookup Store '#]],'Kiosk Stickers'!A$4:$H$538,5,FALSE)</f>
        <v>0</v>
      </c>
      <c r="BS140" s="173"/>
      <c r="BT140" s="173"/>
      <c r="BU140" s="173"/>
      <c r="BV140" s="173"/>
      <c r="BW140" s="173"/>
      <c r="BX140" s="173"/>
      <c r="BY140" s="173"/>
      <c r="BZ140" s="215"/>
      <c r="CA140" s="243"/>
      <c r="CB140" s="233"/>
      <c r="CC140" s="233"/>
      <c r="CD140" s="233"/>
      <c r="CE140" s="233"/>
      <c r="CF140" s="233"/>
      <c r="CG140" s="233"/>
      <c r="CH140" s="262"/>
      <c r="CI140" s="351"/>
      <c r="CJ140" s="350"/>
      <c r="CK140" s="350"/>
      <c r="CL140" s="350"/>
      <c r="CM140" s="350"/>
      <c r="CN140" s="353">
        <v>2</v>
      </c>
      <c r="CO140" s="350"/>
      <c r="CP140" s="350"/>
      <c r="CQ140" s="364"/>
      <c r="CR140" s="370"/>
      <c r="CS140" s="367"/>
      <c r="CT140" s="367"/>
      <c r="CU140" s="367"/>
      <c r="CV140" s="378">
        <v>10</v>
      </c>
      <c r="CW140" s="387"/>
      <c r="CX140" s="398"/>
      <c r="CY140" s="399"/>
      <c r="CZ140" s="399"/>
      <c r="DA140" s="399"/>
      <c r="DB140" s="396"/>
      <c r="DC140" s="396">
        <v>1</v>
      </c>
      <c r="DD140" s="400"/>
      <c r="DE140" s="514"/>
      <c r="DF140" s="514">
        <f t="shared" si="2"/>
        <v>1</v>
      </c>
      <c r="DG140" s="144"/>
      <c r="DH140" s="143"/>
    </row>
    <row r="141" spans="1:112" x14ac:dyDescent="0.25">
      <c r="A141" s="15" t="s">
        <v>253</v>
      </c>
      <c r="B141" s="15">
        <v>801</v>
      </c>
      <c r="C141" s="15" t="s">
        <v>3593</v>
      </c>
      <c r="D141" s="15">
        <v>1686</v>
      </c>
      <c r="E141" s="15" t="s">
        <v>254</v>
      </c>
      <c r="F141" s="15" t="s">
        <v>2108</v>
      </c>
      <c r="G141" s="15" t="s">
        <v>255</v>
      </c>
      <c r="H141" s="15" t="s">
        <v>256</v>
      </c>
      <c r="I141" s="15" t="s">
        <v>257</v>
      </c>
      <c r="J141" s="15" t="s">
        <v>3594</v>
      </c>
      <c r="K141" s="15" t="s">
        <v>258</v>
      </c>
      <c r="L141" s="15" t="s">
        <v>3737</v>
      </c>
      <c r="M141" s="15" t="s">
        <v>3851</v>
      </c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>
        <v>1500</v>
      </c>
      <c r="AD141" s="70"/>
      <c r="AE141" s="70"/>
      <c r="AF141" s="70"/>
      <c r="AG141" s="71"/>
      <c r="AH141" s="71"/>
      <c r="AI141" s="71"/>
      <c r="AJ141" s="71"/>
      <c r="AK141" s="71"/>
      <c r="AL141" s="71"/>
      <c r="AM141" s="71"/>
      <c r="AN141" s="71"/>
      <c r="AO141" s="71"/>
      <c r="AP141" s="71"/>
      <c r="AQ141" s="71"/>
      <c r="AR141" s="71"/>
      <c r="AS141" s="71"/>
      <c r="AT141" s="71"/>
      <c r="AU141" s="71"/>
      <c r="AV141" s="71">
        <v>10</v>
      </c>
      <c r="AW141" s="71"/>
      <c r="AX141" s="71"/>
      <c r="AY141" s="71"/>
      <c r="AZ141" s="165"/>
      <c r="BA141" s="131"/>
      <c r="BB141" s="131"/>
      <c r="BC141" s="131"/>
      <c r="BD141" s="131">
        <f>VLOOKUP(Table7[[#This Row],[Vlookup Store '#]],'Kiosk Stickers'!A$4:$H$538,2,FALSE)</f>
        <v>2</v>
      </c>
      <c r="BE141" s="169"/>
      <c r="BF141" s="194"/>
      <c r="BG141" s="173"/>
      <c r="BH141" s="173"/>
      <c r="BI141" s="173"/>
      <c r="BJ141" s="173"/>
      <c r="BK141" s="173">
        <f>VLOOKUP(Table7[[#This Row],[Vlookup Store '#]],'Kiosk Stickers'!A$4:$H$538,3,FALSE)</f>
        <v>0</v>
      </c>
      <c r="BL141" s="173"/>
      <c r="BM141" s="173"/>
      <c r="BN141" s="215"/>
      <c r="BO141" s="199">
        <f>VLOOKUP(Table7[[#This Row],[Vlookup Store '#]],'Kiosk Stickers'!A$4:$H$538,4,FALSE)</f>
        <v>0</v>
      </c>
      <c r="BP141" s="171"/>
      <c r="BQ141" s="226"/>
      <c r="BR141" s="184">
        <f>VLOOKUP(Table7[[#This Row],[Vlookup Store '#]],'Kiosk Stickers'!A$4:$H$538,5,FALSE)</f>
        <v>0</v>
      </c>
      <c r="BS141" s="173"/>
      <c r="BT141" s="173"/>
      <c r="BU141" s="173"/>
      <c r="BV141" s="173"/>
      <c r="BW141" s="173"/>
      <c r="BX141" s="173"/>
      <c r="BY141" s="173"/>
      <c r="BZ141" s="215"/>
      <c r="CA141" s="243"/>
      <c r="CB141" s="233"/>
      <c r="CC141" s="233"/>
      <c r="CD141" s="233"/>
      <c r="CE141" s="233"/>
      <c r="CF141" s="233"/>
      <c r="CG141" s="233"/>
      <c r="CH141" s="262"/>
      <c r="CI141" s="351"/>
      <c r="CJ141" s="350"/>
      <c r="CK141" s="350"/>
      <c r="CL141" s="350">
        <v>2</v>
      </c>
      <c r="CM141" s="350"/>
      <c r="CN141" s="350"/>
      <c r="CO141" s="350"/>
      <c r="CP141" s="350"/>
      <c r="CQ141" s="364"/>
      <c r="CR141" s="370"/>
      <c r="CS141" s="367"/>
      <c r="CT141" s="367"/>
      <c r="CU141" s="367">
        <v>10</v>
      </c>
      <c r="CV141" s="367"/>
      <c r="CW141" s="387"/>
      <c r="CX141" s="398"/>
      <c r="CY141" s="399"/>
      <c r="CZ141" s="399"/>
      <c r="DA141" s="399"/>
      <c r="DB141" s="399">
        <v>1</v>
      </c>
      <c r="DC141" s="400"/>
      <c r="DD141" s="400"/>
      <c r="DE141" s="514"/>
      <c r="DF141" s="514">
        <f t="shared" si="2"/>
        <v>1</v>
      </c>
      <c r="DG141" s="144"/>
      <c r="DH141" s="143"/>
    </row>
    <row r="142" spans="1:112" x14ac:dyDescent="0.25">
      <c r="A142" s="15" t="s">
        <v>253</v>
      </c>
      <c r="B142" s="15">
        <v>801</v>
      </c>
      <c r="C142" s="15" t="s">
        <v>3595</v>
      </c>
      <c r="D142" s="15">
        <v>1687</v>
      </c>
      <c r="E142" s="15" t="s">
        <v>2101</v>
      </c>
      <c r="F142" s="15" t="s">
        <v>2102</v>
      </c>
      <c r="G142" s="15" t="s">
        <v>2103</v>
      </c>
      <c r="H142" s="15" t="s">
        <v>2104</v>
      </c>
      <c r="I142" s="15" t="s">
        <v>257</v>
      </c>
      <c r="J142" s="15" t="s">
        <v>3596</v>
      </c>
      <c r="K142" s="15" t="s">
        <v>2105</v>
      </c>
      <c r="L142" s="15" t="s">
        <v>3737</v>
      </c>
      <c r="M142" s="15" t="s">
        <v>3851</v>
      </c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>
        <v>1500</v>
      </c>
      <c r="AD142" s="70"/>
      <c r="AE142" s="70"/>
      <c r="AF142" s="70"/>
      <c r="AG142" s="71"/>
      <c r="AH142" s="71"/>
      <c r="AI142" s="71"/>
      <c r="AJ142" s="71"/>
      <c r="AK142" s="71"/>
      <c r="AL142" s="71"/>
      <c r="AM142" s="71"/>
      <c r="AN142" s="71"/>
      <c r="AO142" s="71"/>
      <c r="AP142" s="71"/>
      <c r="AQ142" s="71"/>
      <c r="AR142" s="71"/>
      <c r="AS142" s="71"/>
      <c r="AT142" s="71"/>
      <c r="AU142" s="71"/>
      <c r="AV142" s="71">
        <v>10</v>
      </c>
      <c r="AW142" s="71"/>
      <c r="AX142" s="71"/>
      <c r="AY142" s="71"/>
      <c r="AZ142" s="166"/>
      <c r="BA142" s="131"/>
      <c r="BB142" s="131"/>
      <c r="BC142" s="131"/>
      <c r="BD142" s="131">
        <v>1</v>
      </c>
      <c r="BE142" s="169"/>
      <c r="BF142" s="194"/>
      <c r="BG142" s="173"/>
      <c r="BH142" s="173"/>
      <c r="BI142" s="173"/>
      <c r="BJ142" s="173"/>
      <c r="BK142" s="173"/>
      <c r="BL142" s="173"/>
      <c r="BM142" s="173"/>
      <c r="BN142" s="215"/>
      <c r="BO142" s="199"/>
      <c r="BP142" s="171"/>
      <c r="BQ142" s="226"/>
      <c r="BR142" s="184"/>
      <c r="BS142" s="173"/>
      <c r="BT142" s="173"/>
      <c r="BU142" s="173"/>
      <c r="BV142" s="173"/>
      <c r="BW142" s="173"/>
      <c r="BX142" s="173"/>
      <c r="BY142" s="173"/>
      <c r="BZ142" s="215"/>
      <c r="CA142" s="243"/>
      <c r="CB142" s="233"/>
      <c r="CC142" s="233"/>
      <c r="CD142" s="233"/>
      <c r="CE142" s="233"/>
      <c r="CF142" s="233"/>
      <c r="CG142" s="233"/>
      <c r="CH142" s="262"/>
      <c r="CI142" s="351"/>
      <c r="CJ142" s="350"/>
      <c r="CK142" s="350"/>
      <c r="CL142" s="350">
        <v>2</v>
      </c>
      <c r="CM142" s="350"/>
      <c r="CN142" s="350"/>
      <c r="CO142" s="350"/>
      <c r="CP142" s="350"/>
      <c r="CQ142" s="364"/>
      <c r="CR142" s="370"/>
      <c r="CS142" s="367"/>
      <c r="CT142" s="367"/>
      <c r="CU142" s="367">
        <v>10</v>
      </c>
      <c r="CV142" s="367"/>
      <c r="CW142" s="387"/>
      <c r="CX142" s="398"/>
      <c r="CY142" s="399"/>
      <c r="CZ142" s="399"/>
      <c r="DA142" s="399"/>
      <c r="DB142" s="399">
        <v>1</v>
      </c>
      <c r="DC142" s="400"/>
      <c r="DD142" s="400"/>
      <c r="DE142" s="514"/>
      <c r="DF142" s="514">
        <f t="shared" si="2"/>
        <v>1</v>
      </c>
      <c r="DG142" s="144"/>
      <c r="DH142" s="143"/>
    </row>
    <row r="143" spans="1:112" x14ac:dyDescent="0.25">
      <c r="A143" s="15" t="s">
        <v>201</v>
      </c>
      <c r="B143" s="15">
        <v>816</v>
      </c>
      <c r="C143" s="15" t="s">
        <v>2134</v>
      </c>
      <c r="D143" s="15">
        <v>832</v>
      </c>
      <c r="E143" s="15" t="s">
        <v>2135</v>
      </c>
      <c r="F143" s="15" t="s">
        <v>2136</v>
      </c>
      <c r="G143" s="15" t="s">
        <v>2137</v>
      </c>
      <c r="H143" s="15" t="s">
        <v>2138</v>
      </c>
      <c r="I143" s="15" t="s">
        <v>205</v>
      </c>
      <c r="J143" s="15" t="s">
        <v>3273</v>
      </c>
      <c r="K143" s="15" t="s">
        <v>2139</v>
      </c>
      <c r="L143" s="15" t="s">
        <v>3775</v>
      </c>
      <c r="M143" s="15" t="s">
        <v>3776</v>
      </c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>
        <v>1500</v>
      </c>
      <c r="AE143" s="70"/>
      <c r="AF143" s="70"/>
      <c r="AG143" s="71"/>
      <c r="AH143" s="71"/>
      <c r="AI143" s="71"/>
      <c r="AJ143" s="71"/>
      <c r="AK143" s="71"/>
      <c r="AL143" s="71"/>
      <c r="AM143" s="71"/>
      <c r="AN143" s="71"/>
      <c r="AO143" s="71"/>
      <c r="AP143" s="71"/>
      <c r="AQ143" s="71"/>
      <c r="AR143" s="71"/>
      <c r="AS143" s="71"/>
      <c r="AT143" s="71"/>
      <c r="AU143" s="71"/>
      <c r="AV143" s="71"/>
      <c r="AW143" s="71">
        <v>10</v>
      </c>
      <c r="AX143" s="71"/>
      <c r="AY143" s="71"/>
      <c r="AZ143" s="131">
        <f>VLOOKUP(Table7[[#This Row],[Vlookup Store '#]],'Kiosk Stickers'!A$4:$H$538,2,FALSE)</f>
        <v>0</v>
      </c>
      <c r="BA143" s="131"/>
      <c r="BB143" s="131"/>
      <c r="BC143" s="131"/>
      <c r="BD143" s="131"/>
      <c r="BE143" s="169"/>
      <c r="BF143" s="194"/>
      <c r="BG143" s="173"/>
      <c r="BH143" s="173"/>
      <c r="BI143" s="173"/>
      <c r="BJ143" s="173"/>
      <c r="BK143" s="173">
        <f>VLOOKUP(Table7[[#This Row],[Vlookup Store '#]],'Kiosk Stickers'!A$4:$H$538,3,FALSE)</f>
        <v>0</v>
      </c>
      <c r="BL143" s="173"/>
      <c r="BM143" s="173"/>
      <c r="BN143" s="215"/>
      <c r="BO143" s="199">
        <f>VLOOKUP(Table7[[#This Row],[Vlookup Store '#]],'Kiosk Stickers'!A$4:$H$538,4,FALSE)</f>
        <v>0</v>
      </c>
      <c r="BP143" s="171"/>
      <c r="BQ143" s="226"/>
      <c r="BR143" s="194"/>
      <c r="BS143" s="173"/>
      <c r="BT143" s="173"/>
      <c r="BU143" s="173"/>
      <c r="BV143" s="173">
        <f>VLOOKUP(Table7[[#This Row],[Vlookup Store '#]],'Kiosk Stickers'!A$4:$H$538,5,FALSE)</f>
        <v>1</v>
      </c>
      <c r="BW143" s="173"/>
      <c r="BX143" s="173"/>
      <c r="BY143" s="173"/>
      <c r="BZ143" s="215"/>
      <c r="CA143" s="243"/>
      <c r="CB143" s="233"/>
      <c r="CC143" s="233"/>
      <c r="CD143" s="233"/>
      <c r="CE143" s="233"/>
      <c r="CF143" s="233"/>
      <c r="CG143" s="233"/>
      <c r="CH143" s="262"/>
      <c r="CI143" s="351"/>
      <c r="CJ143" s="350"/>
      <c r="CK143" s="350"/>
      <c r="CL143" s="350"/>
      <c r="CM143" s="350"/>
      <c r="CN143" s="353">
        <v>2</v>
      </c>
      <c r="CO143" s="350"/>
      <c r="CP143" s="350"/>
      <c r="CQ143" s="364"/>
      <c r="CR143" s="370"/>
      <c r="CS143" s="367"/>
      <c r="CT143" s="367"/>
      <c r="CU143" s="367"/>
      <c r="CV143" s="378">
        <v>10</v>
      </c>
      <c r="CW143" s="387"/>
      <c r="CX143" s="398"/>
      <c r="CY143" s="399"/>
      <c r="CZ143" s="399"/>
      <c r="DA143" s="399"/>
      <c r="DB143" s="396"/>
      <c r="DC143" s="400">
        <v>1</v>
      </c>
      <c r="DD143" s="400"/>
      <c r="DE143" s="514"/>
      <c r="DF143" s="514">
        <f t="shared" si="2"/>
        <v>1</v>
      </c>
      <c r="DG143" s="144"/>
      <c r="DH143" s="143"/>
    </row>
    <row r="144" spans="1:112" x14ac:dyDescent="0.25">
      <c r="A144" s="15" t="s">
        <v>201</v>
      </c>
      <c r="B144" s="15">
        <v>816</v>
      </c>
      <c r="C144" s="15" t="s">
        <v>2144</v>
      </c>
      <c r="D144" s="15">
        <v>834</v>
      </c>
      <c r="E144" s="15" t="s">
        <v>2145</v>
      </c>
      <c r="F144" s="15" t="s">
        <v>2146</v>
      </c>
      <c r="G144" s="15" t="s">
        <v>2147</v>
      </c>
      <c r="H144" s="15" t="s">
        <v>2148</v>
      </c>
      <c r="I144" s="15" t="s">
        <v>205</v>
      </c>
      <c r="J144" s="15" t="s">
        <v>3275</v>
      </c>
      <c r="K144" s="15" t="s">
        <v>2149</v>
      </c>
      <c r="L144" s="15" t="s">
        <v>3775</v>
      </c>
      <c r="M144" s="15" t="s">
        <v>3776</v>
      </c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>
        <v>1500</v>
      </c>
      <c r="AE144" s="70"/>
      <c r="AF144" s="70"/>
      <c r="AG144" s="71"/>
      <c r="AH144" s="71"/>
      <c r="AI144" s="71"/>
      <c r="AJ144" s="71"/>
      <c r="AK144" s="71"/>
      <c r="AL144" s="71"/>
      <c r="AM144" s="71"/>
      <c r="AN144" s="71"/>
      <c r="AO144" s="71"/>
      <c r="AP144" s="71"/>
      <c r="AQ144" s="71"/>
      <c r="AR144" s="71"/>
      <c r="AS144" s="71"/>
      <c r="AT144" s="71"/>
      <c r="AU144" s="71"/>
      <c r="AV144" s="71"/>
      <c r="AW144" s="71">
        <v>10</v>
      </c>
      <c r="AX144" s="71"/>
      <c r="AY144" s="71"/>
      <c r="AZ144" s="131">
        <f>VLOOKUP(Table7[[#This Row],[Vlookup Store '#]],'Kiosk Stickers'!A$4:$H$538,2,FALSE)</f>
        <v>0</v>
      </c>
      <c r="BA144" s="131"/>
      <c r="BB144" s="131"/>
      <c r="BC144" s="131"/>
      <c r="BD144" s="131"/>
      <c r="BE144" s="169"/>
      <c r="BF144" s="194"/>
      <c r="BG144" s="173"/>
      <c r="BH144" s="173"/>
      <c r="BI144" s="173"/>
      <c r="BJ144" s="173"/>
      <c r="BK144" s="173">
        <f>VLOOKUP(Table7[[#This Row],[Vlookup Store '#]],'Kiosk Stickers'!A$4:$H$538,3,FALSE)</f>
        <v>2</v>
      </c>
      <c r="BL144" s="173"/>
      <c r="BM144" s="173"/>
      <c r="BN144" s="215"/>
      <c r="BO144" s="199">
        <f>VLOOKUP(Table7[[#This Row],[Vlookup Store '#]],'Kiosk Stickers'!A$4:$H$538,4,FALSE)</f>
        <v>0</v>
      </c>
      <c r="BP144" s="171"/>
      <c r="BQ144" s="226"/>
      <c r="BR144" s="194"/>
      <c r="BS144" s="173"/>
      <c r="BT144" s="173"/>
      <c r="BU144" s="173"/>
      <c r="BV144" s="173">
        <f>VLOOKUP(Table7[[#This Row],[Vlookup Store '#]],'Kiosk Stickers'!A$4:$H$538,5,FALSE)</f>
        <v>0</v>
      </c>
      <c r="BW144" s="173"/>
      <c r="BX144" s="173"/>
      <c r="BY144" s="173"/>
      <c r="BZ144" s="215"/>
      <c r="CA144" s="243"/>
      <c r="CB144" s="233"/>
      <c r="CC144" s="233"/>
      <c r="CD144" s="233"/>
      <c r="CE144" s="233"/>
      <c r="CF144" s="233"/>
      <c r="CG144" s="233"/>
      <c r="CH144" s="262"/>
      <c r="CI144" s="351"/>
      <c r="CJ144" s="350"/>
      <c r="CK144" s="350"/>
      <c r="CL144" s="350"/>
      <c r="CM144" s="350"/>
      <c r="CN144" s="353">
        <v>2</v>
      </c>
      <c r="CO144" s="350"/>
      <c r="CP144" s="350"/>
      <c r="CQ144" s="364"/>
      <c r="CR144" s="370"/>
      <c r="CS144" s="367"/>
      <c r="CT144" s="367"/>
      <c r="CU144" s="367"/>
      <c r="CV144" s="378">
        <v>10</v>
      </c>
      <c r="CW144" s="387"/>
      <c r="CX144" s="398"/>
      <c r="CY144" s="399"/>
      <c r="CZ144" s="399"/>
      <c r="DA144" s="399"/>
      <c r="DB144" s="396"/>
      <c r="DC144" s="400">
        <v>1</v>
      </c>
      <c r="DD144" s="400"/>
      <c r="DE144" s="514"/>
      <c r="DF144" s="514">
        <f t="shared" si="2"/>
        <v>1</v>
      </c>
      <c r="DG144" s="144"/>
      <c r="DH144" s="143"/>
    </row>
    <row r="145" spans="1:112" x14ac:dyDescent="0.25">
      <c r="A145" s="15" t="s">
        <v>201</v>
      </c>
      <c r="B145" s="15">
        <v>816</v>
      </c>
      <c r="C145" s="15" t="s">
        <v>2150</v>
      </c>
      <c r="D145" s="15">
        <v>835</v>
      </c>
      <c r="E145" s="15" t="s">
        <v>2151</v>
      </c>
      <c r="F145" s="15" t="s">
        <v>2152</v>
      </c>
      <c r="G145" s="15" t="s">
        <v>2153</v>
      </c>
      <c r="H145" s="15" t="s">
        <v>2154</v>
      </c>
      <c r="I145" s="15" t="s">
        <v>205</v>
      </c>
      <c r="J145" s="15" t="s">
        <v>3276</v>
      </c>
      <c r="K145" s="15" t="s">
        <v>2155</v>
      </c>
      <c r="L145" s="15" t="s">
        <v>3775</v>
      </c>
      <c r="M145" s="15" t="s">
        <v>3776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>
        <v>1500</v>
      </c>
      <c r="AE145" s="70"/>
      <c r="AF145" s="70"/>
      <c r="AG145" s="71"/>
      <c r="AH145" s="71"/>
      <c r="AI145" s="71"/>
      <c r="AJ145" s="71"/>
      <c r="AK145" s="71"/>
      <c r="AL145" s="71"/>
      <c r="AM145" s="71"/>
      <c r="AN145" s="71"/>
      <c r="AO145" s="71"/>
      <c r="AP145" s="71"/>
      <c r="AQ145" s="71"/>
      <c r="AR145" s="71"/>
      <c r="AS145" s="71"/>
      <c r="AT145" s="71"/>
      <c r="AU145" s="71"/>
      <c r="AV145" s="71"/>
      <c r="AW145" s="71">
        <v>10</v>
      </c>
      <c r="AX145" s="71"/>
      <c r="AY145" s="71"/>
      <c r="AZ145" s="131">
        <f>VLOOKUP(Table7[[#This Row],[Vlookup Store '#]],'Kiosk Stickers'!A$4:$H$538,2,FALSE)</f>
        <v>0</v>
      </c>
      <c r="BA145" s="131"/>
      <c r="BB145" s="131"/>
      <c r="BC145" s="131"/>
      <c r="BD145" s="131"/>
      <c r="BE145" s="169"/>
      <c r="BF145" s="194"/>
      <c r="BG145" s="173"/>
      <c r="BH145" s="173"/>
      <c r="BI145" s="173"/>
      <c r="BJ145" s="173"/>
      <c r="BK145" s="173">
        <f>VLOOKUP(Table7[[#This Row],[Vlookup Store '#]],'Kiosk Stickers'!A$4:$H$538,3,FALSE)</f>
        <v>1</v>
      </c>
      <c r="BL145" s="173"/>
      <c r="BM145" s="173"/>
      <c r="BN145" s="215"/>
      <c r="BO145" s="199">
        <f>VLOOKUP(Table7[[#This Row],[Vlookup Store '#]],'Kiosk Stickers'!A$4:$H$538,4,FALSE)</f>
        <v>0</v>
      </c>
      <c r="BP145" s="171"/>
      <c r="BQ145" s="226"/>
      <c r="BR145" s="194"/>
      <c r="BS145" s="173"/>
      <c r="BT145" s="173"/>
      <c r="BU145" s="173"/>
      <c r="BV145" s="173">
        <f>VLOOKUP(Table7[[#This Row],[Vlookup Store '#]],'Kiosk Stickers'!A$4:$H$538,5,FALSE)</f>
        <v>0</v>
      </c>
      <c r="BW145" s="173"/>
      <c r="BX145" s="173"/>
      <c r="BY145" s="173"/>
      <c r="BZ145" s="215"/>
      <c r="CA145" s="243"/>
      <c r="CB145" s="233"/>
      <c r="CC145" s="233"/>
      <c r="CD145" s="233"/>
      <c r="CE145" s="233"/>
      <c r="CF145" s="233"/>
      <c r="CG145" s="233"/>
      <c r="CH145" s="262"/>
      <c r="CI145" s="351"/>
      <c r="CJ145" s="350"/>
      <c r="CK145" s="350"/>
      <c r="CL145" s="350"/>
      <c r="CM145" s="350"/>
      <c r="CN145" s="353">
        <v>2</v>
      </c>
      <c r="CO145" s="350"/>
      <c r="CP145" s="350"/>
      <c r="CQ145" s="364"/>
      <c r="CR145" s="370"/>
      <c r="CS145" s="367"/>
      <c r="CT145" s="367"/>
      <c r="CU145" s="367"/>
      <c r="CV145" s="378">
        <v>10</v>
      </c>
      <c r="CW145" s="387"/>
      <c r="CX145" s="398"/>
      <c r="CY145" s="399"/>
      <c r="CZ145" s="399"/>
      <c r="DA145" s="399"/>
      <c r="DB145" s="396"/>
      <c r="DC145" s="400">
        <v>1</v>
      </c>
      <c r="DD145" s="400"/>
      <c r="DE145" s="514"/>
      <c r="DF145" s="514">
        <f t="shared" si="2"/>
        <v>1</v>
      </c>
      <c r="DG145" s="144"/>
      <c r="DH145" s="143"/>
    </row>
    <row r="146" spans="1:112" x14ac:dyDescent="0.25">
      <c r="A146" s="15" t="s">
        <v>201</v>
      </c>
      <c r="B146" s="15">
        <v>816</v>
      </c>
      <c r="C146" s="15" t="s">
        <v>2162</v>
      </c>
      <c r="D146" s="15">
        <v>837</v>
      </c>
      <c r="E146" s="15" t="s">
        <v>2163</v>
      </c>
      <c r="F146" s="15" t="s">
        <v>2164</v>
      </c>
      <c r="G146" s="15" t="s">
        <v>2165</v>
      </c>
      <c r="H146" s="15" t="s">
        <v>2160</v>
      </c>
      <c r="I146" s="15" t="s">
        <v>205</v>
      </c>
      <c r="J146" s="15" t="s">
        <v>3278</v>
      </c>
      <c r="K146" s="15" t="s">
        <v>2166</v>
      </c>
      <c r="L146" s="15" t="s">
        <v>3775</v>
      </c>
      <c r="M146" s="15" t="s">
        <v>3776</v>
      </c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>
        <v>1500</v>
      </c>
      <c r="AE146" s="70"/>
      <c r="AF146" s="70"/>
      <c r="AG146" s="71"/>
      <c r="AH146" s="71"/>
      <c r="AI146" s="71"/>
      <c r="AJ146" s="71"/>
      <c r="AK146" s="71"/>
      <c r="AL146" s="71"/>
      <c r="AM146" s="71"/>
      <c r="AN146" s="71"/>
      <c r="AO146" s="71"/>
      <c r="AP146" s="71"/>
      <c r="AQ146" s="71"/>
      <c r="AR146" s="71"/>
      <c r="AS146" s="71"/>
      <c r="AT146" s="71"/>
      <c r="AU146" s="71"/>
      <c r="AV146" s="71"/>
      <c r="AW146" s="71">
        <v>10</v>
      </c>
      <c r="AX146" s="71"/>
      <c r="AY146" s="71"/>
      <c r="AZ146" s="131">
        <f>VLOOKUP(Table7[[#This Row],[Vlookup Store '#]],'Kiosk Stickers'!A$4:$H$538,2,FALSE)</f>
        <v>0</v>
      </c>
      <c r="BA146" s="131"/>
      <c r="BB146" s="131"/>
      <c r="BC146" s="131"/>
      <c r="BD146" s="131"/>
      <c r="BE146" s="169"/>
      <c r="BF146" s="184">
        <f>VLOOKUP(Table7[[#This Row],[Vlookup Store '#]],'Kiosk Stickers'!A$4:$H$538,3,FALSE)</f>
        <v>0</v>
      </c>
      <c r="BG146" s="173"/>
      <c r="BH146" s="173"/>
      <c r="BI146" s="173"/>
      <c r="BJ146" s="173"/>
      <c r="BK146" s="173"/>
      <c r="BL146" s="173"/>
      <c r="BM146" s="173"/>
      <c r="BN146" s="215"/>
      <c r="BO146" s="199">
        <f>VLOOKUP(Table7[[#This Row],[Vlookup Store '#]],'Kiosk Stickers'!A$4:$H$538,4,FALSE)</f>
        <v>0</v>
      </c>
      <c r="BP146" s="171"/>
      <c r="BQ146" s="226"/>
      <c r="BR146" s="194"/>
      <c r="BS146" s="173"/>
      <c r="BT146" s="173"/>
      <c r="BU146" s="173"/>
      <c r="BV146" s="173">
        <f>VLOOKUP(Table7[[#This Row],[Vlookup Store '#]],'Kiosk Stickers'!A$4:$H$538,5,FALSE)</f>
        <v>1</v>
      </c>
      <c r="BW146" s="173"/>
      <c r="BX146" s="173"/>
      <c r="BY146" s="173"/>
      <c r="BZ146" s="215"/>
      <c r="CA146" s="243"/>
      <c r="CB146" s="233"/>
      <c r="CC146" s="233"/>
      <c r="CD146" s="233"/>
      <c r="CE146" s="233"/>
      <c r="CF146" s="233"/>
      <c r="CG146" s="233"/>
      <c r="CH146" s="262"/>
      <c r="CI146" s="351"/>
      <c r="CJ146" s="350"/>
      <c r="CK146" s="350"/>
      <c r="CL146" s="350"/>
      <c r="CM146" s="350"/>
      <c r="CN146" s="353">
        <v>2</v>
      </c>
      <c r="CO146" s="350"/>
      <c r="CP146" s="350"/>
      <c r="CQ146" s="364"/>
      <c r="CR146" s="370"/>
      <c r="CS146" s="367"/>
      <c r="CT146" s="367"/>
      <c r="CU146" s="367"/>
      <c r="CV146" s="378">
        <v>10</v>
      </c>
      <c r="CW146" s="387"/>
      <c r="CX146" s="398"/>
      <c r="CY146" s="399"/>
      <c r="CZ146" s="399"/>
      <c r="DA146" s="399"/>
      <c r="DB146" s="396"/>
      <c r="DC146" s="400">
        <v>1</v>
      </c>
      <c r="DD146" s="400"/>
      <c r="DE146" s="514"/>
      <c r="DF146" s="514">
        <f t="shared" si="2"/>
        <v>1</v>
      </c>
      <c r="DG146" s="144"/>
      <c r="DH146" s="143"/>
    </row>
    <row r="147" spans="1:112" x14ac:dyDescent="0.25">
      <c r="A147" s="15" t="s">
        <v>201</v>
      </c>
      <c r="B147" s="15">
        <v>816</v>
      </c>
      <c r="C147" s="15" t="s">
        <v>2194</v>
      </c>
      <c r="D147" s="15">
        <v>844</v>
      </c>
      <c r="E147" s="15" t="s">
        <v>2195</v>
      </c>
      <c r="F147" s="15" t="s">
        <v>2196</v>
      </c>
      <c r="G147" s="15" t="s">
        <v>2197</v>
      </c>
      <c r="H147" s="15" t="s">
        <v>2198</v>
      </c>
      <c r="I147" s="15" t="s">
        <v>205</v>
      </c>
      <c r="J147" s="15" t="s">
        <v>2199</v>
      </c>
      <c r="K147" s="15" t="s">
        <v>2200</v>
      </c>
      <c r="L147" s="15" t="s">
        <v>3775</v>
      </c>
      <c r="M147" s="15" t="s">
        <v>3776</v>
      </c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>
        <v>1500</v>
      </c>
      <c r="AE147" s="70"/>
      <c r="AF147" s="70"/>
      <c r="AG147" s="71"/>
      <c r="AH147" s="71"/>
      <c r="AI147" s="71"/>
      <c r="AJ147" s="71"/>
      <c r="AK147" s="71"/>
      <c r="AL147" s="71"/>
      <c r="AM147" s="71"/>
      <c r="AN147" s="71"/>
      <c r="AO147" s="71"/>
      <c r="AP147" s="71"/>
      <c r="AQ147" s="71"/>
      <c r="AR147" s="71"/>
      <c r="AS147" s="71"/>
      <c r="AT147" s="71"/>
      <c r="AU147" s="71"/>
      <c r="AV147" s="71"/>
      <c r="AW147" s="71">
        <v>10</v>
      </c>
      <c r="AX147" s="71"/>
      <c r="AY147" s="71"/>
      <c r="AZ147" s="165"/>
      <c r="BA147" s="131"/>
      <c r="BB147" s="131"/>
      <c r="BC147" s="131"/>
      <c r="BD147" s="131"/>
      <c r="BE147" s="169">
        <f>VLOOKUP(Table7[[#This Row],[Vlookup Store '#]],'Kiosk Stickers'!A$4:$H$538,2,FALSE)</f>
        <v>2</v>
      </c>
      <c r="BF147" s="184">
        <f>VLOOKUP(Table7[[#This Row],[Vlookup Store '#]],'Kiosk Stickers'!A$4:$H$538,3,FALSE)</f>
        <v>0</v>
      </c>
      <c r="BG147" s="173"/>
      <c r="BH147" s="173"/>
      <c r="BI147" s="173"/>
      <c r="BJ147" s="173"/>
      <c r="BK147" s="173"/>
      <c r="BL147" s="173"/>
      <c r="BM147" s="173"/>
      <c r="BN147" s="215"/>
      <c r="BO147" s="199">
        <f>VLOOKUP(Table7[[#This Row],[Vlookup Store '#]],'Kiosk Stickers'!A$4:$H$538,4,FALSE)</f>
        <v>0</v>
      </c>
      <c r="BP147" s="171"/>
      <c r="BQ147" s="226"/>
      <c r="BR147" s="184">
        <f>VLOOKUP(Table7[[#This Row],[Vlookup Store '#]],'Kiosk Stickers'!A$4:$H$538,5,FALSE)</f>
        <v>0</v>
      </c>
      <c r="BS147" s="173"/>
      <c r="BT147" s="173"/>
      <c r="BU147" s="173"/>
      <c r="BV147" s="173"/>
      <c r="BW147" s="173"/>
      <c r="BX147" s="173"/>
      <c r="BY147" s="173"/>
      <c r="BZ147" s="215"/>
      <c r="CA147" s="243"/>
      <c r="CB147" s="233"/>
      <c r="CC147" s="233"/>
      <c r="CD147" s="233"/>
      <c r="CE147" s="233"/>
      <c r="CF147" s="233"/>
      <c r="CG147" s="233"/>
      <c r="CH147" s="262"/>
      <c r="CI147" s="351"/>
      <c r="CJ147" s="350"/>
      <c r="CK147" s="350"/>
      <c r="CL147" s="350"/>
      <c r="CM147" s="350"/>
      <c r="CN147" s="353">
        <v>2</v>
      </c>
      <c r="CO147" s="350"/>
      <c r="CP147" s="350"/>
      <c r="CQ147" s="364"/>
      <c r="CR147" s="370"/>
      <c r="CS147" s="367"/>
      <c r="CT147" s="367"/>
      <c r="CU147" s="367"/>
      <c r="CV147" s="378">
        <v>10</v>
      </c>
      <c r="CW147" s="387"/>
      <c r="CX147" s="398"/>
      <c r="CY147" s="399"/>
      <c r="CZ147" s="399"/>
      <c r="DA147" s="399"/>
      <c r="DB147" s="396"/>
      <c r="DC147" s="400">
        <v>1</v>
      </c>
      <c r="DD147" s="400"/>
      <c r="DE147" s="514"/>
      <c r="DF147" s="514">
        <f t="shared" si="2"/>
        <v>1</v>
      </c>
      <c r="DG147" s="144"/>
      <c r="DH147" s="143"/>
    </row>
    <row r="148" spans="1:112" x14ac:dyDescent="0.25">
      <c r="A148" s="15" t="s">
        <v>201</v>
      </c>
      <c r="B148" s="15">
        <v>816</v>
      </c>
      <c r="C148" s="15" t="s">
        <v>2207</v>
      </c>
      <c r="D148" s="15">
        <v>846</v>
      </c>
      <c r="E148" s="15" t="s">
        <v>2208</v>
      </c>
      <c r="F148" s="15" t="s">
        <v>2209</v>
      </c>
      <c r="G148" s="15" t="s">
        <v>2210</v>
      </c>
      <c r="H148" s="15" t="s">
        <v>2198</v>
      </c>
      <c r="I148" s="15" t="s">
        <v>205</v>
      </c>
      <c r="J148" s="15" t="s">
        <v>2211</v>
      </c>
      <c r="K148" s="15" t="s">
        <v>2212</v>
      </c>
      <c r="L148" s="15" t="s">
        <v>3775</v>
      </c>
      <c r="M148" s="15" t="s">
        <v>3776</v>
      </c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>
        <v>1500</v>
      </c>
      <c r="AE148" s="70"/>
      <c r="AF148" s="70"/>
      <c r="AG148" s="71"/>
      <c r="AH148" s="71"/>
      <c r="AI148" s="71"/>
      <c r="AJ148" s="71"/>
      <c r="AK148" s="71"/>
      <c r="AL148" s="71"/>
      <c r="AM148" s="71"/>
      <c r="AN148" s="71"/>
      <c r="AO148" s="71"/>
      <c r="AP148" s="71"/>
      <c r="AQ148" s="71"/>
      <c r="AR148" s="71"/>
      <c r="AS148" s="71"/>
      <c r="AT148" s="71"/>
      <c r="AU148" s="71"/>
      <c r="AV148" s="71"/>
      <c r="AW148" s="71">
        <v>10</v>
      </c>
      <c r="AX148" s="71"/>
      <c r="AY148" s="71"/>
      <c r="AZ148" s="166"/>
      <c r="BA148" s="131"/>
      <c r="BB148" s="131"/>
      <c r="BC148" s="131"/>
      <c r="BD148" s="131"/>
      <c r="BE148" s="169">
        <f>VLOOKUP(Table7[[#This Row],[Vlookup Store '#]],'Kiosk Stickers'!A$4:$H$538,2,FALSE)</f>
        <v>1</v>
      </c>
      <c r="BF148" s="184">
        <f>VLOOKUP(Table7[[#This Row],[Vlookup Store '#]],'Kiosk Stickers'!A$4:$H$538,3,FALSE)</f>
        <v>0</v>
      </c>
      <c r="BG148" s="173"/>
      <c r="BH148" s="173"/>
      <c r="BI148" s="173"/>
      <c r="BJ148" s="173"/>
      <c r="BK148" s="173"/>
      <c r="BL148" s="173"/>
      <c r="BM148" s="173"/>
      <c r="BN148" s="215"/>
      <c r="BO148" s="199">
        <f>VLOOKUP(Table7[[#This Row],[Vlookup Store '#]],'Kiosk Stickers'!A$4:$H$538,4,FALSE)</f>
        <v>0</v>
      </c>
      <c r="BP148" s="171"/>
      <c r="BQ148" s="226"/>
      <c r="BR148" s="184">
        <f>VLOOKUP(Table7[[#This Row],[Vlookup Store '#]],'Kiosk Stickers'!A$4:$H$538,5,FALSE)</f>
        <v>0</v>
      </c>
      <c r="BS148" s="173"/>
      <c r="BT148" s="173"/>
      <c r="BU148" s="173"/>
      <c r="BV148" s="173"/>
      <c r="BW148" s="173"/>
      <c r="BX148" s="173"/>
      <c r="BY148" s="173"/>
      <c r="BZ148" s="215"/>
      <c r="CA148" s="243"/>
      <c r="CB148" s="233"/>
      <c r="CC148" s="233"/>
      <c r="CD148" s="233"/>
      <c r="CE148" s="233"/>
      <c r="CF148" s="233"/>
      <c r="CG148" s="233"/>
      <c r="CH148" s="262"/>
      <c r="CI148" s="351"/>
      <c r="CJ148" s="350"/>
      <c r="CK148" s="350"/>
      <c r="CL148" s="350"/>
      <c r="CM148" s="350"/>
      <c r="CN148" s="353">
        <v>2</v>
      </c>
      <c r="CO148" s="350"/>
      <c r="CP148" s="350"/>
      <c r="CQ148" s="364"/>
      <c r="CR148" s="370"/>
      <c r="CS148" s="367"/>
      <c r="CT148" s="367"/>
      <c r="CU148" s="367"/>
      <c r="CV148" s="378">
        <v>10</v>
      </c>
      <c r="CW148" s="387"/>
      <c r="CX148" s="398"/>
      <c r="CY148" s="399"/>
      <c r="CZ148" s="399"/>
      <c r="DA148" s="399"/>
      <c r="DB148" s="396"/>
      <c r="DC148" s="400">
        <v>1</v>
      </c>
      <c r="DD148" s="400"/>
      <c r="DE148" s="514"/>
      <c r="DF148" s="514">
        <f t="shared" si="2"/>
        <v>1</v>
      </c>
      <c r="DG148" s="144"/>
      <c r="DH148" s="143"/>
    </row>
    <row r="149" spans="1:112" x14ac:dyDescent="0.25">
      <c r="A149" s="15" t="s">
        <v>201</v>
      </c>
      <c r="B149" s="15">
        <v>816</v>
      </c>
      <c r="C149" s="15" t="s">
        <v>2969</v>
      </c>
      <c r="D149" s="15">
        <v>847</v>
      </c>
      <c r="E149" s="15" t="s">
        <v>2970</v>
      </c>
      <c r="F149" s="15" t="s">
        <v>2971</v>
      </c>
      <c r="G149" s="15" t="s">
        <v>2972</v>
      </c>
      <c r="H149" s="15" t="s">
        <v>2973</v>
      </c>
      <c r="I149" s="15" t="s">
        <v>205</v>
      </c>
      <c r="J149" s="15" t="s">
        <v>3284</v>
      </c>
      <c r="K149" s="15" t="s">
        <v>2974</v>
      </c>
      <c r="L149" s="15" t="s">
        <v>3775</v>
      </c>
      <c r="M149" s="15" t="s">
        <v>3776</v>
      </c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>
        <v>1500</v>
      </c>
      <c r="AE149" s="70"/>
      <c r="AF149" s="70"/>
      <c r="AG149" s="71"/>
      <c r="AH149" s="71"/>
      <c r="AI149" s="71"/>
      <c r="AJ149" s="71"/>
      <c r="AK149" s="71"/>
      <c r="AL149" s="71"/>
      <c r="AM149" s="71"/>
      <c r="AN149" s="71"/>
      <c r="AO149" s="71"/>
      <c r="AP149" s="71"/>
      <c r="AQ149" s="71"/>
      <c r="AR149" s="71"/>
      <c r="AS149" s="71"/>
      <c r="AT149" s="71"/>
      <c r="AU149" s="71"/>
      <c r="AV149" s="71"/>
      <c r="AW149" s="71">
        <v>10</v>
      </c>
      <c r="AX149" s="71"/>
      <c r="AY149" s="71"/>
      <c r="AZ149" s="166"/>
      <c r="BA149" s="131"/>
      <c r="BB149" s="131"/>
      <c r="BC149" s="131"/>
      <c r="BD149" s="131"/>
      <c r="BE149" s="169">
        <v>1</v>
      </c>
      <c r="BF149" s="184"/>
      <c r="BG149" s="173"/>
      <c r="BH149" s="173"/>
      <c r="BI149" s="173"/>
      <c r="BJ149" s="173"/>
      <c r="BK149" s="173"/>
      <c r="BL149" s="173"/>
      <c r="BM149" s="173"/>
      <c r="BN149" s="215"/>
      <c r="BO149" s="199"/>
      <c r="BP149" s="171"/>
      <c r="BQ149" s="226"/>
      <c r="BR149" s="184"/>
      <c r="BS149" s="173"/>
      <c r="BT149" s="173"/>
      <c r="BU149" s="173"/>
      <c r="BV149" s="173"/>
      <c r="BW149" s="173"/>
      <c r="BX149" s="173"/>
      <c r="BY149" s="173"/>
      <c r="BZ149" s="215"/>
      <c r="CA149" s="243"/>
      <c r="CB149" s="233"/>
      <c r="CC149" s="233"/>
      <c r="CD149" s="233"/>
      <c r="CE149" s="233"/>
      <c r="CF149" s="233"/>
      <c r="CG149" s="233"/>
      <c r="CH149" s="262"/>
      <c r="CI149" s="351"/>
      <c r="CJ149" s="350"/>
      <c r="CK149" s="350"/>
      <c r="CL149" s="350"/>
      <c r="CM149" s="350"/>
      <c r="CN149" s="353">
        <v>2</v>
      </c>
      <c r="CO149" s="350"/>
      <c r="CP149" s="350"/>
      <c r="CQ149" s="364"/>
      <c r="CR149" s="370"/>
      <c r="CS149" s="367"/>
      <c r="CT149" s="367"/>
      <c r="CU149" s="367"/>
      <c r="CV149" s="378">
        <v>10</v>
      </c>
      <c r="CW149" s="387"/>
      <c r="CX149" s="398"/>
      <c r="CY149" s="399"/>
      <c r="CZ149" s="399"/>
      <c r="DA149" s="399"/>
      <c r="DB149" s="396"/>
      <c r="DC149" s="400">
        <v>1</v>
      </c>
      <c r="DD149" s="400"/>
      <c r="DE149" s="514"/>
      <c r="DF149" s="514">
        <f t="shared" si="2"/>
        <v>1</v>
      </c>
      <c r="DG149" s="144"/>
      <c r="DH149" s="143"/>
    </row>
    <row r="150" spans="1:112" x14ac:dyDescent="0.25">
      <c r="A150" s="15" t="s">
        <v>88</v>
      </c>
      <c r="B150" s="15">
        <v>806</v>
      </c>
      <c r="C150" s="15" t="s">
        <v>89</v>
      </c>
      <c r="D150" s="15">
        <v>306</v>
      </c>
      <c r="E150" s="15" t="s">
        <v>90</v>
      </c>
      <c r="F150" s="15" t="s">
        <v>2244</v>
      </c>
      <c r="G150" s="15" t="s">
        <v>91</v>
      </c>
      <c r="H150" s="15" t="s">
        <v>92</v>
      </c>
      <c r="I150" s="15" t="s">
        <v>32</v>
      </c>
      <c r="J150" s="15" t="s">
        <v>3136</v>
      </c>
      <c r="K150" s="15" t="s">
        <v>93</v>
      </c>
      <c r="L150" s="15" t="s">
        <v>3928</v>
      </c>
      <c r="M150" s="15" t="s">
        <v>3929</v>
      </c>
      <c r="N150" s="70"/>
      <c r="O150" s="70"/>
      <c r="P150" s="70"/>
      <c r="Q150" s="70"/>
      <c r="R150" s="70"/>
      <c r="S150" s="70"/>
      <c r="T150" s="70"/>
      <c r="U150" s="70">
        <v>1500</v>
      </c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1"/>
      <c r="AH150" s="71"/>
      <c r="AI150" s="71"/>
      <c r="AJ150" s="71"/>
      <c r="AK150" s="71"/>
      <c r="AL150" s="71"/>
      <c r="AM150" s="71"/>
      <c r="AN150" s="71">
        <v>10</v>
      </c>
      <c r="AO150" s="71"/>
      <c r="AP150" s="71"/>
      <c r="AQ150" s="71"/>
      <c r="AR150" s="71"/>
      <c r="AS150" s="71"/>
      <c r="AT150" s="71"/>
      <c r="AU150" s="71"/>
      <c r="AV150" s="71"/>
      <c r="AW150" s="71"/>
      <c r="AX150" s="71"/>
      <c r="AY150" s="71"/>
      <c r="AZ150" s="131">
        <f>VLOOKUP(Table7[[#This Row],[Vlookup Store '#]],'Kiosk Stickers'!A$4:$H$538,2,FALSE)</f>
        <v>0</v>
      </c>
      <c r="BA150" s="131"/>
      <c r="BB150" s="131"/>
      <c r="BC150" s="131"/>
      <c r="BD150" s="131"/>
      <c r="BE150" s="169"/>
      <c r="BF150" s="184">
        <f>VLOOKUP(Table7[[#This Row],[Vlookup Store '#]],'Kiosk Stickers'!A$4:$H$538,3,FALSE)</f>
        <v>0</v>
      </c>
      <c r="BG150" s="173"/>
      <c r="BH150" s="173"/>
      <c r="BI150" s="173"/>
      <c r="BJ150" s="173"/>
      <c r="BK150" s="173"/>
      <c r="BL150" s="173"/>
      <c r="BM150" s="173"/>
      <c r="BN150" s="215"/>
      <c r="BO150" s="199">
        <f>VLOOKUP(Table7[[#This Row],[Vlookup Store '#]],'Kiosk Stickers'!A$4:$H$538,4,FALSE)</f>
        <v>0</v>
      </c>
      <c r="BP150" s="171"/>
      <c r="BQ150" s="226"/>
      <c r="BR150" s="184">
        <f>VLOOKUP(Table7[[#This Row],[Vlookup Store '#]],'Kiosk Stickers'!A$4:$H$538,5,FALSE)</f>
        <v>1</v>
      </c>
      <c r="BS150" s="173"/>
      <c r="BT150" s="173"/>
      <c r="BU150" s="173"/>
      <c r="BV150" s="173"/>
      <c r="BW150" s="173"/>
      <c r="BX150" s="173"/>
      <c r="BY150" s="173"/>
      <c r="BZ150" s="215"/>
      <c r="CA150" s="243"/>
      <c r="CB150" s="233"/>
      <c r="CC150" s="233"/>
      <c r="CD150" s="233"/>
      <c r="CE150" s="233"/>
      <c r="CF150" s="233"/>
      <c r="CG150" s="233"/>
      <c r="CH150" s="262"/>
      <c r="CI150" s="351"/>
      <c r="CJ150" s="350">
        <v>2</v>
      </c>
      <c r="CK150" s="350"/>
      <c r="CL150" s="350"/>
      <c r="CM150" s="350"/>
      <c r="CN150" s="350"/>
      <c r="CO150" s="350"/>
      <c r="CP150" s="350"/>
      <c r="CQ150" s="364"/>
      <c r="CR150" s="370"/>
      <c r="CS150" s="367">
        <v>10</v>
      </c>
      <c r="CT150" s="367"/>
      <c r="CU150" s="367"/>
      <c r="CV150" s="367"/>
      <c r="CW150" s="387"/>
      <c r="CX150" s="398"/>
      <c r="CY150" s="399">
        <v>1</v>
      </c>
      <c r="CZ150" s="399"/>
      <c r="DA150" s="399"/>
      <c r="DB150" s="399"/>
      <c r="DC150" s="400"/>
      <c r="DD150" s="400"/>
      <c r="DE150" s="514"/>
      <c r="DF150" s="514">
        <f t="shared" si="2"/>
        <v>1</v>
      </c>
      <c r="DG150" s="144"/>
      <c r="DH150" s="143"/>
    </row>
    <row r="151" spans="1:112" x14ac:dyDescent="0.25">
      <c r="A151" s="15" t="s">
        <v>88</v>
      </c>
      <c r="B151" s="15">
        <v>806</v>
      </c>
      <c r="C151" s="15" t="s">
        <v>2245</v>
      </c>
      <c r="D151" s="15">
        <v>308</v>
      </c>
      <c r="E151" s="15" t="s">
        <v>2246</v>
      </c>
      <c r="F151" s="15" t="s">
        <v>2247</v>
      </c>
      <c r="G151" s="15" t="s">
        <v>2248</v>
      </c>
      <c r="H151" s="15" t="s">
        <v>2249</v>
      </c>
      <c r="I151" s="15" t="s">
        <v>32</v>
      </c>
      <c r="J151" s="15" t="s">
        <v>3137</v>
      </c>
      <c r="K151" s="15" t="s">
        <v>2250</v>
      </c>
      <c r="L151" s="15" t="s">
        <v>3928</v>
      </c>
      <c r="M151" s="15" t="s">
        <v>3929</v>
      </c>
      <c r="N151" s="70"/>
      <c r="O151" s="70"/>
      <c r="P151" s="70"/>
      <c r="Q151" s="70"/>
      <c r="R151" s="70"/>
      <c r="S151" s="70"/>
      <c r="T151" s="70"/>
      <c r="U151" s="70">
        <v>1500</v>
      </c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1"/>
      <c r="AH151" s="71"/>
      <c r="AI151" s="71"/>
      <c r="AJ151" s="71"/>
      <c r="AK151" s="71"/>
      <c r="AL151" s="71"/>
      <c r="AM151" s="71"/>
      <c r="AN151" s="71">
        <v>10</v>
      </c>
      <c r="AO151" s="71"/>
      <c r="AP151" s="71"/>
      <c r="AQ151" s="71"/>
      <c r="AR151" s="71"/>
      <c r="AS151" s="71"/>
      <c r="AT151" s="71"/>
      <c r="AU151" s="71"/>
      <c r="AV151" s="71"/>
      <c r="AW151" s="71"/>
      <c r="AX151" s="71"/>
      <c r="AY151" s="71"/>
      <c r="AZ151" s="131">
        <f>VLOOKUP(Table7[[#This Row],[Vlookup Store '#]],'Kiosk Stickers'!A$4:$H$538,2,FALSE)</f>
        <v>0</v>
      </c>
      <c r="BA151" s="131"/>
      <c r="BB151" s="131"/>
      <c r="BC151" s="131"/>
      <c r="BD151" s="131"/>
      <c r="BE151" s="169"/>
      <c r="BF151" s="194"/>
      <c r="BG151" s="173">
        <f>VLOOKUP(Table7[[#This Row],[Vlookup Store '#]],'Kiosk Stickers'!A$4:$H$538,3,FALSE)</f>
        <v>2</v>
      </c>
      <c r="BH151" s="173"/>
      <c r="BI151" s="173"/>
      <c r="BJ151" s="173"/>
      <c r="BK151" s="173"/>
      <c r="BL151" s="173"/>
      <c r="BM151" s="173"/>
      <c r="BN151" s="215"/>
      <c r="BO151" s="199">
        <f>VLOOKUP(Table7[[#This Row],[Vlookup Store '#]],'Kiosk Stickers'!A$4:$H$538,4,FALSE)</f>
        <v>0</v>
      </c>
      <c r="BP151" s="171"/>
      <c r="BQ151" s="226"/>
      <c r="BR151" s="184">
        <f>VLOOKUP(Table7[[#This Row],[Vlookup Store '#]],'Kiosk Stickers'!A$4:$H$538,5,FALSE)</f>
        <v>0</v>
      </c>
      <c r="BS151" s="173"/>
      <c r="BT151" s="173"/>
      <c r="BU151" s="173"/>
      <c r="BV151" s="173"/>
      <c r="BW151" s="173"/>
      <c r="BX151" s="173"/>
      <c r="BY151" s="173"/>
      <c r="BZ151" s="215"/>
      <c r="CA151" s="243"/>
      <c r="CB151" s="233"/>
      <c r="CC151" s="233"/>
      <c r="CD151" s="233"/>
      <c r="CE151" s="233"/>
      <c r="CF151" s="233"/>
      <c r="CG151" s="233"/>
      <c r="CH151" s="262"/>
      <c r="CI151" s="351"/>
      <c r="CJ151" s="350">
        <v>2</v>
      </c>
      <c r="CK151" s="350"/>
      <c r="CL151" s="350"/>
      <c r="CM151" s="350"/>
      <c r="CN151" s="350"/>
      <c r="CO151" s="350"/>
      <c r="CP151" s="350"/>
      <c r="CQ151" s="364"/>
      <c r="CR151" s="370"/>
      <c r="CS151" s="367">
        <v>10</v>
      </c>
      <c r="CT151" s="367"/>
      <c r="CU151" s="367"/>
      <c r="CV151" s="367"/>
      <c r="CW151" s="387"/>
      <c r="CX151" s="398"/>
      <c r="CY151" s="399">
        <v>1</v>
      </c>
      <c r="CZ151" s="399"/>
      <c r="DA151" s="399"/>
      <c r="DB151" s="399"/>
      <c r="DC151" s="400"/>
      <c r="DD151" s="400"/>
      <c r="DE151" s="514"/>
      <c r="DF151" s="514">
        <f t="shared" si="2"/>
        <v>1</v>
      </c>
      <c r="DG151" s="144"/>
      <c r="DH151" s="143"/>
    </row>
    <row r="152" spans="1:112" x14ac:dyDescent="0.25">
      <c r="A152" s="15" t="s">
        <v>88</v>
      </c>
      <c r="B152" s="15">
        <v>806</v>
      </c>
      <c r="C152" s="15" t="s">
        <v>2251</v>
      </c>
      <c r="D152" s="15">
        <v>309</v>
      </c>
      <c r="E152" s="15" t="s">
        <v>2252</v>
      </c>
      <c r="F152" s="15" t="s">
        <v>3138</v>
      </c>
      <c r="G152" s="15" t="s">
        <v>2253</v>
      </c>
      <c r="H152" s="15" t="s">
        <v>92</v>
      </c>
      <c r="I152" s="15" t="s">
        <v>32</v>
      </c>
      <c r="J152" s="15" t="s">
        <v>3139</v>
      </c>
      <c r="K152" s="15" t="s">
        <v>2254</v>
      </c>
      <c r="L152" s="15" t="s">
        <v>3928</v>
      </c>
      <c r="M152" s="15" t="s">
        <v>3929</v>
      </c>
      <c r="N152" s="70"/>
      <c r="O152" s="70"/>
      <c r="P152" s="70"/>
      <c r="Q152" s="70"/>
      <c r="R152" s="70"/>
      <c r="S152" s="70"/>
      <c r="T152" s="70"/>
      <c r="U152" s="70">
        <v>1500</v>
      </c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1"/>
      <c r="AH152" s="71"/>
      <c r="AI152" s="71"/>
      <c r="AJ152" s="71"/>
      <c r="AK152" s="71"/>
      <c r="AL152" s="71"/>
      <c r="AM152" s="71"/>
      <c r="AN152" s="71">
        <v>10</v>
      </c>
      <c r="AO152" s="71"/>
      <c r="AP152" s="71"/>
      <c r="AQ152" s="71"/>
      <c r="AR152" s="71"/>
      <c r="AS152" s="71"/>
      <c r="AT152" s="71"/>
      <c r="AU152" s="71"/>
      <c r="AV152" s="71"/>
      <c r="AW152" s="71"/>
      <c r="AX152" s="71"/>
      <c r="AY152" s="71"/>
      <c r="AZ152" s="131">
        <f>VLOOKUP(Table7[[#This Row],[Vlookup Store '#]],'Kiosk Stickers'!A$4:$H$538,2,FALSE)</f>
        <v>0</v>
      </c>
      <c r="BA152" s="131"/>
      <c r="BB152" s="131"/>
      <c r="BC152" s="131"/>
      <c r="BD152" s="131"/>
      <c r="BE152" s="169"/>
      <c r="BF152" s="194"/>
      <c r="BG152" s="173">
        <f>VLOOKUP(Table7[[#This Row],[Vlookup Store '#]],'Kiosk Stickers'!A$4:$H$538,3,FALSE)</f>
        <v>2</v>
      </c>
      <c r="BH152" s="173"/>
      <c r="BI152" s="173"/>
      <c r="BJ152" s="173"/>
      <c r="BK152" s="173"/>
      <c r="BL152" s="173"/>
      <c r="BM152" s="173"/>
      <c r="BN152" s="215"/>
      <c r="BO152" s="199">
        <f>VLOOKUP(Table7[[#This Row],[Vlookup Store '#]],'Kiosk Stickers'!A$4:$H$538,4,FALSE)</f>
        <v>0</v>
      </c>
      <c r="BP152" s="171"/>
      <c r="BQ152" s="226"/>
      <c r="BR152" s="184">
        <f>VLOOKUP(Table7[[#This Row],[Vlookup Store '#]],'Kiosk Stickers'!A$4:$H$538,5,FALSE)</f>
        <v>0</v>
      </c>
      <c r="BS152" s="173"/>
      <c r="BT152" s="173"/>
      <c r="BU152" s="173"/>
      <c r="BV152" s="173"/>
      <c r="BW152" s="173"/>
      <c r="BX152" s="173"/>
      <c r="BY152" s="173"/>
      <c r="BZ152" s="215"/>
      <c r="CA152" s="243"/>
      <c r="CB152" s="233"/>
      <c r="CC152" s="233"/>
      <c r="CD152" s="233"/>
      <c r="CE152" s="233"/>
      <c r="CF152" s="233"/>
      <c r="CG152" s="233"/>
      <c r="CH152" s="262"/>
      <c r="CI152" s="351"/>
      <c r="CJ152" s="350">
        <v>2</v>
      </c>
      <c r="CK152" s="350"/>
      <c r="CL152" s="350"/>
      <c r="CM152" s="350"/>
      <c r="CN152" s="350"/>
      <c r="CO152" s="350"/>
      <c r="CP152" s="350"/>
      <c r="CQ152" s="364"/>
      <c r="CR152" s="370"/>
      <c r="CS152" s="367">
        <v>10</v>
      </c>
      <c r="CT152" s="367"/>
      <c r="CU152" s="367"/>
      <c r="CV152" s="367"/>
      <c r="CW152" s="387"/>
      <c r="CX152" s="398"/>
      <c r="CY152" s="399">
        <v>1</v>
      </c>
      <c r="CZ152" s="399"/>
      <c r="DA152" s="399"/>
      <c r="DB152" s="399"/>
      <c r="DC152" s="400"/>
      <c r="DD152" s="400"/>
      <c r="DE152" s="514"/>
      <c r="DF152" s="514">
        <f t="shared" si="2"/>
        <v>1</v>
      </c>
      <c r="DG152" s="144"/>
      <c r="DH152" s="143"/>
    </row>
    <row r="153" spans="1:112" x14ac:dyDescent="0.25">
      <c r="A153" s="15" t="s">
        <v>88</v>
      </c>
      <c r="B153" s="15">
        <v>806</v>
      </c>
      <c r="C153" s="15" t="s">
        <v>2261</v>
      </c>
      <c r="D153" s="15">
        <v>318</v>
      </c>
      <c r="E153" s="15" t="s">
        <v>2262</v>
      </c>
      <c r="F153" s="15" t="s">
        <v>3138</v>
      </c>
      <c r="G153" s="15" t="s">
        <v>2263</v>
      </c>
      <c r="H153" s="15" t="s">
        <v>92</v>
      </c>
      <c r="I153" s="15" t="s">
        <v>32</v>
      </c>
      <c r="J153" s="15" t="s">
        <v>3136</v>
      </c>
      <c r="K153" s="15" t="s">
        <v>2264</v>
      </c>
      <c r="L153" s="15" t="s">
        <v>3928</v>
      </c>
      <c r="M153" s="15" t="s">
        <v>3929</v>
      </c>
      <c r="N153" s="70"/>
      <c r="O153" s="70"/>
      <c r="P153" s="70"/>
      <c r="Q153" s="70"/>
      <c r="R153" s="70"/>
      <c r="S153" s="70"/>
      <c r="T153" s="70"/>
      <c r="U153" s="70">
        <v>1500</v>
      </c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1"/>
      <c r="AH153" s="71"/>
      <c r="AI153" s="71"/>
      <c r="AJ153" s="71"/>
      <c r="AK153" s="71"/>
      <c r="AL153" s="71"/>
      <c r="AM153" s="71"/>
      <c r="AN153" s="71">
        <v>10</v>
      </c>
      <c r="AO153" s="71"/>
      <c r="AP153" s="71"/>
      <c r="AQ153" s="71"/>
      <c r="AR153" s="71"/>
      <c r="AS153" s="71"/>
      <c r="AT153" s="71"/>
      <c r="AU153" s="71"/>
      <c r="AV153" s="71"/>
      <c r="AW153" s="71"/>
      <c r="AX153" s="71"/>
      <c r="AY153" s="71"/>
      <c r="AZ153" s="131">
        <f>VLOOKUP(Table7[[#This Row],[Vlookup Store '#]],'Kiosk Stickers'!A$4:$H$538,2,FALSE)</f>
        <v>0</v>
      </c>
      <c r="BA153" s="131"/>
      <c r="BB153" s="131"/>
      <c r="BC153" s="131"/>
      <c r="BD153" s="131"/>
      <c r="BE153" s="169"/>
      <c r="BF153" s="184">
        <f>VLOOKUP(Table7[[#This Row],[Vlookup Store '#]],'Kiosk Stickers'!A$4:$H$538,3,FALSE)</f>
        <v>0</v>
      </c>
      <c r="BG153" s="173"/>
      <c r="BH153" s="173"/>
      <c r="BI153" s="173"/>
      <c r="BJ153" s="173"/>
      <c r="BK153" s="173"/>
      <c r="BL153" s="173"/>
      <c r="BM153" s="173"/>
      <c r="BN153" s="215"/>
      <c r="BO153" s="220"/>
      <c r="BP153" s="171"/>
      <c r="BQ153" s="226">
        <f>VLOOKUP(Table7[[#This Row],[Vlookup Store '#]],'Kiosk Stickers'!A$4:$H$538,4,FALSE)</f>
        <v>2</v>
      </c>
      <c r="BR153" s="184">
        <f>VLOOKUP(Table7[[#This Row],[Vlookup Store '#]],'Kiosk Stickers'!A$4:$H$538,5,FALSE)</f>
        <v>0</v>
      </c>
      <c r="BS153" s="173"/>
      <c r="BT153" s="173"/>
      <c r="BU153" s="173"/>
      <c r="BV153" s="173"/>
      <c r="BW153" s="173"/>
      <c r="BX153" s="173"/>
      <c r="BY153" s="173"/>
      <c r="BZ153" s="215"/>
      <c r="CA153" s="243"/>
      <c r="CB153" s="233"/>
      <c r="CC153" s="233"/>
      <c r="CD153" s="233"/>
      <c r="CE153" s="233"/>
      <c r="CF153" s="233"/>
      <c r="CG153" s="233"/>
      <c r="CH153" s="262"/>
      <c r="CI153" s="351"/>
      <c r="CJ153" s="350">
        <v>2</v>
      </c>
      <c r="CK153" s="350"/>
      <c r="CL153" s="350"/>
      <c r="CM153" s="350"/>
      <c r="CN153" s="350"/>
      <c r="CO153" s="350"/>
      <c r="CP153" s="350"/>
      <c r="CQ153" s="364"/>
      <c r="CR153" s="370"/>
      <c r="CS153" s="367">
        <v>10</v>
      </c>
      <c r="CT153" s="367"/>
      <c r="CU153" s="367"/>
      <c r="CV153" s="367"/>
      <c r="CW153" s="387"/>
      <c r="CX153" s="398"/>
      <c r="CY153" s="399">
        <v>1</v>
      </c>
      <c r="CZ153" s="399"/>
      <c r="DA153" s="399"/>
      <c r="DB153" s="399"/>
      <c r="DC153" s="400"/>
      <c r="DD153" s="400"/>
      <c r="DE153" s="514"/>
      <c r="DF153" s="514">
        <f t="shared" si="2"/>
        <v>1</v>
      </c>
      <c r="DG153" s="144"/>
      <c r="DH153" s="143"/>
    </row>
    <row r="154" spans="1:112" x14ac:dyDescent="0.25">
      <c r="A154" s="15" t="s">
        <v>114</v>
      </c>
      <c r="B154" s="15">
        <v>806</v>
      </c>
      <c r="C154" s="15" t="s">
        <v>3477</v>
      </c>
      <c r="D154" s="15">
        <v>1351</v>
      </c>
      <c r="E154" s="15" t="s">
        <v>2265</v>
      </c>
      <c r="F154" s="15" t="s">
        <v>2266</v>
      </c>
      <c r="G154" s="15" t="s">
        <v>2267</v>
      </c>
      <c r="H154" s="15" t="s">
        <v>118</v>
      </c>
      <c r="I154" s="15" t="s">
        <v>32</v>
      </c>
      <c r="J154" s="15" t="s">
        <v>3170</v>
      </c>
      <c r="K154" s="15" t="s">
        <v>2268</v>
      </c>
      <c r="L154" s="15" t="s">
        <v>3766</v>
      </c>
      <c r="M154" s="15" t="s">
        <v>4011</v>
      </c>
      <c r="N154" s="70">
        <v>1500</v>
      </c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1">
        <v>10</v>
      </c>
      <c r="AH154" s="71"/>
      <c r="AI154" s="71"/>
      <c r="AJ154" s="71"/>
      <c r="AK154" s="71"/>
      <c r="AL154" s="71"/>
      <c r="AM154" s="71"/>
      <c r="AN154" s="71"/>
      <c r="AO154" s="71"/>
      <c r="AP154" s="71"/>
      <c r="AQ154" s="71"/>
      <c r="AR154" s="71"/>
      <c r="AS154" s="71"/>
      <c r="AT154" s="71"/>
      <c r="AU154" s="71"/>
      <c r="AV154" s="71"/>
      <c r="AW154" s="71"/>
      <c r="AX154" s="71"/>
      <c r="AY154" s="71"/>
      <c r="AZ154" s="131">
        <f>VLOOKUP(Table7[[#This Row],[Vlookup Store '#]],'Kiosk Stickers'!A$4:$H$538,2,FALSE)</f>
        <v>0</v>
      </c>
      <c r="BA154" s="131"/>
      <c r="BB154" s="131"/>
      <c r="BC154" s="131"/>
      <c r="BD154" s="131"/>
      <c r="BE154" s="169"/>
      <c r="BF154" s="194"/>
      <c r="BG154" s="173"/>
      <c r="BH154" s="173"/>
      <c r="BI154" s="173"/>
      <c r="BJ154" s="173"/>
      <c r="BK154" s="173"/>
      <c r="BL154" s="173"/>
      <c r="BM154" s="173">
        <f>VLOOKUP(Table7[[#This Row],[Vlookup Store '#]],'Kiosk Stickers'!A$4:$H$538,3,FALSE)</f>
        <v>2</v>
      </c>
      <c r="BN154" s="215"/>
      <c r="BO154" s="199">
        <f>VLOOKUP(Table7[[#This Row],[Vlookup Store '#]],'Kiosk Stickers'!A$4:$H$538,4,FALSE)</f>
        <v>0</v>
      </c>
      <c r="BP154" s="171"/>
      <c r="BQ154" s="226"/>
      <c r="BR154" s="184">
        <f>VLOOKUP(Table7[[#This Row],[Vlookup Store '#]],'Kiosk Stickers'!A$4:$H$538,5,FALSE)</f>
        <v>0</v>
      </c>
      <c r="BS154" s="173"/>
      <c r="BT154" s="173"/>
      <c r="BU154" s="173"/>
      <c r="BV154" s="173"/>
      <c r="BW154" s="173"/>
      <c r="BX154" s="173"/>
      <c r="BY154" s="173"/>
      <c r="BZ154" s="215"/>
      <c r="CA154" s="243"/>
      <c r="CB154" s="233"/>
      <c r="CC154" s="233"/>
      <c r="CD154" s="233"/>
      <c r="CE154" s="233"/>
      <c r="CF154" s="233"/>
      <c r="CG154" s="233"/>
      <c r="CH154" s="262"/>
      <c r="CI154" s="351"/>
      <c r="CJ154" s="350"/>
      <c r="CK154" s="350"/>
      <c r="CL154" s="350"/>
      <c r="CM154" s="350"/>
      <c r="CN154" s="350"/>
      <c r="CO154" s="350"/>
      <c r="CP154" s="350">
        <v>2</v>
      </c>
      <c r="CQ154" s="364"/>
      <c r="CR154" s="370"/>
      <c r="CS154" s="367"/>
      <c r="CT154" s="367"/>
      <c r="CU154" s="367"/>
      <c r="CV154" s="367"/>
      <c r="CW154" s="387">
        <v>10</v>
      </c>
      <c r="CX154" s="398"/>
      <c r="CY154" s="399"/>
      <c r="CZ154" s="399"/>
      <c r="DA154" s="399"/>
      <c r="DB154" s="399"/>
      <c r="DC154" s="400"/>
      <c r="DD154" s="400"/>
      <c r="DE154" s="514">
        <v>1</v>
      </c>
      <c r="DF154" s="514">
        <f t="shared" si="2"/>
        <v>1</v>
      </c>
      <c r="DG154" s="144"/>
      <c r="DH154" s="143"/>
    </row>
    <row r="155" spans="1:112" x14ac:dyDescent="0.25">
      <c r="A155" s="15" t="s">
        <v>114</v>
      </c>
      <c r="B155" s="15">
        <v>806</v>
      </c>
      <c r="C155" s="15" t="s">
        <v>3488</v>
      </c>
      <c r="D155" s="15">
        <v>1361</v>
      </c>
      <c r="E155" s="15" t="s">
        <v>2293</v>
      </c>
      <c r="F155" s="15" t="s">
        <v>2294</v>
      </c>
      <c r="G155" s="15" t="s">
        <v>2295</v>
      </c>
      <c r="H155" s="15" t="s">
        <v>118</v>
      </c>
      <c r="I155" s="15" t="s">
        <v>32</v>
      </c>
      <c r="J155" s="15" t="s">
        <v>3163</v>
      </c>
      <c r="K155" s="15" t="s">
        <v>2296</v>
      </c>
      <c r="L155" s="15" t="s">
        <v>3766</v>
      </c>
      <c r="M155" s="15" t="s">
        <v>4011</v>
      </c>
      <c r="N155" s="70">
        <v>1500</v>
      </c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1">
        <v>10</v>
      </c>
      <c r="AH155" s="71"/>
      <c r="AI155" s="71"/>
      <c r="AJ155" s="71"/>
      <c r="AK155" s="71"/>
      <c r="AL155" s="71"/>
      <c r="AM155" s="71"/>
      <c r="AN155" s="71"/>
      <c r="AO155" s="71"/>
      <c r="AP155" s="71"/>
      <c r="AQ155" s="71"/>
      <c r="AR155" s="71"/>
      <c r="AS155" s="71"/>
      <c r="AT155" s="71"/>
      <c r="AU155" s="71"/>
      <c r="AV155" s="71"/>
      <c r="AW155" s="71"/>
      <c r="AX155" s="71"/>
      <c r="AY155" s="71"/>
      <c r="AZ155" s="131">
        <f>VLOOKUP(Table7[[#This Row],[Vlookup Store '#]],'Kiosk Stickers'!A$4:$H$538,2,FALSE)</f>
        <v>0</v>
      </c>
      <c r="BA155" s="131"/>
      <c r="BB155" s="131"/>
      <c r="BC155" s="131"/>
      <c r="BD155" s="131"/>
      <c r="BE155" s="169"/>
      <c r="BF155" s="194"/>
      <c r="BG155" s="173"/>
      <c r="BH155" s="173"/>
      <c r="BI155" s="173"/>
      <c r="BJ155" s="173"/>
      <c r="BK155" s="173"/>
      <c r="BL155" s="173"/>
      <c r="BM155" s="173">
        <f>VLOOKUP(Table7[[#This Row],[Vlookup Store '#]],'Kiosk Stickers'!A$4:$H$538,3,FALSE)</f>
        <v>2</v>
      </c>
      <c r="BN155" s="215"/>
      <c r="BO155" s="199">
        <f>VLOOKUP(Table7[[#This Row],[Vlookup Store '#]],'Kiosk Stickers'!A$4:$H$538,4,FALSE)</f>
        <v>0</v>
      </c>
      <c r="BP155" s="171"/>
      <c r="BQ155" s="226"/>
      <c r="BR155" s="184">
        <f>VLOOKUP(Table7[[#This Row],[Vlookup Store '#]],'Kiosk Stickers'!A$4:$H$538,5,FALSE)</f>
        <v>0</v>
      </c>
      <c r="BS155" s="173"/>
      <c r="BT155" s="173"/>
      <c r="BU155" s="173"/>
      <c r="BV155" s="173"/>
      <c r="BW155" s="173"/>
      <c r="BX155" s="173"/>
      <c r="BY155" s="173"/>
      <c r="BZ155" s="215"/>
      <c r="CA155" s="243"/>
      <c r="CB155" s="233"/>
      <c r="CC155" s="233"/>
      <c r="CD155" s="233"/>
      <c r="CE155" s="233"/>
      <c r="CF155" s="233"/>
      <c r="CG155" s="233"/>
      <c r="CH155" s="262"/>
      <c r="CI155" s="351"/>
      <c r="CJ155" s="350"/>
      <c r="CK155" s="350"/>
      <c r="CL155" s="350"/>
      <c r="CM155" s="350"/>
      <c r="CN155" s="350"/>
      <c r="CO155" s="350"/>
      <c r="CP155" s="350">
        <v>2</v>
      </c>
      <c r="CQ155" s="364"/>
      <c r="CR155" s="370"/>
      <c r="CS155" s="367"/>
      <c r="CT155" s="367"/>
      <c r="CU155" s="367"/>
      <c r="CV155" s="367"/>
      <c r="CW155" s="387">
        <v>10</v>
      </c>
      <c r="CX155" s="398"/>
      <c r="CY155" s="399"/>
      <c r="CZ155" s="399"/>
      <c r="DA155" s="399"/>
      <c r="DB155" s="399"/>
      <c r="DC155" s="400"/>
      <c r="DD155" s="400"/>
      <c r="DE155" s="514">
        <v>1</v>
      </c>
      <c r="DF155" s="514">
        <f t="shared" si="2"/>
        <v>1</v>
      </c>
      <c r="DG155" s="144"/>
      <c r="DH155" s="143"/>
    </row>
    <row r="156" spans="1:112" x14ac:dyDescent="0.25">
      <c r="A156" s="15" t="s">
        <v>114</v>
      </c>
      <c r="B156" s="15">
        <v>806</v>
      </c>
      <c r="C156" s="15" t="s">
        <v>3691</v>
      </c>
      <c r="D156" s="15">
        <v>2546</v>
      </c>
      <c r="E156" s="15" t="s">
        <v>418</v>
      </c>
      <c r="F156" s="15" t="s">
        <v>2960</v>
      </c>
      <c r="G156" s="15" t="s">
        <v>419</v>
      </c>
      <c r="H156" s="15" t="s">
        <v>118</v>
      </c>
      <c r="I156" s="15" t="s">
        <v>32</v>
      </c>
      <c r="J156" s="15" t="s">
        <v>3165</v>
      </c>
      <c r="K156" s="15" t="s">
        <v>2961</v>
      </c>
      <c r="L156" s="15" t="s">
        <v>3766</v>
      </c>
      <c r="M156" s="15" t="s">
        <v>4011</v>
      </c>
      <c r="N156" s="70">
        <v>1500</v>
      </c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1">
        <v>10</v>
      </c>
      <c r="AH156" s="71"/>
      <c r="AI156" s="71"/>
      <c r="AJ156" s="71"/>
      <c r="AK156" s="71"/>
      <c r="AL156" s="71"/>
      <c r="AM156" s="71"/>
      <c r="AN156" s="71"/>
      <c r="AO156" s="71"/>
      <c r="AP156" s="71"/>
      <c r="AQ156" s="71"/>
      <c r="AR156" s="71"/>
      <c r="AS156" s="71"/>
      <c r="AT156" s="71"/>
      <c r="AU156" s="71"/>
      <c r="AV156" s="71"/>
      <c r="AW156" s="71"/>
      <c r="AX156" s="71"/>
      <c r="AY156" s="71"/>
      <c r="AZ156" s="131">
        <v>1</v>
      </c>
      <c r="BA156" s="131"/>
      <c r="BB156" s="131"/>
      <c r="BC156" s="131"/>
      <c r="BD156" s="131"/>
      <c r="BE156" s="169"/>
      <c r="BF156" s="194"/>
      <c r="BG156" s="173"/>
      <c r="BH156" s="173"/>
      <c r="BI156" s="173"/>
      <c r="BJ156" s="173"/>
      <c r="BK156" s="173"/>
      <c r="BL156" s="173"/>
      <c r="BM156" s="173"/>
      <c r="BN156" s="215"/>
      <c r="BO156" s="199"/>
      <c r="BP156" s="171"/>
      <c r="BQ156" s="226"/>
      <c r="BR156" s="184"/>
      <c r="BS156" s="173"/>
      <c r="BT156" s="173"/>
      <c r="BU156" s="173"/>
      <c r="BV156" s="173"/>
      <c r="BW156" s="173"/>
      <c r="BX156" s="173"/>
      <c r="BY156" s="173"/>
      <c r="BZ156" s="215"/>
      <c r="CA156" s="243"/>
      <c r="CB156" s="233"/>
      <c r="CC156" s="233"/>
      <c r="CD156" s="233"/>
      <c r="CE156" s="233"/>
      <c r="CF156" s="233"/>
      <c r="CG156" s="233"/>
      <c r="CH156" s="262"/>
      <c r="CI156" s="351"/>
      <c r="CJ156" s="350"/>
      <c r="CK156" s="350"/>
      <c r="CL156" s="350"/>
      <c r="CM156" s="350"/>
      <c r="CN156" s="350"/>
      <c r="CO156" s="350"/>
      <c r="CP156" s="350">
        <v>2</v>
      </c>
      <c r="CQ156" s="364"/>
      <c r="CR156" s="370"/>
      <c r="CS156" s="367"/>
      <c r="CT156" s="367"/>
      <c r="CU156" s="367"/>
      <c r="CV156" s="367"/>
      <c r="CW156" s="387">
        <v>10</v>
      </c>
      <c r="CX156" s="398"/>
      <c r="CY156" s="399"/>
      <c r="CZ156" s="399"/>
      <c r="DA156" s="399"/>
      <c r="DB156" s="399"/>
      <c r="DC156" s="400"/>
      <c r="DD156" s="400"/>
      <c r="DE156" s="514">
        <v>1</v>
      </c>
      <c r="DF156" s="514">
        <f t="shared" si="2"/>
        <v>1</v>
      </c>
      <c r="DG156" s="144"/>
      <c r="DH156" s="143"/>
    </row>
    <row r="157" spans="1:112" x14ac:dyDescent="0.25">
      <c r="A157" s="15" t="s">
        <v>27</v>
      </c>
      <c r="B157" s="15">
        <v>804</v>
      </c>
      <c r="C157" s="15" t="s">
        <v>2496</v>
      </c>
      <c r="D157" s="15">
        <v>15</v>
      </c>
      <c r="E157" s="15" t="s">
        <v>2497</v>
      </c>
      <c r="F157" s="15" t="s">
        <v>3024</v>
      </c>
      <c r="G157" s="15" t="s">
        <v>2499</v>
      </c>
      <c r="H157" s="15" t="s">
        <v>31</v>
      </c>
      <c r="I157" s="15" t="s">
        <v>32</v>
      </c>
      <c r="J157" s="15" t="s">
        <v>3063</v>
      </c>
      <c r="K157" s="15" t="s">
        <v>2500</v>
      </c>
      <c r="L157" s="15" t="s">
        <v>3766</v>
      </c>
      <c r="M157" s="15" t="s">
        <v>4011</v>
      </c>
      <c r="N157" s="70">
        <v>1500</v>
      </c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1">
        <v>10</v>
      </c>
      <c r="AH157" s="71"/>
      <c r="AI157" s="71"/>
      <c r="AJ157" s="71"/>
      <c r="AK157" s="71"/>
      <c r="AL157" s="71"/>
      <c r="AM157" s="71"/>
      <c r="AN157" s="71"/>
      <c r="AO157" s="71"/>
      <c r="AP157" s="71"/>
      <c r="AQ157" s="71"/>
      <c r="AR157" s="71"/>
      <c r="AS157" s="71"/>
      <c r="AT157" s="71"/>
      <c r="AU157" s="71"/>
      <c r="AV157" s="71"/>
      <c r="AW157" s="71"/>
      <c r="AX157" s="71"/>
      <c r="AY157" s="71"/>
      <c r="AZ157" s="131">
        <f>VLOOKUP(Table7[[#This Row],[Vlookup Store '#]],'Kiosk Stickers'!A$4:$H$538,2,FALSE)</f>
        <v>0</v>
      </c>
      <c r="BA157" s="131"/>
      <c r="BB157" s="131"/>
      <c r="BC157" s="131"/>
      <c r="BD157" s="131"/>
      <c r="BE157" s="169"/>
      <c r="BF157" s="194"/>
      <c r="BG157" s="173"/>
      <c r="BH157" s="173"/>
      <c r="BI157" s="173"/>
      <c r="BJ157" s="173"/>
      <c r="BK157" s="173"/>
      <c r="BL157" s="173"/>
      <c r="BM157" s="173">
        <f>VLOOKUP(Table7[[#This Row],[Vlookup Store '#]],'Kiosk Stickers'!A$4:$H$538,3,FALSE)</f>
        <v>0</v>
      </c>
      <c r="BN157" s="215"/>
      <c r="BO157" s="199">
        <f>VLOOKUP(Table7[[#This Row],[Vlookup Store '#]],'Kiosk Stickers'!A$4:$H$538,4,FALSE)</f>
        <v>0</v>
      </c>
      <c r="BP157" s="171"/>
      <c r="BQ157" s="226"/>
      <c r="BR157" s="184">
        <f>VLOOKUP(Table7[[#This Row],[Vlookup Store '#]],'Kiosk Stickers'!A$4:$H$538,5,FALSE)</f>
        <v>0</v>
      </c>
      <c r="BS157" s="173"/>
      <c r="BT157" s="173"/>
      <c r="BU157" s="173"/>
      <c r="BV157" s="173"/>
      <c r="BW157" s="173"/>
      <c r="BX157" s="173"/>
      <c r="BY157" s="173"/>
      <c r="BZ157" s="215"/>
      <c r="CA157" s="244"/>
      <c r="CB157" s="233"/>
      <c r="CC157" s="233"/>
      <c r="CD157" s="233"/>
      <c r="CE157" s="233"/>
      <c r="CF157" s="233"/>
      <c r="CG157" s="239">
        <f>VLOOKUP(Table7[[#This Row],[Vlookup Store '#]],'Kiosk Stickers'!A$4:$H$538,6,FALSE)</f>
        <v>1</v>
      </c>
      <c r="CH157" s="262"/>
      <c r="CI157" s="351"/>
      <c r="CJ157" s="350"/>
      <c r="CK157" s="350"/>
      <c r="CL157" s="350"/>
      <c r="CM157" s="350"/>
      <c r="CN157" s="350"/>
      <c r="CO157" s="350"/>
      <c r="CP157" s="350">
        <v>2</v>
      </c>
      <c r="CQ157" s="364"/>
      <c r="CR157" s="370"/>
      <c r="CS157" s="367"/>
      <c r="CT157" s="367"/>
      <c r="CU157" s="367"/>
      <c r="CV157" s="367"/>
      <c r="CW157" s="387">
        <v>10</v>
      </c>
      <c r="CX157" s="398"/>
      <c r="CY157" s="399"/>
      <c r="CZ157" s="399"/>
      <c r="DA157" s="399"/>
      <c r="DB157" s="399"/>
      <c r="DC157" s="400"/>
      <c r="DD157" s="400"/>
      <c r="DE157" s="514">
        <v>1</v>
      </c>
      <c r="DF157" s="514">
        <f t="shared" si="2"/>
        <v>1</v>
      </c>
      <c r="DG157" s="144"/>
      <c r="DH157" s="143"/>
    </row>
    <row r="158" spans="1:112" x14ac:dyDescent="0.25">
      <c r="A158" s="15" t="s">
        <v>27</v>
      </c>
      <c r="B158" s="15">
        <v>804</v>
      </c>
      <c r="C158" s="15" t="s">
        <v>2501</v>
      </c>
      <c r="D158" s="15">
        <v>16</v>
      </c>
      <c r="E158" s="15" t="s">
        <v>2502</v>
      </c>
      <c r="F158" s="15" t="s">
        <v>3025</v>
      </c>
      <c r="G158" s="15" t="s">
        <v>2503</v>
      </c>
      <c r="H158" s="15" t="s">
        <v>2504</v>
      </c>
      <c r="I158" s="15" t="s">
        <v>32</v>
      </c>
      <c r="J158" s="15" t="s">
        <v>3066</v>
      </c>
      <c r="K158" s="15" t="s">
        <v>2505</v>
      </c>
      <c r="L158" s="15" t="s">
        <v>3766</v>
      </c>
      <c r="M158" s="15" t="s">
        <v>4011</v>
      </c>
      <c r="N158" s="70">
        <v>1500</v>
      </c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1">
        <v>10</v>
      </c>
      <c r="AH158" s="71"/>
      <c r="AI158" s="71"/>
      <c r="AJ158" s="71"/>
      <c r="AK158" s="71"/>
      <c r="AL158" s="71"/>
      <c r="AM158" s="71"/>
      <c r="AN158" s="71"/>
      <c r="AO158" s="71"/>
      <c r="AP158" s="71"/>
      <c r="AQ158" s="71"/>
      <c r="AR158" s="71"/>
      <c r="AS158" s="71"/>
      <c r="AT158" s="71"/>
      <c r="AU158" s="71"/>
      <c r="AV158" s="71"/>
      <c r="AW158" s="71"/>
      <c r="AX158" s="71"/>
      <c r="AY158" s="71"/>
      <c r="AZ158" s="131">
        <f>VLOOKUP(Table7[[#This Row],[Vlookup Store '#]],'Kiosk Stickers'!A$4:$H$538,2,FALSE)</f>
        <v>0</v>
      </c>
      <c r="BA158" s="131"/>
      <c r="BB158" s="131"/>
      <c r="BC158" s="131"/>
      <c r="BD158" s="131"/>
      <c r="BE158" s="169"/>
      <c r="BF158" s="194"/>
      <c r="BG158" s="173"/>
      <c r="BH158" s="173"/>
      <c r="BI158" s="173"/>
      <c r="BJ158" s="173"/>
      <c r="BK158" s="173"/>
      <c r="BL158" s="173"/>
      <c r="BM158" s="173">
        <f>VLOOKUP(Table7[[#This Row],[Vlookup Store '#]],'Kiosk Stickers'!A$4:$H$538,3,FALSE)</f>
        <v>0</v>
      </c>
      <c r="BN158" s="215"/>
      <c r="BO158" s="199">
        <f>VLOOKUP(Table7[[#This Row],[Vlookup Store '#]],'Kiosk Stickers'!A$4:$H$538,4,FALSE)</f>
        <v>0</v>
      </c>
      <c r="BP158" s="171"/>
      <c r="BQ158" s="226"/>
      <c r="BR158" s="194"/>
      <c r="BS158" s="173"/>
      <c r="BT158" s="173"/>
      <c r="BU158" s="173"/>
      <c r="BV158" s="173"/>
      <c r="BW158" s="173"/>
      <c r="BX158" s="173">
        <f>VLOOKUP(Table7[[#This Row],[Vlookup Store '#]],'Kiosk Stickers'!A$4:$H$538,5,FALSE)</f>
        <v>1</v>
      </c>
      <c r="BY158" s="173"/>
      <c r="BZ158" s="215"/>
      <c r="CA158" s="244"/>
      <c r="CB158" s="233"/>
      <c r="CC158" s="233"/>
      <c r="CD158" s="233"/>
      <c r="CE158" s="233"/>
      <c r="CF158" s="233"/>
      <c r="CG158" s="239"/>
      <c r="CH158" s="262"/>
      <c r="CI158" s="351"/>
      <c r="CJ158" s="350"/>
      <c r="CK158" s="350"/>
      <c r="CL158" s="350"/>
      <c r="CM158" s="350"/>
      <c r="CN158" s="350"/>
      <c r="CO158" s="350"/>
      <c r="CP158" s="350">
        <v>2</v>
      </c>
      <c r="CQ158" s="364"/>
      <c r="CR158" s="370"/>
      <c r="CS158" s="367"/>
      <c r="CT158" s="367"/>
      <c r="CU158" s="367"/>
      <c r="CV158" s="367"/>
      <c r="CW158" s="387">
        <v>10</v>
      </c>
      <c r="CX158" s="398"/>
      <c r="CY158" s="399"/>
      <c r="CZ158" s="399"/>
      <c r="DA158" s="399"/>
      <c r="DB158" s="399"/>
      <c r="DC158" s="400"/>
      <c r="DD158" s="400"/>
      <c r="DE158" s="514">
        <v>1</v>
      </c>
      <c r="DF158" s="514">
        <f t="shared" si="2"/>
        <v>1</v>
      </c>
      <c r="DG158" s="144"/>
      <c r="DH158" s="143"/>
    </row>
    <row r="159" spans="1:112" x14ac:dyDescent="0.25">
      <c r="A159" s="15" t="s">
        <v>27</v>
      </c>
      <c r="B159" s="15">
        <v>804</v>
      </c>
      <c r="C159" s="15" t="s">
        <v>2506</v>
      </c>
      <c r="D159" s="15">
        <v>17</v>
      </c>
      <c r="E159" s="15" t="s">
        <v>2507</v>
      </c>
      <c r="F159" s="15" t="s">
        <v>2963</v>
      </c>
      <c r="G159" s="15" t="s">
        <v>2509</v>
      </c>
      <c r="H159" s="15" t="s">
        <v>31</v>
      </c>
      <c r="I159" s="15" t="s">
        <v>32</v>
      </c>
      <c r="J159" s="15" t="s">
        <v>3067</v>
      </c>
      <c r="K159" s="15" t="s">
        <v>2510</v>
      </c>
      <c r="L159" s="15" t="s">
        <v>3766</v>
      </c>
      <c r="M159" s="15" t="s">
        <v>4011</v>
      </c>
      <c r="N159" s="70">
        <v>1500</v>
      </c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1">
        <v>10</v>
      </c>
      <c r="AH159" s="71"/>
      <c r="AI159" s="71"/>
      <c r="AJ159" s="71"/>
      <c r="AK159" s="71"/>
      <c r="AL159" s="71"/>
      <c r="AM159" s="71"/>
      <c r="AN159" s="71"/>
      <c r="AO159" s="71"/>
      <c r="AP159" s="71"/>
      <c r="AQ159" s="71"/>
      <c r="AR159" s="71"/>
      <c r="AS159" s="71"/>
      <c r="AT159" s="71"/>
      <c r="AU159" s="71"/>
      <c r="AV159" s="71"/>
      <c r="AW159" s="71"/>
      <c r="AX159" s="71"/>
      <c r="AY159" s="71"/>
      <c r="AZ159" s="131">
        <f>VLOOKUP(Table7[[#This Row],[Vlookup Store '#]],'Kiosk Stickers'!A$4:$H$538,2,FALSE)</f>
        <v>0</v>
      </c>
      <c r="BA159" s="131"/>
      <c r="BB159" s="131"/>
      <c r="BC159" s="131"/>
      <c r="BD159" s="131"/>
      <c r="BE159" s="169"/>
      <c r="BF159" s="194"/>
      <c r="BG159" s="173"/>
      <c r="BH159" s="173"/>
      <c r="BI159" s="173"/>
      <c r="BJ159" s="173"/>
      <c r="BK159" s="173"/>
      <c r="BL159" s="173"/>
      <c r="BM159" s="173">
        <f>VLOOKUP(Table7[[#This Row],[Vlookup Store '#]],'Kiosk Stickers'!A$4:$H$538,3,FALSE)</f>
        <v>0</v>
      </c>
      <c r="BN159" s="215"/>
      <c r="BO159" s="199">
        <f>VLOOKUP(Table7[[#This Row],[Vlookup Store '#]],'Kiosk Stickers'!A$4:$H$538,4,FALSE)</f>
        <v>0</v>
      </c>
      <c r="BP159" s="171"/>
      <c r="BQ159" s="226"/>
      <c r="BR159" s="184">
        <f>VLOOKUP(Table7[[#This Row],[Vlookup Store '#]],'Kiosk Stickers'!A$4:$H$538,5,FALSE)</f>
        <v>0</v>
      </c>
      <c r="BS159" s="173"/>
      <c r="BT159" s="173"/>
      <c r="BU159" s="173"/>
      <c r="BV159" s="173"/>
      <c r="BW159" s="173"/>
      <c r="BX159" s="173"/>
      <c r="BY159" s="173"/>
      <c r="BZ159" s="215"/>
      <c r="CA159" s="244"/>
      <c r="CB159" s="233"/>
      <c r="CC159" s="233"/>
      <c r="CD159" s="233"/>
      <c r="CE159" s="233"/>
      <c r="CF159" s="233"/>
      <c r="CG159" s="239">
        <f>VLOOKUP(Table7[[#This Row],[Vlookup Store '#]],'Kiosk Stickers'!A$4:$H$538,6,FALSE)</f>
        <v>1</v>
      </c>
      <c r="CH159" s="262"/>
      <c r="CI159" s="351"/>
      <c r="CJ159" s="350"/>
      <c r="CK159" s="350"/>
      <c r="CL159" s="350"/>
      <c r="CM159" s="350"/>
      <c r="CN159" s="350"/>
      <c r="CO159" s="350"/>
      <c r="CP159" s="350">
        <v>2</v>
      </c>
      <c r="CQ159" s="364"/>
      <c r="CR159" s="370"/>
      <c r="CS159" s="367"/>
      <c r="CT159" s="367"/>
      <c r="CU159" s="367"/>
      <c r="CV159" s="367"/>
      <c r="CW159" s="387">
        <v>10</v>
      </c>
      <c r="CX159" s="398"/>
      <c r="CY159" s="399"/>
      <c r="CZ159" s="399"/>
      <c r="DA159" s="399"/>
      <c r="DB159" s="399"/>
      <c r="DC159" s="400"/>
      <c r="DD159" s="400"/>
      <c r="DE159" s="514">
        <v>1</v>
      </c>
      <c r="DF159" s="514">
        <f t="shared" si="2"/>
        <v>1</v>
      </c>
      <c r="DG159" s="144"/>
      <c r="DH159" s="143"/>
    </row>
    <row r="160" spans="1:112" x14ac:dyDescent="0.25">
      <c r="A160" s="15" t="s">
        <v>27</v>
      </c>
      <c r="B160" s="15">
        <v>804</v>
      </c>
      <c r="C160" s="15" t="s">
        <v>2519</v>
      </c>
      <c r="D160" s="15">
        <v>20</v>
      </c>
      <c r="E160" s="15" t="s">
        <v>2520</v>
      </c>
      <c r="F160" s="15" t="s">
        <v>2989</v>
      </c>
      <c r="G160" s="15" t="s">
        <v>2522</v>
      </c>
      <c r="H160" s="15" t="s">
        <v>2386</v>
      </c>
      <c r="I160" s="15" t="s">
        <v>32</v>
      </c>
      <c r="J160" s="15" t="s">
        <v>3070</v>
      </c>
      <c r="K160" s="15" t="s">
        <v>2523</v>
      </c>
      <c r="L160" s="15" t="s">
        <v>3766</v>
      </c>
      <c r="M160" s="15" t="s">
        <v>4011</v>
      </c>
      <c r="N160" s="70">
        <v>1500</v>
      </c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1">
        <v>10</v>
      </c>
      <c r="AH160" s="71"/>
      <c r="AI160" s="71"/>
      <c r="AJ160" s="71"/>
      <c r="AK160" s="71"/>
      <c r="AL160" s="71"/>
      <c r="AM160" s="71"/>
      <c r="AN160" s="71"/>
      <c r="AO160" s="71"/>
      <c r="AP160" s="71"/>
      <c r="AQ160" s="71"/>
      <c r="AR160" s="71"/>
      <c r="AS160" s="71"/>
      <c r="AT160" s="71"/>
      <c r="AU160" s="71"/>
      <c r="AV160" s="71"/>
      <c r="AW160" s="71"/>
      <c r="AX160" s="71"/>
      <c r="AY160" s="71"/>
      <c r="AZ160" s="131">
        <f>VLOOKUP(Table7[[#This Row],[Vlookup Store '#]],'Kiosk Stickers'!A$4:$H$538,2,FALSE)</f>
        <v>0</v>
      </c>
      <c r="BA160" s="131"/>
      <c r="BB160" s="131"/>
      <c r="BC160" s="131"/>
      <c r="BD160" s="131"/>
      <c r="BE160" s="169"/>
      <c r="BF160" s="194"/>
      <c r="BG160" s="173"/>
      <c r="BH160" s="173"/>
      <c r="BI160" s="173"/>
      <c r="BJ160" s="173"/>
      <c r="BK160" s="173"/>
      <c r="BL160" s="173"/>
      <c r="BM160" s="173">
        <f>VLOOKUP(Table7[[#This Row],[Vlookup Store '#]],'Kiosk Stickers'!A$4:$H$538,3,FALSE)</f>
        <v>2</v>
      </c>
      <c r="BN160" s="215"/>
      <c r="BO160" s="199">
        <f>VLOOKUP(Table7[[#This Row],[Vlookup Store '#]],'Kiosk Stickers'!A$4:$H$538,4,FALSE)</f>
        <v>0</v>
      </c>
      <c r="BP160" s="171"/>
      <c r="BQ160" s="226"/>
      <c r="BR160" s="184">
        <f>VLOOKUP(Table7[[#This Row],[Vlookup Store '#]],'Kiosk Stickers'!A$4:$H$538,5,FALSE)</f>
        <v>0</v>
      </c>
      <c r="BS160" s="173"/>
      <c r="BT160" s="173"/>
      <c r="BU160" s="173"/>
      <c r="BV160" s="173"/>
      <c r="BW160" s="173"/>
      <c r="BX160" s="173"/>
      <c r="BY160" s="173"/>
      <c r="BZ160" s="215"/>
      <c r="CA160" s="243"/>
      <c r="CB160" s="233"/>
      <c r="CC160" s="233"/>
      <c r="CD160" s="233"/>
      <c r="CE160" s="233"/>
      <c r="CF160" s="233"/>
      <c r="CG160" s="233"/>
      <c r="CH160" s="262"/>
      <c r="CI160" s="351"/>
      <c r="CJ160" s="350"/>
      <c r="CK160" s="350"/>
      <c r="CL160" s="350"/>
      <c r="CM160" s="350"/>
      <c r="CN160" s="350"/>
      <c r="CO160" s="350"/>
      <c r="CP160" s="350">
        <v>2</v>
      </c>
      <c r="CQ160" s="364"/>
      <c r="CR160" s="370"/>
      <c r="CS160" s="367"/>
      <c r="CT160" s="367"/>
      <c r="CU160" s="367"/>
      <c r="CV160" s="367"/>
      <c r="CW160" s="387">
        <v>10</v>
      </c>
      <c r="CX160" s="398"/>
      <c r="CY160" s="399"/>
      <c r="CZ160" s="399"/>
      <c r="DA160" s="399"/>
      <c r="DB160" s="399"/>
      <c r="DC160" s="400"/>
      <c r="DD160" s="400"/>
      <c r="DE160" s="514">
        <v>1</v>
      </c>
      <c r="DF160" s="514">
        <f t="shared" si="2"/>
        <v>1</v>
      </c>
      <c r="DG160" s="144"/>
      <c r="DH160" s="143"/>
    </row>
    <row r="161" spans="1:112" x14ac:dyDescent="0.25">
      <c r="A161" s="15" t="s">
        <v>27</v>
      </c>
      <c r="B161" s="15">
        <v>804</v>
      </c>
      <c r="C161" s="15" t="s">
        <v>2564</v>
      </c>
      <c r="D161" s="15">
        <v>29</v>
      </c>
      <c r="E161" s="15" t="s">
        <v>2565</v>
      </c>
      <c r="F161" s="15" t="s">
        <v>2566</v>
      </c>
      <c r="G161" s="15" t="s">
        <v>2567</v>
      </c>
      <c r="H161" s="15" t="s">
        <v>2504</v>
      </c>
      <c r="I161" s="15" t="s">
        <v>32</v>
      </c>
      <c r="J161" s="15" t="s">
        <v>3079</v>
      </c>
      <c r="K161" s="15" t="s">
        <v>2568</v>
      </c>
      <c r="L161" s="15" t="s">
        <v>3766</v>
      </c>
      <c r="M161" s="15" t="s">
        <v>4011</v>
      </c>
      <c r="N161" s="70">
        <v>1500</v>
      </c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1">
        <v>10</v>
      </c>
      <c r="AH161" s="71"/>
      <c r="AI161" s="71"/>
      <c r="AJ161" s="71"/>
      <c r="AK161" s="71"/>
      <c r="AL161" s="71"/>
      <c r="AM161" s="71"/>
      <c r="AN161" s="71"/>
      <c r="AO161" s="71"/>
      <c r="AP161" s="71"/>
      <c r="AQ161" s="71"/>
      <c r="AR161" s="71"/>
      <c r="AS161" s="71"/>
      <c r="AT161" s="71"/>
      <c r="AU161" s="71"/>
      <c r="AV161" s="71"/>
      <c r="AW161" s="71"/>
      <c r="AX161" s="71"/>
      <c r="AY161" s="71"/>
      <c r="AZ161" s="131">
        <f>VLOOKUP(Table7[[#This Row],[Vlookup Store '#]],'Kiosk Stickers'!A$4:$H$538,2,FALSE)</f>
        <v>0</v>
      </c>
      <c r="BA161" s="131"/>
      <c r="BB161" s="131"/>
      <c r="BC161" s="131"/>
      <c r="BD161" s="131"/>
      <c r="BE161" s="169"/>
      <c r="BF161" s="194"/>
      <c r="BG161" s="173"/>
      <c r="BH161" s="173"/>
      <c r="BI161" s="173"/>
      <c r="BJ161" s="173"/>
      <c r="BK161" s="173"/>
      <c r="BL161" s="173"/>
      <c r="BM161" s="173">
        <f>VLOOKUP(Table7[[#This Row],[Vlookup Store '#]],'Kiosk Stickers'!A$4:$H$538,3,FALSE)</f>
        <v>1</v>
      </c>
      <c r="BN161" s="215"/>
      <c r="BO161" s="199">
        <f>VLOOKUP(Table7[[#This Row],[Vlookup Store '#]],'Kiosk Stickers'!A$4:$H$538,4,FALSE)</f>
        <v>0</v>
      </c>
      <c r="BP161" s="171"/>
      <c r="BQ161" s="226"/>
      <c r="BR161" s="184">
        <f>VLOOKUP(Table7[[#This Row],[Vlookup Store '#]],'Kiosk Stickers'!A$4:$H$538,5,FALSE)</f>
        <v>0</v>
      </c>
      <c r="BS161" s="173"/>
      <c r="BT161" s="173"/>
      <c r="BU161" s="173"/>
      <c r="BV161" s="173"/>
      <c r="BW161" s="173"/>
      <c r="BX161" s="173"/>
      <c r="BY161" s="173"/>
      <c r="BZ161" s="215"/>
      <c r="CA161" s="243"/>
      <c r="CB161" s="233"/>
      <c r="CC161" s="233"/>
      <c r="CD161" s="233"/>
      <c r="CE161" s="233"/>
      <c r="CF161" s="233"/>
      <c r="CG161" s="233"/>
      <c r="CH161" s="262"/>
      <c r="CI161" s="351"/>
      <c r="CJ161" s="350"/>
      <c r="CK161" s="350"/>
      <c r="CL161" s="350"/>
      <c r="CM161" s="350"/>
      <c r="CN161" s="350"/>
      <c r="CO161" s="350"/>
      <c r="CP161" s="350">
        <v>2</v>
      </c>
      <c r="CQ161" s="364"/>
      <c r="CR161" s="370"/>
      <c r="CS161" s="367"/>
      <c r="CT161" s="367"/>
      <c r="CU161" s="367"/>
      <c r="CV161" s="367"/>
      <c r="CW161" s="387">
        <v>10</v>
      </c>
      <c r="CX161" s="398"/>
      <c r="CY161" s="399"/>
      <c r="CZ161" s="399"/>
      <c r="DA161" s="399"/>
      <c r="DB161" s="399"/>
      <c r="DC161" s="400"/>
      <c r="DD161" s="400"/>
      <c r="DE161" s="514">
        <v>1</v>
      </c>
      <c r="DF161" s="514">
        <f t="shared" si="2"/>
        <v>1</v>
      </c>
      <c r="DG161" s="144"/>
      <c r="DH161" s="143"/>
    </row>
    <row r="162" spans="1:112" x14ac:dyDescent="0.25">
      <c r="A162" s="15" t="s">
        <v>27</v>
      </c>
      <c r="B162" s="15">
        <v>805</v>
      </c>
      <c r="C162" s="15" t="s">
        <v>2586</v>
      </c>
      <c r="D162" s="15">
        <v>150</v>
      </c>
      <c r="E162" s="15" t="s">
        <v>2587</v>
      </c>
      <c r="F162" s="15" t="s">
        <v>2992</v>
      </c>
      <c r="G162" s="15" t="s">
        <v>2588</v>
      </c>
      <c r="H162" s="15" t="s">
        <v>31</v>
      </c>
      <c r="I162" s="15" t="s">
        <v>32</v>
      </c>
      <c r="J162" s="15" t="s">
        <v>3087</v>
      </c>
      <c r="K162" s="15" t="s">
        <v>2589</v>
      </c>
      <c r="L162" s="15" t="s">
        <v>3766</v>
      </c>
      <c r="M162" s="15" t="s">
        <v>4011</v>
      </c>
      <c r="N162" s="70">
        <v>1500</v>
      </c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1">
        <v>10</v>
      </c>
      <c r="AH162" s="71"/>
      <c r="AI162" s="71"/>
      <c r="AJ162" s="71"/>
      <c r="AK162" s="71"/>
      <c r="AL162" s="71"/>
      <c r="AM162" s="71"/>
      <c r="AN162" s="71"/>
      <c r="AO162" s="71"/>
      <c r="AP162" s="71"/>
      <c r="AQ162" s="71"/>
      <c r="AR162" s="71"/>
      <c r="AS162" s="71"/>
      <c r="AT162" s="71"/>
      <c r="AU162" s="71"/>
      <c r="AV162" s="71"/>
      <c r="AW162" s="71"/>
      <c r="AX162" s="71"/>
      <c r="AY162" s="71"/>
      <c r="AZ162" s="131">
        <f>VLOOKUP(Table7[[#This Row],[Vlookup Store '#]],'Kiosk Stickers'!A$4:$H$538,2,FALSE)</f>
        <v>0</v>
      </c>
      <c r="BA162" s="131"/>
      <c r="BB162" s="131"/>
      <c r="BC162" s="131"/>
      <c r="BD162" s="131"/>
      <c r="BE162" s="169"/>
      <c r="BF162" s="194"/>
      <c r="BG162" s="173"/>
      <c r="BH162" s="173"/>
      <c r="BI162" s="173"/>
      <c r="BJ162" s="173"/>
      <c r="BK162" s="173"/>
      <c r="BL162" s="173"/>
      <c r="BM162" s="173">
        <f>VLOOKUP(Table7[[#This Row],[Vlookup Store '#]],'Kiosk Stickers'!A$4:$H$538,3,FALSE)</f>
        <v>2</v>
      </c>
      <c r="BN162" s="215"/>
      <c r="BO162" s="199">
        <f>VLOOKUP(Table7[[#This Row],[Vlookup Store '#]],'Kiosk Stickers'!A$4:$H$538,4,FALSE)</f>
        <v>0</v>
      </c>
      <c r="BP162" s="171"/>
      <c r="BQ162" s="226"/>
      <c r="BR162" s="184">
        <f>VLOOKUP(Table7[[#This Row],[Vlookup Store '#]],'Kiosk Stickers'!A$4:$H$538,5,FALSE)</f>
        <v>0</v>
      </c>
      <c r="BS162" s="173"/>
      <c r="BT162" s="173"/>
      <c r="BU162" s="173"/>
      <c r="BV162" s="173"/>
      <c r="BW162" s="173"/>
      <c r="BX162" s="173"/>
      <c r="BY162" s="173"/>
      <c r="BZ162" s="215"/>
      <c r="CA162" s="243"/>
      <c r="CB162" s="233"/>
      <c r="CC162" s="233"/>
      <c r="CD162" s="233"/>
      <c r="CE162" s="233"/>
      <c r="CF162" s="233"/>
      <c r="CG162" s="233"/>
      <c r="CH162" s="262"/>
      <c r="CI162" s="351"/>
      <c r="CJ162" s="350"/>
      <c r="CK162" s="350"/>
      <c r="CL162" s="350"/>
      <c r="CM162" s="350"/>
      <c r="CN162" s="350"/>
      <c r="CO162" s="350"/>
      <c r="CP162" s="350">
        <v>2</v>
      </c>
      <c r="CQ162" s="364"/>
      <c r="CR162" s="370"/>
      <c r="CS162" s="367"/>
      <c r="CT162" s="367"/>
      <c r="CU162" s="367"/>
      <c r="CV162" s="367"/>
      <c r="CW162" s="387">
        <v>10</v>
      </c>
      <c r="CX162" s="398"/>
      <c r="CY162" s="399"/>
      <c r="CZ162" s="399"/>
      <c r="DA162" s="399"/>
      <c r="DB162" s="399"/>
      <c r="DC162" s="400"/>
      <c r="DD162" s="400"/>
      <c r="DE162" s="514">
        <v>1</v>
      </c>
      <c r="DF162" s="514">
        <f t="shared" si="2"/>
        <v>1</v>
      </c>
      <c r="DG162" s="144"/>
      <c r="DH162" s="143"/>
    </row>
    <row r="163" spans="1:112" x14ac:dyDescent="0.25">
      <c r="A163" s="15" t="s">
        <v>27</v>
      </c>
      <c r="B163" s="15">
        <v>804</v>
      </c>
      <c r="C163" s="15" t="s">
        <v>3374</v>
      </c>
      <c r="D163" s="15">
        <v>1102</v>
      </c>
      <c r="E163" s="15" t="s">
        <v>2379</v>
      </c>
      <c r="F163" s="15" t="s">
        <v>2498</v>
      </c>
      <c r="G163" s="15" t="s">
        <v>2380</v>
      </c>
      <c r="H163" s="15" t="s">
        <v>2381</v>
      </c>
      <c r="I163" s="15" t="s">
        <v>32</v>
      </c>
      <c r="J163" s="15" t="s">
        <v>3072</v>
      </c>
      <c r="K163" s="15" t="s">
        <v>2382</v>
      </c>
      <c r="L163" s="15" t="s">
        <v>3766</v>
      </c>
      <c r="M163" s="15" t="s">
        <v>4011</v>
      </c>
      <c r="N163" s="70">
        <v>1500</v>
      </c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1">
        <v>10</v>
      </c>
      <c r="AH163" s="71"/>
      <c r="AI163" s="71"/>
      <c r="AJ163" s="71"/>
      <c r="AK163" s="71"/>
      <c r="AL163" s="71"/>
      <c r="AM163" s="71"/>
      <c r="AN163" s="71"/>
      <c r="AO163" s="71"/>
      <c r="AP163" s="71"/>
      <c r="AQ163" s="71"/>
      <c r="AR163" s="71"/>
      <c r="AS163" s="71"/>
      <c r="AT163" s="71"/>
      <c r="AU163" s="71"/>
      <c r="AV163" s="71"/>
      <c r="AW163" s="71"/>
      <c r="AX163" s="71"/>
      <c r="AY163" s="71"/>
      <c r="AZ163" s="131">
        <f>VLOOKUP(Table7[[#This Row],[Vlookup Store '#]],'Kiosk Stickers'!A$4:$H$538,2,FALSE)</f>
        <v>0</v>
      </c>
      <c r="BA163" s="131"/>
      <c r="BB163" s="131"/>
      <c r="BC163" s="131"/>
      <c r="BD163" s="131"/>
      <c r="BE163" s="169"/>
      <c r="BF163" s="194"/>
      <c r="BG163" s="173"/>
      <c r="BH163" s="173"/>
      <c r="BI163" s="173"/>
      <c r="BJ163" s="173"/>
      <c r="BK163" s="173"/>
      <c r="BL163" s="173"/>
      <c r="BM163" s="173">
        <f>VLOOKUP(Table7[[#This Row],[Vlookup Store '#]],'Kiosk Stickers'!A$4:$H$538,3,FALSE)</f>
        <v>2</v>
      </c>
      <c r="BN163" s="215"/>
      <c r="BO163" s="199">
        <f>VLOOKUP(Table7[[#This Row],[Vlookup Store '#]],'Kiosk Stickers'!A$4:$H$538,4,FALSE)</f>
        <v>0</v>
      </c>
      <c r="BP163" s="171"/>
      <c r="BQ163" s="226"/>
      <c r="BR163" s="184">
        <f>VLOOKUP(Table7[[#This Row],[Vlookup Store '#]],'Kiosk Stickers'!A$4:$H$538,5,FALSE)</f>
        <v>0</v>
      </c>
      <c r="BS163" s="173"/>
      <c r="BT163" s="173"/>
      <c r="BU163" s="173"/>
      <c r="BV163" s="173"/>
      <c r="BW163" s="173"/>
      <c r="BX163" s="173"/>
      <c r="BY163" s="173"/>
      <c r="BZ163" s="215"/>
      <c r="CA163" s="243"/>
      <c r="CB163" s="233"/>
      <c r="CC163" s="233"/>
      <c r="CD163" s="233"/>
      <c r="CE163" s="233"/>
      <c r="CF163" s="233"/>
      <c r="CG163" s="233"/>
      <c r="CH163" s="262"/>
      <c r="CI163" s="351"/>
      <c r="CJ163" s="350"/>
      <c r="CK163" s="350"/>
      <c r="CL163" s="350"/>
      <c r="CM163" s="350"/>
      <c r="CN163" s="350"/>
      <c r="CO163" s="350"/>
      <c r="CP163" s="350">
        <v>2</v>
      </c>
      <c r="CQ163" s="364"/>
      <c r="CR163" s="370"/>
      <c r="CS163" s="367"/>
      <c r="CT163" s="367"/>
      <c r="CU163" s="367"/>
      <c r="CV163" s="367"/>
      <c r="CW163" s="387">
        <v>10</v>
      </c>
      <c r="CX163" s="398"/>
      <c r="CY163" s="399"/>
      <c r="CZ163" s="399"/>
      <c r="DA163" s="399"/>
      <c r="DB163" s="399"/>
      <c r="DC163" s="400"/>
      <c r="DD163" s="400"/>
      <c r="DE163" s="514">
        <v>1</v>
      </c>
      <c r="DF163" s="514">
        <f t="shared" si="2"/>
        <v>1</v>
      </c>
      <c r="DG163" s="144"/>
      <c r="DH163" s="143"/>
    </row>
    <row r="164" spans="1:112" x14ac:dyDescent="0.25">
      <c r="A164" s="15" t="s">
        <v>27</v>
      </c>
      <c r="B164" s="15">
        <v>804</v>
      </c>
      <c r="C164" s="15" t="s">
        <v>3383</v>
      </c>
      <c r="D164" s="15">
        <v>1109</v>
      </c>
      <c r="E164" s="15" t="s">
        <v>2401</v>
      </c>
      <c r="F164" s="15" t="s">
        <v>2402</v>
      </c>
      <c r="G164" s="15" t="s">
        <v>2403</v>
      </c>
      <c r="H164" s="15" t="s">
        <v>31</v>
      </c>
      <c r="I164" s="15" t="s">
        <v>32</v>
      </c>
      <c r="J164" s="15" t="s">
        <v>3067</v>
      </c>
      <c r="K164" s="15" t="s">
        <v>2404</v>
      </c>
      <c r="L164" s="15" t="s">
        <v>3766</v>
      </c>
      <c r="M164" s="15" t="s">
        <v>4011</v>
      </c>
      <c r="N164" s="70">
        <v>1500</v>
      </c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1">
        <v>10</v>
      </c>
      <c r="AH164" s="71"/>
      <c r="AI164" s="71"/>
      <c r="AJ164" s="71"/>
      <c r="AK164" s="71"/>
      <c r="AL164" s="71"/>
      <c r="AM164" s="71"/>
      <c r="AN164" s="71"/>
      <c r="AO164" s="71"/>
      <c r="AP164" s="71"/>
      <c r="AQ164" s="71"/>
      <c r="AR164" s="71"/>
      <c r="AS164" s="71"/>
      <c r="AT164" s="71"/>
      <c r="AU164" s="71"/>
      <c r="AV164" s="71"/>
      <c r="AW164" s="71"/>
      <c r="AX164" s="71"/>
      <c r="AY164" s="71"/>
      <c r="AZ164" s="131">
        <f>VLOOKUP(Table7[[#This Row],[Vlookup Store '#]],'Kiosk Stickers'!A$4:$H$538,2,FALSE)</f>
        <v>0</v>
      </c>
      <c r="BA164" s="131"/>
      <c r="BB164" s="131"/>
      <c r="BC164" s="131"/>
      <c r="BD164" s="131"/>
      <c r="BE164" s="169"/>
      <c r="BF164" s="194"/>
      <c r="BG164" s="173"/>
      <c r="BH164" s="173"/>
      <c r="BI164" s="173"/>
      <c r="BJ164" s="173"/>
      <c r="BK164" s="173"/>
      <c r="BL164" s="173"/>
      <c r="BM164" s="173">
        <f>VLOOKUP(Table7[[#This Row],[Vlookup Store '#]],'Kiosk Stickers'!A$4:$H$538,3,FALSE)</f>
        <v>2</v>
      </c>
      <c r="BN164" s="215"/>
      <c r="BO164" s="199">
        <f>VLOOKUP(Table7[[#This Row],[Vlookup Store '#]],'Kiosk Stickers'!A$4:$H$538,4,FALSE)</f>
        <v>0</v>
      </c>
      <c r="BP164" s="171"/>
      <c r="BQ164" s="226"/>
      <c r="BR164" s="184">
        <f>VLOOKUP(Table7[[#This Row],[Vlookup Store '#]],'Kiosk Stickers'!A$4:$H$538,5,FALSE)</f>
        <v>0</v>
      </c>
      <c r="BS164" s="173"/>
      <c r="BT164" s="173"/>
      <c r="BU164" s="173"/>
      <c r="BV164" s="173"/>
      <c r="BW164" s="173"/>
      <c r="BX164" s="173"/>
      <c r="BY164" s="173"/>
      <c r="BZ164" s="215"/>
      <c r="CA164" s="243"/>
      <c r="CB164" s="233"/>
      <c r="CC164" s="233"/>
      <c r="CD164" s="233"/>
      <c r="CE164" s="233"/>
      <c r="CF164" s="233"/>
      <c r="CG164" s="233"/>
      <c r="CH164" s="262"/>
      <c r="CI164" s="351"/>
      <c r="CJ164" s="350"/>
      <c r="CK164" s="350"/>
      <c r="CL164" s="350"/>
      <c r="CM164" s="350"/>
      <c r="CN164" s="350"/>
      <c r="CO164" s="350"/>
      <c r="CP164" s="350">
        <v>2</v>
      </c>
      <c r="CQ164" s="364"/>
      <c r="CR164" s="370"/>
      <c r="CS164" s="367"/>
      <c r="CT164" s="367"/>
      <c r="CU164" s="367"/>
      <c r="CV164" s="367"/>
      <c r="CW164" s="387">
        <v>10</v>
      </c>
      <c r="CX164" s="398"/>
      <c r="CY164" s="399"/>
      <c r="CZ164" s="399"/>
      <c r="DA164" s="399"/>
      <c r="DB164" s="399"/>
      <c r="DC164" s="400"/>
      <c r="DD164" s="400"/>
      <c r="DE164" s="514">
        <v>1</v>
      </c>
      <c r="DF164" s="514">
        <f t="shared" si="2"/>
        <v>1</v>
      </c>
      <c r="DG164" s="144"/>
      <c r="DH164" s="143"/>
    </row>
    <row r="165" spans="1:112" x14ac:dyDescent="0.25">
      <c r="A165" s="15" t="s">
        <v>27</v>
      </c>
      <c r="B165" s="15">
        <v>804</v>
      </c>
      <c r="C165" s="15" t="s">
        <v>3386</v>
      </c>
      <c r="D165" s="15">
        <v>1111</v>
      </c>
      <c r="E165" s="15" t="s">
        <v>2409</v>
      </c>
      <c r="F165" s="15" t="s">
        <v>2410</v>
      </c>
      <c r="G165" s="15" t="s">
        <v>2411</v>
      </c>
      <c r="H165" s="15" t="s">
        <v>2386</v>
      </c>
      <c r="I165" s="15" t="s">
        <v>32</v>
      </c>
      <c r="J165" s="15" t="s">
        <v>3387</v>
      </c>
      <c r="K165" s="15" t="s">
        <v>2412</v>
      </c>
      <c r="L165" s="15" t="s">
        <v>3766</v>
      </c>
      <c r="M165" s="15" t="s">
        <v>4011</v>
      </c>
      <c r="N165" s="70">
        <v>1500</v>
      </c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1">
        <v>10</v>
      </c>
      <c r="AH165" s="71"/>
      <c r="AI165" s="71"/>
      <c r="AJ165" s="71"/>
      <c r="AK165" s="71"/>
      <c r="AL165" s="71"/>
      <c r="AM165" s="71"/>
      <c r="AN165" s="71"/>
      <c r="AO165" s="71"/>
      <c r="AP165" s="71"/>
      <c r="AQ165" s="71"/>
      <c r="AR165" s="71"/>
      <c r="AS165" s="71"/>
      <c r="AT165" s="71"/>
      <c r="AU165" s="71"/>
      <c r="AV165" s="71"/>
      <c r="AW165" s="71"/>
      <c r="AX165" s="71"/>
      <c r="AY165" s="71"/>
      <c r="AZ165" s="131">
        <f>VLOOKUP(Table7[[#This Row],[Vlookup Store '#]],'Kiosk Stickers'!A$4:$H$538,2,FALSE)</f>
        <v>2</v>
      </c>
      <c r="BA165" s="131"/>
      <c r="BB165" s="131"/>
      <c r="BC165" s="131"/>
      <c r="BD165" s="131"/>
      <c r="BE165" s="169"/>
      <c r="BF165" s="194"/>
      <c r="BG165" s="173"/>
      <c r="BH165" s="173"/>
      <c r="BI165" s="173"/>
      <c r="BJ165" s="173"/>
      <c r="BK165" s="173"/>
      <c r="BL165" s="173"/>
      <c r="BM165" s="173">
        <f>VLOOKUP(Table7[[#This Row],[Vlookup Store '#]],'Kiosk Stickers'!A$4:$H$538,3,FALSE)</f>
        <v>1</v>
      </c>
      <c r="BN165" s="215"/>
      <c r="BO165" s="199">
        <f>VLOOKUP(Table7[[#This Row],[Vlookup Store '#]],'Kiosk Stickers'!A$4:$H$538,4,FALSE)</f>
        <v>0</v>
      </c>
      <c r="BP165" s="171"/>
      <c r="BQ165" s="226"/>
      <c r="BR165" s="184">
        <f>VLOOKUP(Table7[[#This Row],[Vlookup Store '#]],'Kiosk Stickers'!A$4:$H$538,5,FALSE)</f>
        <v>0</v>
      </c>
      <c r="BS165" s="173"/>
      <c r="BT165" s="173"/>
      <c r="BU165" s="173"/>
      <c r="BV165" s="173"/>
      <c r="BW165" s="173"/>
      <c r="BX165" s="173"/>
      <c r="BY165" s="173"/>
      <c r="BZ165" s="215"/>
      <c r="CA165" s="243"/>
      <c r="CB165" s="233"/>
      <c r="CC165" s="233"/>
      <c r="CD165" s="233"/>
      <c r="CE165" s="233"/>
      <c r="CF165" s="233"/>
      <c r="CG165" s="233"/>
      <c r="CH165" s="262"/>
      <c r="CI165" s="351"/>
      <c r="CJ165" s="350"/>
      <c r="CK165" s="350"/>
      <c r="CL165" s="350"/>
      <c r="CM165" s="350"/>
      <c r="CN165" s="350"/>
      <c r="CO165" s="350"/>
      <c r="CP165" s="350">
        <v>2</v>
      </c>
      <c r="CQ165" s="364"/>
      <c r="CR165" s="370"/>
      <c r="CS165" s="367"/>
      <c r="CT165" s="367"/>
      <c r="CU165" s="367"/>
      <c r="CV165" s="367"/>
      <c r="CW165" s="387">
        <v>10</v>
      </c>
      <c r="CX165" s="398"/>
      <c r="CY165" s="399"/>
      <c r="CZ165" s="399"/>
      <c r="DA165" s="399"/>
      <c r="DB165" s="399"/>
      <c r="DC165" s="400"/>
      <c r="DD165" s="400"/>
      <c r="DE165" s="514">
        <v>1</v>
      </c>
      <c r="DF165" s="514">
        <f t="shared" si="2"/>
        <v>1</v>
      </c>
      <c r="DG165" s="144"/>
      <c r="DH165" s="143"/>
    </row>
    <row r="166" spans="1:112" x14ac:dyDescent="0.25">
      <c r="A166" s="15" t="s">
        <v>27</v>
      </c>
      <c r="B166" s="15">
        <v>804</v>
      </c>
      <c r="C166" s="15" t="s">
        <v>3388</v>
      </c>
      <c r="D166" s="15">
        <v>1112</v>
      </c>
      <c r="E166" s="15" t="s">
        <v>2413</v>
      </c>
      <c r="F166" s="15" t="s">
        <v>2414</v>
      </c>
      <c r="G166" s="15" t="s">
        <v>2415</v>
      </c>
      <c r="H166" s="15" t="s">
        <v>2416</v>
      </c>
      <c r="I166" s="15" t="s">
        <v>32</v>
      </c>
      <c r="J166" s="15" t="s">
        <v>3389</v>
      </c>
      <c r="K166" s="15" t="s">
        <v>2417</v>
      </c>
      <c r="L166" s="15" t="s">
        <v>3766</v>
      </c>
      <c r="M166" s="15" t="s">
        <v>4011</v>
      </c>
      <c r="N166" s="70">
        <v>1500</v>
      </c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1">
        <v>10</v>
      </c>
      <c r="AH166" s="71"/>
      <c r="AI166" s="71"/>
      <c r="AJ166" s="71"/>
      <c r="AK166" s="71"/>
      <c r="AL166" s="71"/>
      <c r="AM166" s="71"/>
      <c r="AN166" s="71"/>
      <c r="AO166" s="71"/>
      <c r="AP166" s="71"/>
      <c r="AQ166" s="71"/>
      <c r="AR166" s="71"/>
      <c r="AS166" s="71"/>
      <c r="AT166" s="71"/>
      <c r="AU166" s="71"/>
      <c r="AV166" s="71"/>
      <c r="AW166" s="71"/>
      <c r="AX166" s="71"/>
      <c r="AY166" s="71"/>
      <c r="AZ166" s="131">
        <f>VLOOKUP(Table7[[#This Row],[Vlookup Store '#]],'Kiosk Stickers'!A$4:$H$538,2,FALSE)</f>
        <v>2</v>
      </c>
      <c r="BA166" s="131"/>
      <c r="BB166" s="131"/>
      <c r="BC166" s="131"/>
      <c r="BD166" s="131"/>
      <c r="BE166" s="169"/>
      <c r="BF166" s="184">
        <f>VLOOKUP(Table7[[#This Row],[Vlookup Store '#]],'Kiosk Stickers'!A$4:$H$538,3,FALSE)</f>
        <v>0</v>
      </c>
      <c r="BG166" s="173"/>
      <c r="BH166" s="173"/>
      <c r="BI166" s="173"/>
      <c r="BJ166" s="173"/>
      <c r="BK166" s="173"/>
      <c r="BL166" s="173"/>
      <c r="BM166" s="173"/>
      <c r="BN166" s="215"/>
      <c r="BO166" s="199">
        <f>VLOOKUP(Table7[[#This Row],[Vlookup Store '#]],'Kiosk Stickers'!A$4:$H$538,4,FALSE)</f>
        <v>0</v>
      </c>
      <c r="BP166" s="171"/>
      <c r="BQ166" s="226"/>
      <c r="BR166" s="184">
        <f>VLOOKUP(Table7[[#This Row],[Vlookup Store '#]],'Kiosk Stickers'!A$4:$H$538,5,FALSE)</f>
        <v>0</v>
      </c>
      <c r="BS166" s="173"/>
      <c r="BT166" s="173"/>
      <c r="BU166" s="173"/>
      <c r="BV166" s="173"/>
      <c r="BW166" s="173"/>
      <c r="BX166" s="173"/>
      <c r="BY166" s="173"/>
      <c r="BZ166" s="215"/>
      <c r="CA166" s="243"/>
      <c r="CB166" s="233"/>
      <c r="CC166" s="233"/>
      <c r="CD166" s="233"/>
      <c r="CE166" s="233"/>
      <c r="CF166" s="233"/>
      <c r="CG166" s="233"/>
      <c r="CH166" s="262"/>
      <c r="CI166" s="351"/>
      <c r="CJ166" s="350"/>
      <c r="CK166" s="350"/>
      <c r="CL166" s="350"/>
      <c r="CM166" s="350"/>
      <c r="CN166" s="350"/>
      <c r="CO166" s="350"/>
      <c r="CP166" s="350">
        <v>2</v>
      </c>
      <c r="CQ166" s="364"/>
      <c r="CR166" s="370"/>
      <c r="CS166" s="367"/>
      <c r="CT166" s="367"/>
      <c r="CU166" s="367"/>
      <c r="CV166" s="367"/>
      <c r="CW166" s="387">
        <v>10</v>
      </c>
      <c r="CX166" s="398"/>
      <c r="CY166" s="399"/>
      <c r="CZ166" s="399"/>
      <c r="DA166" s="399"/>
      <c r="DB166" s="399"/>
      <c r="DC166" s="400"/>
      <c r="DD166" s="400"/>
      <c r="DE166" s="514">
        <v>1</v>
      </c>
      <c r="DF166" s="514">
        <f t="shared" si="2"/>
        <v>1</v>
      </c>
      <c r="DG166" s="144"/>
      <c r="DH166" s="143"/>
    </row>
    <row r="167" spans="1:112" x14ac:dyDescent="0.25">
      <c r="A167" s="15" t="s">
        <v>27</v>
      </c>
      <c r="B167" s="15">
        <v>804</v>
      </c>
      <c r="C167" s="15" t="s">
        <v>3390</v>
      </c>
      <c r="D167" s="15">
        <v>1113</v>
      </c>
      <c r="E167" s="15" t="s">
        <v>2418</v>
      </c>
      <c r="F167" s="15" t="s">
        <v>2419</v>
      </c>
      <c r="G167" s="15" t="s">
        <v>2420</v>
      </c>
      <c r="H167" s="15" t="s">
        <v>2416</v>
      </c>
      <c r="I167" s="15" t="s">
        <v>32</v>
      </c>
      <c r="J167" s="15" t="s">
        <v>3389</v>
      </c>
      <c r="K167" s="15" t="s">
        <v>2421</v>
      </c>
      <c r="L167" s="15" t="s">
        <v>3766</v>
      </c>
      <c r="M167" s="15" t="s">
        <v>4011</v>
      </c>
      <c r="N167" s="70">
        <v>1500</v>
      </c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1">
        <v>10</v>
      </c>
      <c r="AH167" s="71"/>
      <c r="AI167" s="71"/>
      <c r="AJ167" s="71"/>
      <c r="AK167" s="71"/>
      <c r="AL167" s="71"/>
      <c r="AM167" s="71"/>
      <c r="AN167" s="71"/>
      <c r="AO167" s="71"/>
      <c r="AP167" s="71"/>
      <c r="AQ167" s="71"/>
      <c r="AR167" s="71"/>
      <c r="AS167" s="71"/>
      <c r="AT167" s="71"/>
      <c r="AU167" s="71"/>
      <c r="AV167" s="71"/>
      <c r="AW167" s="71"/>
      <c r="AX167" s="71"/>
      <c r="AY167" s="71"/>
      <c r="AZ167" s="131">
        <f>VLOOKUP(Table7[[#This Row],[Vlookup Store '#]],'Kiosk Stickers'!A$4:$H$538,2,FALSE)</f>
        <v>2</v>
      </c>
      <c r="BA167" s="131"/>
      <c r="BB167" s="131"/>
      <c r="BC167" s="131"/>
      <c r="BD167" s="131"/>
      <c r="BE167" s="169"/>
      <c r="BF167" s="184">
        <f>VLOOKUP(Table7[[#This Row],[Vlookup Store '#]],'Kiosk Stickers'!A$4:$H$538,3,FALSE)</f>
        <v>0</v>
      </c>
      <c r="BG167" s="173"/>
      <c r="BH167" s="173"/>
      <c r="BI167" s="173"/>
      <c r="BJ167" s="173"/>
      <c r="BK167" s="173"/>
      <c r="BL167" s="173"/>
      <c r="BM167" s="173"/>
      <c r="BN167" s="215"/>
      <c r="BO167" s="199">
        <f>VLOOKUP(Table7[[#This Row],[Vlookup Store '#]],'Kiosk Stickers'!A$4:$H$538,4,FALSE)</f>
        <v>0</v>
      </c>
      <c r="BP167" s="171"/>
      <c r="BQ167" s="226"/>
      <c r="BR167" s="184">
        <f>VLOOKUP(Table7[[#This Row],[Vlookup Store '#]],'Kiosk Stickers'!A$4:$H$538,5,FALSE)</f>
        <v>0</v>
      </c>
      <c r="BS167" s="173"/>
      <c r="BT167" s="173"/>
      <c r="BU167" s="173"/>
      <c r="BV167" s="173"/>
      <c r="BW167" s="173"/>
      <c r="BX167" s="173"/>
      <c r="BY167" s="173"/>
      <c r="BZ167" s="215"/>
      <c r="CA167" s="243"/>
      <c r="CB167" s="233"/>
      <c r="CC167" s="233"/>
      <c r="CD167" s="233"/>
      <c r="CE167" s="233"/>
      <c r="CF167" s="233"/>
      <c r="CG167" s="233"/>
      <c r="CH167" s="262"/>
      <c r="CI167" s="351"/>
      <c r="CJ167" s="350"/>
      <c r="CK167" s="350"/>
      <c r="CL167" s="350"/>
      <c r="CM167" s="350"/>
      <c r="CN167" s="350"/>
      <c r="CO167" s="350"/>
      <c r="CP167" s="350">
        <v>2</v>
      </c>
      <c r="CQ167" s="364"/>
      <c r="CR167" s="370"/>
      <c r="CS167" s="367"/>
      <c r="CT167" s="367"/>
      <c r="CU167" s="367"/>
      <c r="CV167" s="367"/>
      <c r="CW167" s="387">
        <v>10</v>
      </c>
      <c r="CX167" s="398"/>
      <c r="CY167" s="399"/>
      <c r="CZ167" s="399"/>
      <c r="DA167" s="399"/>
      <c r="DB167" s="399"/>
      <c r="DC167" s="400"/>
      <c r="DD167" s="400"/>
      <c r="DE167" s="514">
        <v>1</v>
      </c>
      <c r="DF167" s="514">
        <f t="shared" si="2"/>
        <v>1</v>
      </c>
      <c r="DG167" s="144"/>
      <c r="DH167" s="143"/>
    </row>
    <row r="168" spans="1:112" x14ac:dyDescent="0.25">
      <c r="A168" s="15" t="s">
        <v>27</v>
      </c>
      <c r="B168" s="15">
        <v>804</v>
      </c>
      <c r="C168" s="15" t="s">
        <v>3391</v>
      </c>
      <c r="D168" s="15">
        <v>1114</v>
      </c>
      <c r="E168" s="15" t="s">
        <v>2422</v>
      </c>
      <c r="F168" s="15" t="s">
        <v>2423</v>
      </c>
      <c r="G168" s="15" t="s">
        <v>2424</v>
      </c>
      <c r="H168" s="15" t="s">
        <v>2425</v>
      </c>
      <c r="I168" s="15" t="s">
        <v>32</v>
      </c>
      <c r="J168" s="15" t="s">
        <v>3392</v>
      </c>
      <c r="K168" s="15" t="s">
        <v>2426</v>
      </c>
      <c r="L168" s="15" t="s">
        <v>3766</v>
      </c>
      <c r="M168" s="15" t="s">
        <v>4011</v>
      </c>
      <c r="N168" s="70">
        <v>1500</v>
      </c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1">
        <v>10</v>
      </c>
      <c r="AH168" s="71"/>
      <c r="AI168" s="71"/>
      <c r="AJ168" s="71"/>
      <c r="AK168" s="71"/>
      <c r="AL168" s="71"/>
      <c r="AM168" s="71"/>
      <c r="AN168" s="71"/>
      <c r="AO168" s="71"/>
      <c r="AP168" s="71"/>
      <c r="AQ168" s="71"/>
      <c r="AR168" s="71"/>
      <c r="AS168" s="71"/>
      <c r="AT168" s="71"/>
      <c r="AU168" s="71"/>
      <c r="AV168" s="71"/>
      <c r="AW168" s="71"/>
      <c r="AX168" s="71"/>
      <c r="AY168" s="71"/>
      <c r="AZ168" s="131">
        <f>VLOOKUP(Table7[[#This Row],[Vlookup Store '#]],'Kiosk Stickers'!A$4:$H$538,2,FALSE)</f>
        <v>2</v>
      </c>
      <c r="BA168" s="131"/>
      <c r="BB168" s="131"/>
      <c r="BC168" s="131"/>
      <c r="BD168" s="131"/>
      <c r="BE168" s="169"/>
      <c r="BF168" s="184">
        <f>VLOOKUP(Table7[[#This Row],[Vlookup Store '#]],'Kiosk Stickers'!A$4:$H$538,3,FALSE)</f>
        <v>0</v>
      </c>
      <c r="BG168" s="173"/>
      <c r="BH168" s="173"/>
      <c r="BI168" s="173"/>
      <c r="BJ168" s="173"/>
      <c r="BK168" s="173"/>
      <c r="BL168" s="173"/>
      <c r="BM168" s="173"/>
      <c r="BN168" s="215"/>
      <c r="BO168" s="199">
        <f>VLOOKUP(Table7[[#This Row],[Vlookup Store '#]],'Kiosk Stickers'!A$4:$H$538,4,FALSE)</f>
        <v>0</v>
      </c>
      <c r="BP168" s="171"/>
      <c r="BQ168" s="226"/>
      <c r="BR168" s="184">
        <f>VLOOKUP(Table7[[#This Row],[Vlookup Store '#]],'Kiosk Stickers'!A$4:$H$538,5,FALSE)</f>
        <v>0</v>
      </c>
      <c r="BS168" s="173"/>
      <c r="BT168" s="173"/>
      <c r="BU168" s="173"/>
      <c r="BV168" s="173"/>
      <c r="BW168" s="173"/>
      <c r="BX168" s="173"/>
      <c r="BY168" s="173"/>
      <c r="BZ168" s="215"/>
      <c r="CA168" s="243"/>
      <c r="CB168" s="233"/>
      <c r="CC168" s="233"/>
      <c r="CD168" s="233"/>
      <c r="CE168" s="233"/>
      <c r="CF168" s="233"/>
      <c r="CG168" s="233"/>
      <c r="CH168" s="262"/>
      <c r="CI168" s="351"/>
      <c r="CJ168" s="350"/>
      <c r="CK168" s="350"/>
      <c r="CL168" s="350"/>
      <c r="CM168" s="350"/>
      <c r="CN168" s="350"/>
      <c r="CO168" s="350"/>
      <c r="CP168" s="350">
        <v>2</v>
      </c>
      <c r="CQ168" s="364"/>
      <c r="CR168" s="370"/>
      <c r="CS168" s="367"/>
      <c r="CT168" s="367"/>
      <c r="CU168" s="367"/>
      <c r="CV168" s="367"/>
      <c r="CW168" s="387">
        <v>10</v>
      </c>
      <c r="CX168" s="398"/>
      <c r="CY168" s="399"/>
      <c r="CZ168" s="399"/>
      <c r="DA168" s="399"/>
      <c r="DB168" s="399"/>
      <c r="DC168" s="400"/>
      <c r="DD168" s="400"/>
      <c r="DE168" s="514">
        <v>1</v>
      </c>
      <c r="DF168" s="514">
        <f t="shared" si="2"/>
        <v>1</v>
      </c>
      <c r="DG168" s="144"/>
      <c r="DH168" s="143"/>
    </row>
    <row r="169" spans="1:112" x14ac:dyDescent="0.25">
      <c r="A169" s="15" t="s">
        <v>27</v>
      </c>
      <c r="B169" s="15">
        <v>804</v>
      </c>
      <c r="C169" s="15" t="s">
        <v>3395</v>
      </c>
      <c r="D169" s="15">
        <v>1117</v>
      </c>
      <c r="E169" s="15" t="s">
        <v>2432</v>
      </c>
      <c r="F169" s="15" t="s">
        <v>2433</v>
      </c>
      <c r="G169" s="15" t="s">
        <v>2434</v>
      </c>
      <c r="H169" s="15" t="s">
        <v>2435</v>
      </c>
      <c r="I169" s="15" t="s">
        <v>32</v>
      </c>
      <c r="J169" s="15" t="s">
        <v>3396</v>
      </c>
      <c r="K169" s="15" t="s">
        <v>2436</v>
      </c>
      <c r="L169" s="15" t="s">
        <v>3766</v>
      </c>
      <c r="M169" s="15" t="s">
        <v>4011</v>
      </c>
      <c r="N169" s="70">
        <v>1500</v>
      </c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1">
        <v>10</v>
      </c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  <c r="AW169" s="71"/>
      <c r="AX169" s="71"/>
      <c r="AY169" s="71"/>
      <c r="AZ169" s="131">
        <f>VLOOKUP(Table7[[#This Row],[Vlookup Store '#]],'Kiosk Stickers'!A$4:$H$538,2,FALSE)</f>
        <v>1</v>
      </c>
      <c r="BA169" s="131"/>
      <c r="BB169" s="131"/>
      <c r="BC169" s="131"/>
      <c r="BD169" s="131"/>
      <c r="BE169" s="169"/>
      <c r="BF169" s="184">
        <f>VLOOKUP(Table7[[#This Row],[Vlookup Store '#]],'Kiosk Stickers'!A$4:$H$538,3,FALSE)</f>
        <v>0</v>
      </c>
      <c r="BG169" s="173"/>
      <c r="BH169" s="173"/>
      <c r="BI169" s="173"/>
      <c r="BJ169" s="173"/>
      <c r="BK169" s="173"/>
      <c r="BL169" s="173"/>
      <c r="BM169" s="173"/>
      <c r="BN169" s="215"/>
      <c r="BO169" s="199">
        <f>VLOOKUP(Table7[[#This Row],[Vlookup Store '#]],'Kiosk Stickers'!A$4:$H$538,4,FALSE)</f>
        <v>0</v>
      </c>
      <c r="BP169" s="171"/>
      <c r="BQ169" s="226"/>
      <c r="BR169" s="184">
        <f>VLOOKUP(Table7[[#This Row],[Vlookup Store '#]],'Kiosk Stickers'!A$4:$H$538,5,FALSE)</f>
        <v>0</v>
      </c>
      <c r="BS169" s="173"/>
      <c r="BT169" s="173"/>
      <c r="BU169" s="173"/>
      <c r="BV169" s="173"/>
      <c r="BW169" s="173"/>
      <c r="BX169" s="173"/>
      <c r="BY169" s="173"/>
      <c r="BZ169" s="215"/>
      <c r="CA169" s="243"/>
      <c r="CB169" s="233"/>
      <c r="CC169" s="233"/>
      <c r="CD169" s="233"/>
      <c r="CE169" s="233"/>
      <c r="CF169" s="233"/>
      <c r="CG169" s="233"/>
      <c r="CH169" s="262"/>
      <c r="CI169" s="351"/>
      <c r="CJ169" s="350"/>
      <c r="CK169" s="350"/>
      <c r="CL169" s="350"/>
      <c r="CM169" s="350"/>
      <c r="CN169" s="350"/>
      <c r="CO169" s="350"/>
      <c r="CP169" s="350">
        <v>2</v>
      </c>
      <c r="CQ169" s="364"/>
      <c r="CR169" s="370"/>
      <c r="CS169" s="367"/>
      <c r="CT169" s="367"/>
      <c r="CU169" s="367"/>
      <c r="CV169" s="367"/>
      <c r="CW169" s="387">
        <v>10</v>
      </c>
      <c r="CX169" s="398"/>
      <c r="CY169" s="399"/>
      <c r="CZ169" s="399"/>
      <c r="DA169" s="399"/>
      <c r="DB169" s="399"/>
      <c r="DC169" s="400"/>
      <c r="DD169" s="400"/>
      <c r="DE169" s="514">
        <v>1</v>
      </c>
      <c r="DF169" s="514">
        <f t="shared" si="2"/>
        <v>1</v>
      </c>
      <c r="DG169" s="144"/>
      <c r="DH169" s="143"/>
    </row>
    <row r="170" spans="1:112" x14ac:dyDescent="0.25">
      <c r="A170" s="15" t="s">
        <v>94</v>
      </c>
      <c r="B170" s="15">
        <v>814</v>
      </c>
      <c r="C170" s="15" t="s">
        <v>2590</v>
      </c>
      <c r="D170" s="15">
        <v>261</v>
      </c>
      <c r="E170" s="15" t="s">
        <v>2591</v>
      </c>
      <c r="F170" s="15" t="s">
        <v>2592</v>
      </c>
      <c r="G170" s="15" t="s">
        <v>2593</v>
      </c>
      <c r="H170" s="15" t="s">
        <v>2594</v>
      </c>
      <c r="I170" s="15" t="s">
        <v>32</v>
      </c>
      <c r="J170" s="15" t="s">
        <v>3117</v>
      </c>
      <c r="K170" s="15" t="s">
        <v>2595</v>
      </c>
      <c r="L170" s="15" t="s">
        <v>3737</v>
      </c>
      <c r="M170" s="15" t="s">
        <v>3739</v>
      </c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>
        <v>1500</v>
      </c>
      <c r="AA170" s="70"/>
      <c r="AB170" s="70"/>
      <c r="AC170" s="70"/>
      <c r="AD170" s="70"/>
      <c r="AE170" s="70"/>
      <c r="AF170" s="70"/>
      <c r="AG170" s="71"/>
      <c r="AH170" s="71"/>
      <c r="AI170" s="71"/>
      <c r="AJ170" s="71"/>
      <c r="AK170" s="71"/>
      <c r="AL170" s="71"/>
      <c r="AM170" s="71"/>
      <c r="AN170" s="71"/>
      <c r="AO170" s="71"/>
      <c r="AP170" s="71"/>
      <c r="AQ170" s="71"/>
      <c r="AR170" s="71"/>
      <c r="AS170" s="71">
        <v>10</v>
      </c>
      <c r="AT170" s="71"/>
      <c r="AU170" s="71"/>
      <c r="AV170" s="71"/>
      <c r="AW170" s="71"/>
      <c r="AX170" s="71"/>
      <c r="AY170" s="71"/>
      <c r="AZ170" s="131">
        <f>VLOOKUP(Table7[[#This Row],[Vlookup Store '#]],'Kiosk Stickers'!A$4:$H$538,2,FALSE)</f>
        <v>0</v>
      </c>
      <c r="BA170" s="131"/>
      <c r="BB170" s="131"/>
      <c r="BC170" s="131"/>
      <c r="BD170" s="131"/>
      <c r="BE170" s="169"/>
      <c r="BF170" s="194"/>
      <c r="BG170" s="173"/>
      <c r="BH170" s="173"/>
      <c r="BI170" s="173">
        <f>VLOOKUP(Table7[[#This Row],[Vlookup Store '#]],'Kiosk Stickers'!A$4:$H$538,3,FALSE)</f>
        <v>1</v>
      </c>
      <c r="BJ170" s="173"/>
      <c r="BK170" s="173"/>
      <c r="BL170" s="173"/>
      <c r="BM170" s="173"/>
      <c r="BN170" s="215"/>
      <c r="BO170" s="199">
        <f>VLOOKUP(Table7[[#This Row],[Vlookup Store '#]],'Kiosk Stickers'!A$4:$H$538,4,FALSE)</f>
        <v>0</v>
      </c>
      <c r="BP170" s="171"/>
      <c r="BQ170" s="226"/>
      <c r="BR170" s="194"/>
      <c r="BS170" s="173"/>
      <c r="BT170" s="173">
        <f>VLOOKUP(Table7[[#This Row],[Vlookup Store '#]],'Kiosk Stickers'!A$4:$H$538,5,FALSE)</f>
        <v>1</v>
      </c>
      <c r="BU170" s="173"/>
      <c r="BV170" s="173"/>
      <c r="BW170" s="173"/>
      <c r="BX170" s="173"/>
      <c r="BY170" s="173"/>
      <c r="BZ170" s="215"/>
      <c r="CA170" s="243"/>
      <c r="CB170" s="233"/>
      <c r="CC170" s="233"/>
      <c r="CD170" s="233"/>
      <c r="CE170" s="233"/>
      <c r="CF170" s="233"/>
      <c r="CG170" s="233"/>
      <c r="CH170" s="262"/>
      <c r="CI170" s="351"/>
      <c r="CJ170" s="350"/>
      <c r="CK170" s="350"/>
      <c r="CL170" s="350">
        <v>2</v>
      </c>
      <c r="CM170" s="350"/>
      <c r="CN170" s="350"/>
      <c r="CO170" s="350"/>
      <c r="CP170" s="350"/>
      <c r="CQ170" s="364"/>
      <c r="CR170" s="370"/>
      <c r="CS170" s="367"/>
      <c r="CT170" s="367"/>
      <c r="CU170" s="367">
        <v>10</v>
      </c>
      <c r="CV170" s="367"/>
      <c r="CW170" s="387"/>
      <c r="CX170" s="398"/>
      <c r="CY170" s="399"/>
      <c r="CZ170" s="399"/>
      <c r="DA170" s="399"/>
      <c r="DB170" s="399">
        <v>1</v>
      </c>
      <c r="DC170" s="400"/>
      <c r="DD170" s="400"/>
      <c r="DE170" s="514"/>
      <c r="DF170" s="514">
        <f t="shared" si="2"/>
        <v>1</v>
      </c>
      <c r="DG170" s="144"/>
      <c r="DH170" s="143"/>
    </row>
    <row r="171" spans="1:112" x14ac:dyDescent="0.25">
      <c r="A171" s="15" t="s">
        <v>94</v>
      </c>
      <c r="B171" s="15">
        <v>807</v>
      </c>
      <c r="C171" s="15" t="s">
        <v>2613</v>
      </c>
      <c r="D171" s="15">
        <v>317</v>
      </c>
      <c r="E171" s="15" t="s">
        <v>2614</v>
      </c>
      <c r="F171" s="15" t="s">
        <v>2615</v>
      </c>
      <c r="G171" s="15" t="s">
        <v>2616</v>
      </c>
      <c r="H171" s="15" t="s">
        <v>313</v>
      </c>
      <c r="I171" s="15" t="s">
        <v>32</v>
      </c>
      <c r="J171" s="15" t="s">
        <v>3145</v>
      </c>
      <c r="K171" s="15" t="s">
        <v>2617</v>
      </c>
      <c r="L171" s="15" t="s">
        <v>3844</v>
      </c>
      <c r="M171" s="15" t="s">
        <v>3945</v>
      </c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>
        <v>1500</v>
      </c>
      <c r="Z171" s="70"/>
      <c r="AA171" s="70"/>
      <c r="AB171" s="70"/>
      <c r="AC171" s="70"/>
      <c r="AD171" s="70"/>
      <c r="AE171" s="70"/>
      <c r="AF171" s="70"/>
      <c r="AG171" s="71"/>
      <c r="AH171" s="71"/>
      <c r="AI171" s="71"/>
      <c r="AJ171" s="71"/>
      <c r="AK171" s="71"/>
      <c r="AL171" s="71"/>
      <c r="AM171" s="71"/>
      <c r="AN171" s="71"/>
      <c r="AO171" s="71"/>
      <c r="AP171" s="71"/>
      <c r="AQ171" s="71"/>
      <c r="AR171" s="71">
        <v>10</v>
      </c>
      <c r="AS171" s="71"/>
      <c r="AT171" s="71"/>
      <c r="AU171" s="71"/>
      <c r="AV171" s="71"/>
      <c r="AW171" s="71"/>
      <c r="AX171" s="71"/>
      <c r="AY171" s="71"/>
      <c r="AZ171" s="131">
        <f>VLOOKUP(Table7[[#This Row],[Vlookup Store '#]],'Kiosk Stickers'!A$4:$H$538,2,FALSE)</f>
        <v>0</v>
      </c>
      <c r="BA171" s="131"/>
      <c r="BB171" s="131"/>
      <c r="BC171" s="131"/>
      <c r="BD171" s="131"/>
      <c r="BE171" s="169"/>
      <c r="BF171" s="184">
        <f>VLOOKUP(Table7[[#This Row],[Vlookup Store '#]],'Kiosk Stickers'!A$4:$H$538,3,FALSE)</f>
        <v>0</v>
      </c>
      <c r="BG171" s="173"/>
      <c r="BH171" s="173"/>
      <c r="BI171" s="173"/>
      <c r="BJ171" s="173"/>
      <c r="BK171" s="173"/>
      <c r="BL171" s="173"/>
      <c r="BM171" s="173"/>
      <c r="BN171" s="215"/>
      <c r="BO171" s="199">
        <f>VLOOKUP(Table7[[#This Row],[Vlookup Store '#]],'Kiosk Stickers'!A$4:$H$538,4,FALSE)</f>
        <v>0</v>
      </c>
      <c r="BP171" s="171"/>
      <c r="BQ171" s="226"/>
      <c r="BR171" s="194"/>
      <c r="BS171" s="173">
        <f>VLOOKUP(Table7[[#This Row],[Vlookup Store '#]],'Kiosk Stickers'!A$4:$H$538,5,FALSE)</f>
        <v>2</v>
      </c>
      <c r="BT171" s="173"/>
      <c r="BU171" s="173"/>
      <c r="BV171" s="173"/>
      <c r="BW171" s="173"/>
      <c r="BX171" s="173"/>
      <c r="BY171" s="173"/>
      <c r="BZ171" s="215"/>
      <c r="CA171" s="243"/>
      <c r="CB171" s="233"/>
      <c r="CC171" s="233"/>
      <c r="CD171" s="233"/>
      <c r="CE171" s="233"/>
      <c r="CF171" s="233"/>
      <c r="CG171" s="233"/>
      <c r="CH171" s="262"/>
      <c r="CI171" s="351"/>
      <c r="CJ171" s="350"/>
      <c r="CK171" s="350">
        <v>2</v>
      </c>
      <c r="CL171" s="350"/>
      <c r="CM171" s="350"/>
      <c r="CN171" s="350"/>
      <c r="CO171" s="350"/>
      <c r="CP171" s="350"/>
      <c r="CQ171" s="364"/>
      <c r="CR171" s="370"/>
      <c r="CS171" s="367"/>
      <c r="CT171" s="367">
        <v>10</v>
      </c>
      <c r="CU171" s="367"/>
      <c r="CV171" s="367"/>
      <c r="CW171" s="387"/>
      <c r="CX171" s="398"/>
      <c r="CY171" s="399"/>
      <c r="CZ171" s="399">
        <v>1</v>
      </c>
      <c r="DA171" s="399"/>
      <c r="DB171" s="399"/>
      <c r="DC171" s="400"/>
      <c r="DD171" s="400"/>
      <c r="DE171" s="514"/>
      <c r="DF171" s="514">
        <f t="shared" si="2"/>
        <v>1</v>
      </c>
      <c r="DG171" s="144"/>
      <c r="DH171" s="143"/>
    </row>
    <row r="172" spans="1:112" x14ac:dyDescent="0.25">
      <c r="A172" s="15" t="s">
        <v>161</v>
      </c>
      <c r="B172" s="15">
        <v>800</v>
      </c>
      <c r="C172" s="15" t="s">
        <v>2696</v>
      </c>
      <c r="D172" s="15">
        <v>520</v>
      </c>
      <c r="E172" s="15" t="s">
        <v>2697</v>
      </c>
      <c r="F172" s="15" t="s">
        <v>2698</v>
      </c>
      <c r="G172" s="15" t="s">
        <v>2699</v>
      </c>
      <c r="H172" s="15" t="s">
        <v>2700</v>
      </c>
      <c r="I172" s="15" t="s">
        <v>166</v>
      </c>
      <c r="J172" s="15" t="s">
        <v>3216</v>
      </c>
      <c r="K172" s="15" t="s">
        <v>2701</v>
      </c>
      <c r="L172" s="15" t="s">
        <v>3775</v>
      </c>
      <c r="M172" s="15" t="s">
        <v>3969</v>
      </c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>
        <v>1500</v>
      </c>
      <c r="AF172" s="70"/>
      <c r="AG172" s="71"/>
      <c r="AH172" s="71"/>
      <c r="AI172" s="71"/>
      <c r="AJ172" s="71"/>
      <c r="AK172" s="71"/>
      <c r="AL172" s="71"/>
      <c r="AM172" s="71"/>
      <c r="AN172" s="71"/>
      <c r="AO172" s="71"/>
      <c r="AP172" s="71"/>
      <c r="AQ172" s="71"/>
      <c r="AR172" s="71"/>
      <c r="AS172" s="71"/>
      <c r="AT172" s="71"/>
      <c r="AU172" s="71"/>
      <c r="AV172" s="71"/>
      <c r="AW172" s="71"/>
      <c r="AX172" s="71">
        <v>10</v>
      </c>
      <c r="AY172" s="71"/>
      <c r="AZ172" s="131">
        <f>VLOOKUP(Table7[[#This Row],[Vlookup Store '#]],'Kiosk Stickers'!A$4:$H$538,2,FALSE)</f>
        <v>0</v>
      </c>
      <c r="BA172" s="131"/>
      <c r="BB172" s="131"/>
      <c r="BC172" s="131"/>
      <c r="BD172" s="131"/>
      <c r="BE172" s="169"/>
      <c r="BF172" s="194"/>
      <c r="BG172" s="173"/>
      <c r="BH172" s="173"/>
      <c r="BI172" s="173"/>
      <c r="BJ172" s="173"/>
      <c r="BK172" s="173">
        <f>VLOOKUP(Table7[[#This Row],[Vlookup Store '#]],'Kiosk Stickers'!A$4:$H$538,3,FALSE)</f>
        <v>1</v>
      </c>
      <c r="BL172" s="173"/>
      <c r="BM172" s="173"/>
      <c r="BN172" s="215"/>
      <c r="BO172" s="199">
        <f>VLOOKUP(Table7[[#This Row],[Vlookup Store '#]],'Kiosk Stickers'!A$4:$H$538,4,FALSE)</f>
        <v>0</v>
      </c>
      <c r="BP172" s="171"/>
      <c r="BQ172" s="226"/>
      <c r="BR172" s="194"/>
      <c r="BS172" s="173"/>
      <c r="BT172" s="173"/>
      <c r="BU172" s="173"/>
      <c r="BV172" s="173"/>
      <c r="BW172" s="173"/>
      <c r="BX172" s="173"/>
      <c r="BY172" s="173">
        <f>VLOOKUP(Table7[[#This Row],[Vlookup Store '#]],'Kiosk Stickers'!A$4:$H$538,5,FALSE)</f>
        <v>1</v>
      </c>
      <c r="BZ172" s="215"/>
      <c r="CA172" s="243"/>
      <c r="CB172" s="233"/>
      <c r="CC172" s="233"/>
      <c r="CD172" s="233"/>
      <c r="CE172" s="233"/>
      <c r="CF172" s="233"/>
      <c r="CG172" s="233"/>
      <c r="CH172" s="262"/>
      <c r="CI172" s="351"/>
      <c r="CJ172" s="350"/>
      <c r="CK172" s="350"/>
      <c r="CL172" s="350"/>
      <c r="CM172" s="350"/>
      <c r="CN172" s="353">
        <v>2</v>
      </c>
      <c r="CO172" s="350"/>
      <c r="CP172" s="350"/>
      <c r="CQ172" s="364"/>
      <c r="CR172" s="370"/>
      <c r="CS172" s="367"/>
      <c r="CT172" s="367"/>
      <c r="CU172" s="367"/>
      <c r="CV172" s="378">
        <v>10</v>
      </c>
      <c r="CW172" s="387"/>
      <c r="CX172" s="398"/>
      <c r="CY172" s="399"/>
      <c r="CZ172" s="399"/>
      <c r="DA172" s="399"/>
      <c r="DB172" s="396">
        <v>1</v>
      </c>
      <c r="DC172" s="400"/>
      <c r="DD172" s="400"/>
      <c r="DE172" s="514"/>
      <c r="DF172" s="514">
        <f t="shared" si="2"/>
        <v>1</v>
      </c>
      <c r="DG172" s="144"/>
      <c r="DH172" s="143"/>
    </row>
    <row r="173" spans="1:112" x14ac:dyDescent="0.25">
      <c r="A173" s="15" t="s">
        <v>161</v>
      </c>
      <c r="B173" s="15">
        <v>800</v>
      </c>
      <c r="C173" s="15" t="s">
        <v>2702</v>
      </c>
      <c r="D173" s="15">
        <v>521</v>
      </c>
      <c r="E173" s="15" t="s">
        <v>2703</v>
      </c>
      <c r="F173" s="15" t="s">
        <v>2704</v>
      </c>
      <c r="G173" s="15" t="s">
        <v>2705</v>
      </c>
      <c r="H173" s="15" t="s">
        <v>2706</v>
      </c>
      <c r="I173" s="15" t="s">
        <v>166</v>
      </c>
      <c r="J173" s="15" t="s">
        <v>3217</v>
      </c>
      <c r="K173" s="15" t="s">
        <v>2707</v>
      </c>
      <c r="L173" s="15" t="s">
        <v>3775</v>
      </c>
      <c r="M173" s="15" t="s">
        <v>3969</v>
      </c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>
        <v>1500</v>
      </c>
      <c r="AF173" s="70"/>
      <c r="AG173" s="71"/>
      <c r="AH173" s="71"/>
      <c r="AI173" s="71"/>
      <c r="AJ173" s="71"/>
      <c r="AK173" s="71"/>
      <c r="AL173" s="71"/>
      <c r="AM173" s="71"/>
      <c r="AN173" s="71"/>
      <c r="AO173" s="71"/>
      <c r="AP173" s="71"/>
      <c r="AQ173" s="71"/>
      <c r="AR173" s="71"/>
      <c r="AS173" s="71"/>
      <c r="AT173" s="71"/>
      <c r="AU173" s="71"/>
      <c r="AV173" s="71"/>
      <c r="AW173" s="71"/>
      <c r="AX173" s="71">
        <v>10</v>
      </c>
      <c r="AY173" s="71"/>
      <c r="AZ173" s="131">
        <f>VLOOKUP(Table7[[#This Row],[Vlookup Store '#]],'Kiosk Stickers'!A$4:$H$538,2,FALSE)</f>
        <v>0</v>
      </c>
      <c r="BA173" s="131"/>
      <c r="BB173" s="131"/>
      <c r="BC173" s="131"/>
      <c r="BD173" s="131"/>
      <c r="BE173" s="169"/>
      <c r="BF173" s="194"/>
      <c r="BG173" s="173"/>
      <c r="BH173" s="173"/>
      <c r="BI173" s="173"/>
      <c r="BJ173" s="173"/>
      <c r="BK173" s="173">
        <f>VLOOKUP(Table7[[#This Row],[Vlookup Store '#]],'Kiosk Stickers'!A$4:$H$538,3,FALSE)</f>
        <v>2</v>
      </c>
      <c r="BL173" s="173"/>
      <c r="BM173" s="173"/>
      <c r="BN173" s="215"/>
      <c r="BO173" s="199">
        <f>VLOOKUP(Table7[[#This Row],[Vlookup Store '#]],'Kiosk Stickers'!A$4:$H$538,4,FALSE)</f>
        <v>0</v>
      </c>
      <c r="BP173" s="171"/>
      <c r="BQ173" s="226"/>
      <c r="BR173" s="194"/>
      <c r="BS173" s="173"/>
      <c r="BT173" s="173"/>
      <c r="BU173" s="173"/>
      <c r="BV173" s="173"/>
      <c r="BW173" s="173"/>
      <c r="BX173" s="173"/>
      <c r="BY173" s="173">
        <f>VLOOKUP(Table7[[#This Row],[Vlookup Store '#]],'Kiosk Stickers'!A$4:$H$538,5,FALSE)</f>
        <v>0</v>
      </c>
      <c r="BZ173" s="215"/>
      <c r="CA173" s="243"/>
      <c r="CB173" s="233"/>
      <c r="CC173" s="233"/>
      <c r="CD173" s="233"/>
      <c r="CE173" s="233"/>
      <c r="CF173" s="233"/>
      <c r="CG173" s="233"/>
      <c r="CH173" s="262"/>
      <c r="CI173" s="351"/>
      <c r="CJ173" s="350"/>
      <c r="CK173" s="350"/>
      <c r="CL173" s="350"/>
      <c r="CM173" s="350"/>
      <c r="CN173" s="353">
        <v>2</v>
      </c>
      <c r="CO173" s="350"/>
      <c r="CP173" s="350"/>
      <c r="CQ173" s="364"/>
      <c r="CR173" s="370"/>
      <c r="CS173" s="367"/>
      <c r="CT173" s="367"/>
      <c r="CU173" s="367"/>
      <c r="CV173" s="378">
        <v>10</v>
      </c>
      <c r="CW173" s="387"/>
      <c r="CX173" s="398"/>
      <c r="CY173" s="399"/>
      <c r="CZ173" s="399"/>
      <c r="DA173" s="399"/>
      <c r="DB173" s="396">
        <v>1</v>
      </c>
      <c r="DC173" s="400"/>
      <c r="DD173" s="400"/>
      <c r="DE173" s="514"/>
      <c r="DF173" s="514">
        <f t="shared" si="2"/>
        <v>1</v>
      </c>
      <c r="DG173" s="144"/>
      <c r="DH173" s="143"/>
    </row>
    <row r="174" spans="1:112" x14ac:dyDescent="0.25">
      <c r="A174" s="15" t="s">
        <v>161</v>
      </c>
      <c r="B174" s="15">
        <v>800</v>
      </c>
      <c r="C174" s="15" t="s">
        <v>2713</v>
      </c>
      <c r="D174" s="15">
        <v>523</v>
      </c>
      <c r="E174" s="15" t="s">
        <v>2714</v>
      </c>
      <c r="F174" s="15" t="s">
        <v>2715</v>
      </c>
      <c r="G174" s="15" t="s">
        <v>2716</v>
      </c>
      <c r="H174" s="15" t="s">
        <v>2717</v>
      </c>
      <c r="I174" s="15" t="s">
        <v>166</v>
      </c>
      <c r="J174" s="15" t="s">
        <v>3219</v>
      </c>
      <c r="K174" s="15" t="s">
        <v>2718</v>
      </c>
      <c r="L174" s="15" t="s">
        <v>3775</v>
      </c>
      <c r="M174" s="15" t="s">
        <v>3969</v>
      </c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>
        <v>1500</v>
      </c>
      <c r="AF174" s="70"/>
      <c r="AG174" s="71"/>
      <c r="AH174" s="71"/>
      <c r="AI174" s="71"/>
      <c r="AJ174" s="71"/>
      <c r="AK174" s="71"/>
      <c r="AL174" s="71"/>
      <c r="AM174" s="71"/>
      <c r="AN174" s="71"/>
      <c r="AO174" s="71"/>
      <c r="AP174" s="71"/>
      <c r="AQ174" s="71"/>
      <c r="AR174" s="71"/>
      <c r="AS174" s="71"/>
      <c r="AT174" s="71"/>
      <c r="AU174" s="71"/>
      <c r="AV174" s="71"/>
      <c r="AW174" s="71"/>
      <c r="AX174" s="71">
        <v>10</v>
      </c>
      <c r="AY174" s="71"/>
      <c r="AZ174" s="131">
        <f>VLOOKUP(Table7[[#This Row],[Vlookup Store '#]],'Kiosk Stickers'!A$4:$H$538,2,FALSE)</f>
        <v>0</v>
      </c>
      <c r="BA174" s="131"/>
      <c r="BB174" s="131"/>
      <c r="BC174" s="131"/>
      <c r="BD174" s="131"/>
      <c r="BE174" s="169"/>
      <c r="BF174" s="194"/>
      <c r="BG174" s="173"/>
      <c r="BH174" s="173"/>
      <c r="BI174" s="173"/>
      <c r="BJ174" s="173"/>
      <c r="BK174" s="173">
        <f>VLOOKUP(Table7[[#This Row],[Vlookup Store '#]],'Kiosk Stickers'!A$4:$H$538,3,FALSE)</f>
        <v>1</v>
      </c>
      <c r="BL174" s="173"/>
      <c r="BM174" s="173"/>
      <c r="BN174" s="215"/>
      <c r="BO174" s="199">
        <f>VLOOKUP(Table7[[#This Row],[Vlookup Store '#]],'Kiosk Stickers'!A$4:$H$538,4,FALSE)</f>
        <v>0</v>
      </c>
      <c r="BP174" s="171"/>
      <c r="BQ174" s="226"/>
      <c r="BR174" s="194"/>
      <c r="BS174" s="173"/>
      <c r="BT174" s="173"/>
      <c r="BU174" s="173"/>
      <c r="BV174" s="173"/>
      <c r="BW174" s="173"/>
      <c r="BX174" s="173"/>
      <c r="BY174" s="173">
        <f>VLOOKUP(Table7[[#This Row],[Vlookup Store '#]],'Kiosk Stickers'!A$4:$H$538,5,FALSE)</f>
        <v>0</v>
      </c>
      <c r="BZ174" s="215"/>
      <c r="CA174" s="243"/>
      <c r="CB174" s="233"/>
      <c r="CC174" s="233"/>
      <c r="CD174" s="233"/>
      <c r="CE174" s="233"/>
      <c r="CF174" s="233"/>
      <c r="CG174" s="233"/>
      <c r="CH174" s="262"/>
      <c r="CI174" s="351"/>
      <c r="CJ174" s="350"/>
      <c r="CK174" s="350"/>
      <c r="CL174" s="350"/>
      <c r="CM174" s="350"/>
      <c r="CN174" s="353">
        <v>2</v>
      </c>
      <c r="CO174" s="350"/>
      <c r="CP174" s="350"/>
      <c r="CQ174" s="364"/>
      <c r="CR174" s="370"/>
      <c r="CS174" s="367"/>
      <c r="CT174" s="367"/>
      <c r="CU174" s="367"/>
      <c r="CV174" s="378">
        <v>10</v>
      </c>
      <c r="CW174" s="387"/>
      <c r="CX174" s="398"/>
      <c r="CY174" s="399"/>
      <c r="CZ174" s="399"/>
      <c r="DA174" s="399"/>
      <c r="DB174" s="396">
        <v>1</v>
      </c>
      <c r="DC174" s="400"/>
      <c r="DD174" s="400"/>
      <c r="DE174" s="514"/>
      <c r="DF174" s="514">
        <f t="shared" si="2"/>
        <v>1</v>
      </c>
      <c r="DG174" s="144"/>
      <c r="DH174" s="143"/>
    </row>
    <row r="175" spans="1:112" x14ac:dyDescent="0.25">
      <c r="A175" s="15" t="s">
        <v>161</v>
      </c>
      <c r="B175" s="15">
        <v>800</v>
      </c>
      <c r="C175" s="15" t="s">
        <v>2736</v>
      </c>
      <c r="D175" s="15">
        <v>527</v>
      </c>
      <c r="E175" s="15" t="s">
        <v>2737</v>
      </c>
      <c r="F175" s="15" t="s">
        <v>2738</v>
      </c>
      <c r="G175" s="15" t="s">
        <v>2739</v>
      </c>
      <c r="H175" s="15" t="s">
        <v>2740</v>
      </c>
      <c r="I175" s="15" t="s">
        <v>166</v>
      </c>
      <c r="J175" s="15" t="s">
        <v>3222</v>
      </c>
      <c r="K175" s="15" t="s">
        <v>2741</v>
      </c>
      <c r="L175" s="15" t="s">
        <v>3775</v>
      </c>
      <c r="M175" s="15" t="s">
        <v>3969</v>
      </c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0">
        <v>1500</v>
      </c>
      <c r="AF175" s="73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1">
        <v>10</v>
      </c>
      <c r="AY175" s="74"/>
      <c r="AZ175" s="132">
        <f>VLOOKUP(Table7[[#This Row],[Vlookup Store '#]],'Kiosk Stickers'!A$4:$H$538,2,FALSE)</f>
        <v>0</v>
      </c>
      <c r="BA175" s="132"/>
      <c r="BB175" s="132"/>
      <c r="BC175" s="132"/>
      <c r="BD175" s="132"/>
      <c r="BE175" s="170"/>
      <c r="BF175" s="194"/>
      <c r="BG175" s="173"/>
      <c r="BH175" s="173"/>
      <c r="BI175" s="173"/>
      <c r="BJ175" s="173"/>
      <c r="BK175" s="173">
        <f>VLOOKUP(Table7[[#This Row],[Vlookup Store '#]],'Kiosk Stickers'!A$4:$H$538,3,FALSE)</f>
        <v>0</v>
      </c>
      <c r="BL175" s="173"/>
      <c r="BM175" s="173"/>
      <c r="BN175" s="215"/>
      <c r="BO175" s="199">
        <f>VLOOKUP(Table7[[#This Row],[Vlookup Store '#]],'Kiosk Stickers'!A$4:$H$538,4,FALSE)</f>
        <v>0</v>
      </c>
      <c r="BP175" s="171"/>
      <c r="BQ175" s="226"/>
      <c r="BR175" s="194"/>
      <c r="BS175" s="173"/>
      <c r="BT175" s="173"/>
      <c r="BU175" s="173"/>
      <c r="BV175" s="173"/>
      <c r="BW175" s="173"/>
      <c r="BX175" s="173"/>
      <c r="BY175" s="173">
        <f>VLOOKUP(Table7[[#This Row],[Vlookup Store '#]],'Kiosk Stickers'!A$4:$H$538,5,FALSE)</f>
        <v>1</v>
      </c>
      <c r="BZ175" s="215"/>
      <c r="CA175" s="243"/>
      <c r="CB175" s="233"/>
      <c r="CC175" s="233"/>
      <c r="CD175" s="233"/>
      <c r="CE175" s="233"/>
      <c r="CF175" s="233"/>
      <c r="CG175" s="233"/>
      <c r="CH175" s="262"/>
      <c r="CI175" s="351"/>
      <c r="CJ175" s="350"/>
      <c r="CK175" s="350"/>
      <c r="CL175" s="350"/>
      <c r="CM175" s="350"/>
      <c r="CN175" s="353">
        <v>2</v>
      </c>
      <c r="CO175" s="350"/>
      <c r="CP175" s="350"/>
      <c r="CQ175" s="364"/>
      <c r="CR175" s="370"/>
      <c r="CS175" s="367"/>
      <c r="CT175" s="367"/>
      <c r="CU175" s="367"/>
      <c r="CV175" s="378">
        <v>10</v>
      </c>
      <c r="CW175" s="387"/>
      <c r="CX175" s="398"/>
      <c r="CY175" s="399"/>
      <c r="CZ175" s="399"/>
      <c r="DA175" s="399"/>
      <c r="DB175" s="396">
        <v>1</v>
      </c>
      <c r="DC175" s="400"/>
      <c r="DD175" s="400"/>
      <c r="DE175" s="515"/>
      <c r="DF175" s="514">
        <f t="shared" si="2"/>
        <v>1</v>
      </c>
      <c r="DG175" s="146"/>
      <c r="DH175" s="145"/>
    </row>
    <row r="176" spans="1:112" x14ac:dyDescent="0.25">
      <c r="A176" s="15" t="s">
        <v>161</v>
      </c>
      <c r="B176" s="15">
        <v>800</v>
      </c>
      <c r="C176" s="15" t="s">
        <v>2748</v>
      </c>
      <c r="D176" s="15">
        <v>529</v>
      </c>
      <c r="E176" s="15" t="s">
        <v>2749</v>
      </c>
      <c r="F176" s="15" t="s">
        <v>3224</v>
      </c>
      <c r="G176" s="15" t="s">
        <v>2751</v>
      </c>
      <c r="H176" s="15" t="s">
        <v>2752</v>
      </c>
      <c r="I176" s="15" t="s">
        <v>166</v>
      </c>
      <c r="J176" s="15" t="s">
        <v>3225</v>
      </c>
      <c r="K176" s="15" t="s">
        <v>2753</v>
      </c>
      <c r="L176" s="15" t="s">
        <v>3775</v>
      </c>
      <c r="M176" s="15" t="s">
        <v>3969</v>
      </c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0">
        <v>1500</v>
      </c>
      <c r="AF176" s="73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1">
        <v>10</v>
      </c>
      <c r="AY176" s="74"/>
      <c r="AZ176" s="132">
        <f>VLOOKUP(Table7[[#This Row],[Vlookup Store '#]],'Kiosk Stickers'!A$4:$H$538,2,FALSE)</f>
        <v>0</v>
      </c>
      <c r="BA176" s="132"/>
      <c r="BB176" s="132"/>
      <c r="BC176" s="132"/>
      <c r="BD176" s="132"/>
      <c r="BE176" s="170"/>
      <c r="BF176" s="194"/>
      <c r="BG176" s="173"/>
      <c r="BH176" s="173"/>
      <c r="BI176" s="173"/>
      <c r="BJ176" s="173"/>
      <c r="BK176" s="173">
        <f>VLOOKUP(Table7[[#This Row],[Vlookup Store '#]],'Kiosk Stickers'!A$4:$H$538,3,FALSE)</f>
        <v>2</v>
      </c>
      <c r="BL176" s="173"/>
      <c r="BM176" s="173"/>
      <c r="BN176" s="215"/>
      <c r="BO176" s="199">
        <f>VLOOKUP(Table7[[#This Row],[Vlookup Store '#]],'Kiosk Stickers'!A$4:$H$538,4,FALSE)</f>
        <v>0</v>
      </c>
      <c r="BP176" s="171"/>
      <c r="BQ176" s="226"/>
      <c r="BR176" s="184">
        <f>VLOOKUP(Table7[[#This Row],[Vlookup Store '#]],'Kiosk Stickers'!A$4:$H$538,5,FALSE)</f>
        <v>0</v>
      </c>
      <c r="BS176" s="173"/>
      <c r="BT176" s="173"/>
      <c r="BU176" s="173"/>
      <c r="BV176" s="173"/>
      <c r="BW176" s="173"/>
      <c r="BX176" s="173"/>
      <c r="BY176" s="173"/>
      <c r="BZ176" s="215"/>
      <c r="CA176" s="243"/>
      <c r="CB176" s="233"/>
      <c r="CC176" s="233"/>
      <c r="CD176" s="233"/>
      <c r="CE176" s="233"/>
      <c r="CF176" s="233"/>
      <c r="CG176" s="233"/>
      <c r="CH176" s="262"/>
      <c r="CI176" s="351"/>
      <c r="CJ176" s="350"/>
      <c r="CK176" s="350"/>
      <c r="CL176" s="350"/>
      <c r="CM176" s="350"/>
      <c r="CN176" s="353">
        <v>2</v>
      </c>
      <c r="CO176" s="350"/>
      <c r="CP176" s="350"/>
      <c r="CQ176" s="364"/>
      <c r="CR176" s="370"/>
      <c r="CS176" s="367"/>
      <c r="CT176" s="367"/>
      <c r="CU176" s="367"/>
      <c r="CV176" s="378">
        <v>10</v>
      </c>
      <c r="CW176" s="387"/>
      <c r="CX176" s="398"/>
      <c r="CY176" s="399"/>
      <c r="CZ176" s="399"/>
      <c r="DA176" s="399"/>
      <c r="DB176" s="396">
        <v>1</v>
      </c>
      <c r="DC176" s="400"/>
      <c r="DD176" s="400"/>
      <c r="DE176" s="515"/>
      <c r="DF176" s="514">
        <f t="shared" si="2"/>
        <v>1</v>
      </c>
      <c r="DG176" s="146"/>
      <c r="DH176" s="145"/>
    </row>
    <row r="177" spans="1:112" x14ac:dyDescent="0.25">
      <c r="A177" s="15" t="s">
        <v>161</v>
      </c>
      <c r="B177" s="15">
        <v>800</v>
      </c>
      <c r="C177" s="15" t="s">
        <v>162</v>
      </c>
      <c r="D177" s="15">
        <v>530</v>
      </c>
      <c r="E177" s="15" t="s">
        <v>163</v>
      </c>
      <c r="F177" s="15" t="s">
        <v>2774</v>
      </c>
      <c r="G177" s="15" t="s">
        <v>164</v>
      </c>
      <c r="H177" s="15" t="s">
        <v>165</v>
      </c>
      <c r="I177" s="15" t="s">
        <v>166</v>
      </c>
      <c r="J177" s="15" t="s">
        <v>3226</v>
      </c>
      <c r="K177" s="15" t="s">
        <v>167</v>
      </c>
      <c r="L177" s="15" t="s">
        <v>3775</v>
      </c>
      <c r="M177" s="15" t="s">
        <v>3969</v>
      </c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0">
        <v>1500</v>
      </c>
      <c r="AF177" s="73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1">
        <v>10</v>
      </c>
      <c r="AY177" s="74"/>
      <c r="AZ177" s="132">
        <f>VLOOKUP(Table7[[#This Row],[Vlookup Store '#]],'Kiosk Stickers'!A$4:$H$538,2,FALSE)</f>
        <v>0</v>
      </c>
      <c r="BA177" s="132"/>
      <c r="BB177" s="132"/>
      <c r="BC177" s="132"/>
      <c r="BD177" s="132"/>
      <c r="BE177" s="170"/>
      <c r="BF177" s="194"/>
      <c r="BG177" s="173"/>
      <c r="BH177" s="173"/>
      <c r="BI177" s="173"/>
      <c r="BJ177" s="173"/>
      <c r="BK177" s="173">
        <f>VLOOKUP(Table7[[#This Row],[Vlookup Store '#]],'Kiosk Stickers'!A$4:$H$538,3,FALSE)</f>
        <v>1</v>
      </c>
      <c r="BL177" s="173"/>
      <c r="BM177" s="173"/>
      <c r="BN177" s="215"/>
      <c r="BO177" s="199">
        <f>VLOOKUP(Table7[[#This Row],[Vlookup Store '#]],'Kiosk Stickers'!A$4:$H$538,4,FALSE)</f>
        <v>0</v>
      </c>
      <c r="BP177" s="171"/>
      <c r="BQ177" s="226"/>
      <c r="BR177" s="184">
        <f>VLOOKUP(Table7[[#This Row],[Vlookup Store '#]],'Kiosk Stickers'!A$4:$H$538,5,FALSE)</f>
        <v>0</v>
      </c>
      <c r="BS177" s="173"/>
      <c r="BT177" s="173"/>
      <c r="BU177" s="173"/>
      <c r="BV177" s="173"/>
      <c r="BW177" s="173"/>
      <c r="BX177" s="173"/>
      <c r="BY177" s="173"/>
      <c r="BZ177" s="215"/>
      <c r="CA177" s="243"/>
      <c r="CB177" s="233"/>
      <c r="CC177" s="233"/>
      <c r="CD177" s="233"/>
      <c r="CE177" s="233"/>
      <c r="CF177" s="233"/>
      <c r="CG177" s="233"/>
      <c r="CH177" s="262"/>
      <c r="CI177" s="351"/>
      <c r="CJ177" s="350"/>
      <c r="CK177" s="350"/>
      <c r="CL177" s="350"/>
      <c r="CM177" s="350"/>
      <c r="CN177" s="353">
        <v>2</v>
      </c>
      <c r="CO177" s="350"/>
      <c r="CP177" s="350"/>
      <c r="CQ177" s="364"/>
      <c r="CR177" s="370"/>
      <c r="CS177" s="367"/>
      <c r="CT177" s="367"/>
      <c r="CU177" s="367"/>
      <c r="CV177" s="378">
        <v>10</v>
      </c>
      <c r="CW177" s="387"/>
      <c r="CX177" s="398"/>
      <c r="CY177" s="399"/>
      <c r="CZ177" s="399"/>
      <c r="DA177" s="399"/>
      <c r="DB177" s="396">
        <v>1</v>
      </c>
      <c r="DC177" s="400"/>
      <c r="DD177" s="400"/>
      <c r="DE177" s="515"/>
      <c r="DF177" s="514">
        <f t="shared" si="2"/>
        <v>1</v>
      </c>
      <c r="DG177" s="146"/>
      <c r="DH177" s="145"/>
    </row>
    <row r="178" spans="1:112" x14ac:dyDescent="0.25">
      <c r="A178" s="15" t="s">
        <v>161</v>
      </c>
      <c r="B178" s="15">
        <v>800</v>
      </c>
      <c r="C178" s="15" t="s">
        <v>2761</v>
      </c>
      <c r="D178" s="15">
        <v>533</v>
      </c>
      <c r="E178" s="15" t="s">
        <v>2762</v>
      </c>
      <c r="F178" s="15" t="s">
        <v>2763</v>
      </c>
      <c r="G178" s="15" t="s">
        <v>2764</v>
      </c>
      <c r="H178" s="15" t="s">
        <v>2765</v>
      </c>
      <c r="I178" s="15" t="s">
        <v>166</v>
      </c>
      <c r="J178" s="15" t="s">
        <v>3228</v>
      </c>
      <c r="K178" s="15" t="s">
        <v>2766</v>
      </c>
      <c r="L178" s="15" t="s">
        <v>3775</v>
      </c>
      <c r="M178" s="15" t="s">
        <v>3969</v>
      </c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0">
        <v>1500</v>
      </c>
      <c r="AF178" s="73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1">
        <v>10</v>
      </c>
      <c r="AY178" s="74"/>
      <c r="AZ178" s="132">
        <f>VLOOKUP(Table7[[#This Row],[Vlookup Store '#]],'Kiosk Stickers'!A$4:$H$538,2,FALSE)</f>
        <v>0</v>
      </c>
      <c r="BA178" s="132"/>
      <c r="BB178" s="132"/>
      <c r="BC178" s="132"/>
      <c r="BD178" s="132"/>
      <c r="BE178" s="170"/>
      <c r="BF178" s="194"/>
      <c r="BG178" s="173"/>
      <c r="BH178" s="173"/>
      <c r="BI178" s="173"/>
      <c r="BJ178" s="173"/>
      <c r="BK178" s="173">
        <f>VLOOKUP(Table7[[#This Row],[Vlookup Store '#]],'Kiosk Stickers'!A$4:$H$538,3,FALSE)</f>
        <v>2</v>
      </c>
      <c r="BL178" s="173"/>
      <c r="BM178" s="173"/>
      <c r="BN178" s="215"/>
      <c r="BO178" s="199">
        <f>VLOOKUP(Table7[[#This Row],[Vlookup Store '#]],'Kiosk Stickers'!A$4:$H$538,4,FALSE)</f>
        <v>0</v>
      </c>
      <c r="BP178" s="171"/>
      <c r="BQ178" s="226"/>
      <c r="BR178" s="184">
        <f>VLOOKUP(Table7[[#This Row],[Vlookup Store '#]],'Kiosk Stickers'!A$4:$H$538,5,FALSE)</f>
        <v>0</v>
      </c>
      <c r="BS178" s="173"/>
      <c r="BT178" s="173"/>
      <c r="BU178" s="173"/>
      <c r="BV178" s="173"/>
      <c r="BW178" s="173"/>
      <c r="BX178" s="173"/>
      <c r="BY178" s="173"/>
      <c r="BZ178" s="215"/>
      <c r="CA178" s="243"/>
      <c r="CB178" s="233"/>
      <c r="CC178" s="233"/>
      <c r="CD178" s="233"/>
      <c r="CE178" s="233"/>
      <c r="CF178" s="233"/>
      <c r="CG178" s="233"/>
      <c r="CH178" s="262"/>
      <c r="CI178" s="351"/>
      <c r="CJ178" s="350"/>
      <c r="CK178" s="350"/>
      <c r="CL178" s="350"/>
      <c r="CM178" s="350"/>
      <c r="CN178" s="353">
        <v>2</v>
      </c>
      <c r="CO178" s="350"/>
      <c r="CP178" s="350"/>
      <c r="CQ178" s="364"/>
      <c r="CR178" s="370"/>
      <c r="CS178" s="367"/>
      <c r="CT178" s="367"/>
      <c r="CU178" s="367"/>
      <c r="CV178" s="378">
        <v>10</v>
      </c>
      <c r="CW178" s="387"/>
      <c r="CX178" s="398"/>
      <c r="CY178" s="399"/>
      <c r="CZ178" s="399"/>
      <c r="DA178" s="399"/>
      <c r="DB178" s="396">
        <v>1</v>
      </c>
      <c r="DC178" s="400"/>
      <c r="DD178" s="400"/>
      <c r="DE178" s="515"/>
      <c r="DF178" s="514">
        <f t="shared" si="2"/>
        <v>1</v>
      </c>
      <c r="DG178" s="146"/>
      <c r="DH178" s="145"/>
    </row>
    <row r="179" spans="1:112" x14ac:dyDescent="0.25">
      <c r="A179" s="15" t="s">
        <v>161</v>
      </c>
      <c r="B179" s="15">
        <v>800</v>
      </c>
      <c r="C179" s="15" t="s">
        <v>2772</v>
      </c>
      <c r="D179" s="15">
        <v>536</v>
      </c>
      <c r="E179" s="15" t="s">
        <v>2773</v>
      </c>
      <c r="F179" s="15" t="s">
        <v>2750</v>
      </c>
      <c r="G179" s="15" t="s">
        <v>2775</v>
      </c>
      <c r="H179" s="15" t="s">
        <v>2776</v>
      </c>
      <c r="I179" s="15" t="s">
        <v>166</v>
      </c>
      <c r="J179" s="15" t="s">
        <v>3228</v>
      </c>
      <c r="K179" s="15" t="s">
        <v>2777</v>
      </c>
      <c r="L179" s="15" t="s">
        <v>3775</v>
      </c>
      <c r="M179" s="15" t="s">
        <v>3969</v>
      </c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0">
        <v>1500</v>
      </c>
      <c r="AF179" s="73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1">
        <v>10</v>
      </c>
      <c r="AY179" s="74"/>
      <c r="AZ179" s="132">
        <f>VLOOKUP(Table7[[#This Row],[Vlookup Store '#]],'Kiosk Stickers'!A$4:$H$538,2,FALSE)</f>
        <v>0</v>
      </c>
      <c r="BA179" s="132"/>
      <c r="BB179" s="132"/>
      <c r="BC179" s="132"/>
      <c r="BD179" s="132"/>
      <c r="BE179" s="170"/>
      <c r="BF179" s="194"/>
      <c r="BG179" s="173"/>
      <c r="BH179" s="173"/>
      <c r="BI179" s="173"/>
      <c r="BJ179" s="173"/>
      <c r="BK179" s="173">
        <f>VLOOKUP(Table7[[#This Row],[Vlookup Store '#]],'Kiosk Stickers'!A$4:$H$538,3,FALSE)</f>
        <v>1</v>
      </c>
      <c r="BL179" s="173"/>
      <c r="BM179" s="173"/>
      <c r="BN179" s="215"/>
      <c r="BO179" s="199">
        <f>VLOOKUP(Table7[[#This Row],[Vlookup Store '#]],'Kiosk Stickers'!A$4:$H$538,4,FALSE)</f>
        <v>0</v>
      </c>
      <c r="BP179" s="171"/>
      <c r="BQ179" s="226"/>
      <c r="BR179" s="184">
        <f>VLOOKUP(Table7[[#This Row],[Vlookup Store '#]],'Kiosk Stickers'!A$4:$H$538,5,FALSE)</f>
        <v>0</v>
      </c>
      <c r="BS179" s="173"/>
      <c r="BT179" s="173"/>
      <c r="BU179" s="173"/>
      <c r="BV179" s="173"/>
      <c r="BW179" s="173"/>
      <c r="BX179" s="173"/>
      <c r="BY179" s="173"/>
      <c r="BZ179" s="215"/>
      <c r="CA179" s="243"/>
      <c r="CB179" s="233"/>
      <c r="CC179" s="233"/>
      <c r="CD179" s="233"/>
      <c r="CE179" s="233"/>
      <c r="CF179" s="233"/>
      <c r="CG179" s="233"/>
      <c r="CH179" s="262"/>
      <c r="CI179" s="351"/>
      <c r="CJ179" s="350"/>
      <c r="CK179" s="350"/>
      <c r="CL179" s="350"/>
      <c r="CM179" s="350"/>
      <c r="CN179" s="353">
        <v>2</v>
      </c>
      <c r="CO179" s="350"/>
      <c r="CP179" s="350"/>
      <c r="CQ179" s="364"/>
      <c r="CR179" s="370"/>
      <c r="CS179" s="367"/>
      <c r="CT179" s="367"/>
      <c r="CU179" s="367"/>
      <c r="CV179" s="378">
        <v>10</v>
      </c>
      <c r="CW179" s="387"/>
      <c r="CX179" s="398"/>
      <c r="CY179" s="399"/>
      <c r="CZ179" s="399"/>
      <c r="DA179" s="399"/>
      <c r="DB179" s="396">
        <v>1</v>
      </c>
      <c r="DC179" s="400"/>
      <c r="DD179" s="400"/>
      <c r="DE179" s="515"/>
      <c r="DF179" s="514">
        <f t="shared" si="2"/>
        <v>1</v>
      </c>
      <c r="DG179" s="146"/>
      <c r="DH179" s="145"/>
    </row>
    <row r="180" spans="1:112" x14ac:dyDescent="0.25">
      <c r="A180" s="15" t="s">
        <v>161</v>
      </c>
      <c r="B180" s="15">
        <v>800</v>
      </c>
      <c r="C180" s="15" t="s">
        <v>3544</v>
      </c>
      <c r="D180" s="15">
        <v>1511</v>
      </c>
      <c r="E180" s="15" t="s">
        <v>2652</v>
      </c>
      <c r="F180" s="15" t="s">
        <v>2653</v>
      </c>
      <c r="G180" s="15" t="s">
        <v>2654</v>
      </c>
      <c r="H180" s="15" t="s">
        <v>355</v>
      </c>
      <c r="I180" s="15" t="s">
        <v>166</v>
      </c>
      <c r="J180" s="15" t="s">
        <v>3545</v>
      </c>
      <c r="K180" s="15" t="s">
        <v>2655</v>
      </c>
      <c r="L180" s="15" t="s">
        <v>3775</v>
      </c>
      <c r="M180" s="15" t="s">
        <v>3969</v>
      </c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0">
        <v>1500</v>
      </c>
      <c r="AF180" s="73"/>
      <c r="AG180" s="74"/>
      <c r="AH180" s="74"/>
      <c r="AI180" s="74"/>
      <c r="AJ180" s="74"/>
      <c r="AK180" s="74"/>
      <c r="AL180" s="74"/>
      <c r="AM180" s="74"/>
      <c r="AN180" s="74"/>
      <c r="AO180" s="74"/>
      <c r="AP180" s="74"/>
      <c r="AQ180" s="74"/>
      <c r="AR180" s="74"/>
      <c r="AS180" s="74"/>
      <c r="AT180" s="74"/>
      <c r="AU180" s="74"/>
      <c r="AV180" s="74"/>
      <c r="AW180" s="74"/>
      <c r="AX180" s="71">
        <v>10</v>
      </c>
      <c r="AY180" s="74"/>
      <c r="AZ180" s="132">
        <f>VLOOKUP(Table7[[#This Row],[Vlookup Store '#]],'Kiosk Stickers'!A$4:$H$538,2,FALSE)</f>
        <v>0</v>
      </c>
      <c r="BA180" s="132"/>
      <c r="BB180" s="132"/>
      <c r="BC180" s="132"/>
      <c r="BD180" s="132"/>
      <c r="BE180" s="170"/>
      <c r="BF180" s="194"/>
      <c r="BG180" s="173"/>
      <c r="BH180" s="173"/>
      <c r="BI180" s="173"/>
      <c r="BJ180" s="173"/>
      <c r="BK180" s="173">
        <f>VLOOKUP(Table7[[#This Row],[Vlookup Store '#]],'Kiosk Stickers'!A$4:$H$538,3,FALSE)</f>
        <v>1</v>
      </c>
      <c r="BL180" s="173"/>
      <c r="BM180" s="173"/>
      <c r="BN180" s="215"/>
      <c r="BO180" s="199">
        <f>VLOOKUP(Table7[[#This Row],[Vlookup Store '#]],'Kiosk Stickers'!A$4:$H$538,4,FALSE)</f>
        <v>0</v>
      </c>
      <c r="BP180" s="171"/>
      <c r="BQ180" s="226"/>
      <c r="BR180" s="184">
        <f>VLOOKUP(Table7[[#This Row],[Vlookup Store '#]],'Kiosk Stickers'!A$4:$H$538,5,FALSE)</f>
        <v>0</v>
      </c>
      <c r="BS180" s="173"/>
      <c r="BT180" s="173"/>
      <c r="BU180" s="173"/>
      <c r="BV180" s="173"/>
      <c r="BW180" s="173"/>
      <c r="BX180" s="173"/>
      <c r="BY180" s="173"/>
      <c r="BZ180" s="215"/>
      <c r="CA180" s="243"/>
      <c r="CB180" s="233"/>
      <c r="CC180" s="233"/>
      <c r="CD180" s="233"/>
      <c r="CE180" s="233"/>
      <c r="CF180" s="233"/>
      <c r="CG180" s="233"/>
      <c r="CH180" s="262"/>
      <c r="CI180" s="351"/>
      <c r="CJ180" s="350"/>
      <c r="CK180" s="350"/>
      <c r="CL180" s="350"/>
      <c r="CM180" s="350"/>
      <c r="CN180" s="353">
        <v>2</v>
      </c>
      <c r="CO180" s="350"/>
      <c r="CP180" s="350"/>
      <c r="CQ180" s="364"/>
      <c r="CR180" s="370"/>
      <c r="CS180" s="367"/>
      <c r="CT180" s="367"/>
      <c r="CU180" s="367"/>
      <c r="CV180" s="378">
        <v>10</v>
      </c>
      <c r="CW180" s="387"/>
      <c r="CX180" s="398"/>
      <c r="CY180" s="399"/>
      <c r="CZ180" s="399"/>
      <c r="DA180" s="399"/>
      <c r="DB180" s="396">
        <v>1</v>
      </c>
      <c r="DC180" s="400"/>
      <c r="DD180" s="400"/>
      <c r="DE180" s="515"/>
      <c r="DF180" s="514">
        <f t="shared" si="2"/>
        <v>1</v>
      </c>
      <c r="DG180" s="146"/>
      <c r="DH180" s="145"/>
    </row>
    <row r="181" spans="1:112" x14ac:dyDescent="0.25">
      <c r="A181" s="15" t="s">
        <v>161</v>
      </c>
      <c r="B181" s="15">
        <v>800</v>
      </c>
      <c r="C181" s="15" t="s">
        <v>3546</v>
      </c>
      <c r="D181" s="15">
        <v>1512</v>
      </c>
      <c r="E181" s="15" t="s">
        <v>2656</v>
      </c>
      <c r="F181" s="15" t="s">
        <v>2657</v>
      </c>
      <c r="G181" s="15" t="s">
        <v>2658</v>
      </c>
      <c r="H181" s="15" t="s">
        <v>2659</v>
      </c>
      <c r="I181" s="15" t="s">
        <v>166</v>
      </c>
      <c r="J181" s="15" t="s">
        <v>3547</v>
      </c>
      <c r="K181" s="15" t="s">
        <v>2660</v>
      </c>
      <c r="L181" s="15" t="s">
        <v>3775</v>
      </c>
      <c r="M181" s="15" t="s">
        <v>3969</v>
      </c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0">
        <v>1500</v>
      </c>
      <c r="AF181" s="73"/>
      <c r="AG181" s="7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1">
        <v>10</v>
      </c>
      <c r="AY181" s="74"/>
      <c r="AZ181" s="132">
        <f>VLOOKUP(Table7[[#This Row],[Vlookup Store '#]],'Kiosk Stickers'!A$4:$H$538,2,FALSE)</f>
        <v>0</v>
      </c>
      <c r="BA181" s="132"/>
      <c r="BB181" s="132"/>
      <c r="BC181" s="132"/>
      <c r="BD181" s="132"/>
      <c r="BE181" s="170"/>
      <c r="BF181" s="194"/>
      <c r="BG181" s="173"/>
      <c r="BH181" s="173"/>
      <c r="BI181" s="173"/>
      <c r="BJ181" s="173"/>
      <c r="BK181" s="173">
        <f>VLOOKUP(Table7[[#This Row],[Vlookup Store '#]],'Kiosk Stickers'!A$4:$H$538,3,FALSE)</f>
        <v>2</v>
      </c>
      <c r="BL181" s="173"/>
      <c r="BM181" s="173"/>
      <c r="BN181" s="215"/>
      <c r="BO181" s="199">
        <f>VLOOKUP(Table7[[#This Row],[Vlookup Store '#]],'Kiosk Stickers'!A$4:$H$538,4,FALSE)</f>
        <v>0</v>
      </c>
      <c r="BP181" s="171"/>
      <c r="BQ181" s="226"/>
      <c r="BR181" s="184">
        <f>VLOOKUP(Table7[[#This Row],[Vlookup Store '#]],'Kiosk Stickers'!A$4:$H$538,5,FALSE)</f>
        <v>0</v>
      </c>
      <c r="BS181" s="173"/>
      <c r="BT181" s="173"/>
      <c r="BU181" s="173"/>
      <c r="BV181" s="173"/>
      <c r="BW181" s="173"/>
      <c r="BX181" s="173"/>
      <c r="BY181" s="173"/>
      <c r="BZ181" s="215"/>
      <c r="CA181" s="243"/>
      <c r="CB181" s="233"/>
      <c r="CC181" s="233"/>
      <c r="CD181" s="233"/>
      <c r="CE181" s="233"/>
      <c r="CF181" s="233"/>
      <c r="CG181" s="233"/>
      <c r="CH181" s="262"/>
      <c r="CI181" s="351"/>
      <c r="CJ181" s="350"/>
      <c r="CK181" s="350"/>
      <c r="CL181" s="350"/>
      <c r="CM181" s="350"/>
      <c r="CN181" s="353">
        <v>2</v>
      </c>
      <c r="CO181" s="350"/>
      <c r="CP181" s="350"/>
      <c r="CQ181" s="364"/>
      <c r="CR181" s="370"/>
      <c r="CS181" s="367"/>
      <c r="CT181" s="367"/>
      <c r="CU181" s="367"/>
      <c r="CV181" s="378">
        <v>10</v>
      </c>
      <c r="CW181" s="387"/>
      <c r="CX181" s="398"/>
      <c r="CY181" s="399"/>
      <c r="CZ181" s="399"/>
      <c r="DA181" s="399"/>
      <c r="DB181" s="396">
        <v>1</v>
      </c>
      <c r="DC181" s="400"/>
      <c r="DD181" s="400"/>
      <c r="DE181" s="515"/>
      <c r="DF181" s="514">
        <f t="shared" si="2"/>
        <v>1</v>
      </c>
      <c r="DG181" s="146"/>
      <c r="DH181" s="145"/>
    </row>
    <row r="182" spans="1:112" x14ac:dyDescent="0.25">
      <c r="A182" s="15" t="s">
        <v>161</v>
      </c>
      <c r="B182" s="15">
        <v>800</v>
      </c>
      <c r="C182" s="15" t="s">
        <v>3548</v>
      </c>
      <c r="D182" s="15">
        <v>1513</v>
      </c>
      <c r="E182" s="15" t="s">
        <v>2661</v>
      </c>
      <c r="F182" s="15" t="s">
        <v>2662</v>
      </c>
      <c r="G182" s="15" t="s">
        <v>2663</v>
      </c>
      <c r="H182" s="15" t="s">
        <v>2664</v>
      </c>
      <c r="I182" s="15" t="s">
        <v>166</v>
      </c>
      <c r="J182" s="15" t="s">
        <v>3549</v>
      </c>
      <c r="K182" s="15" t="s">
        <v>2665</v>
      </c>
      <c r="L182" s="15" t="s">
        <v>3775</v>
      </c>
      <c r="M182" s="15" t="s">
        <v>3969</v>
      </c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0">
        <v>1500</v>
      </c>
      <c r="AF182" s="73"/>
      <c r="AG182" s="74"/>
      <c r="AH182" s="74"/>
      <c r="AI182" s="74"/>
      <c r="AJ182" s="74"/>
      <c r="AK182" s="74"/>
      <c r="AL182" s="74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1">
        <v>10</v>
      </c>
      <c r="AY182" s="74"/>
      <c r="AZ182" s="132">
        <f>VLOOKUP(Table7[[#This Row],[Vlookup Store '#]],'Kiosk Stickers'!A$4:$H$538,2,FALSE)</f>
        <v>0</v>
      </c>
      <c r="BA182" s="132"/>
      <c r="BB182" s="132"/>
      <c r="BC182" s="132"/>
      <c r="BD182" s="132"/>
      <c r="BE182" s="170"/>
      <c r="BF182" s="194"/>
      <c r="BG182" s="173"/>
      <c r="BH182" s="173"/>
      <c r="BI182" s="173"/>
      <c r="BJ182" s="173"/>
      <c r="BK182" s="173">
        <f>VLOOKUP(Table7[[#This Row],[Vlookup Store '#]],'Kiosk Stickers'!A$4:$H$538,3,FALSE)</f>
        <v>2</v>
      </c>
      <c r="BL182" s="173"/>
      <c r="BM182" s="173"/>
      <c r="BN182" s="215"/>
      <c r="BO182" s="199">
        <f>VLOOKUP(Table7[[#This Row],[Vlookup Store '#]],'Kiosk Stickers'!A$4:$H$538,4,FALSE)</f>
        <v>0</v>
      </c>
      <c r="BP182" s="171"/>
      <c r="BQ182" s="226"/>
      <c r="BR182" s="184">
        <f>VLOOKUP(Table7[[#This Row],[Vlookup Store '#]],'Kiosk Stickers'!A$4:$H$538,5,FALSE)</f>
        <v>0</v>
      </c>
      <c r="BS182" s="173"/>
      <c r="BT182" s="173"/>
      <c r="BU182" s="173"/>
      <c r="BV182" s="173"/>
      <c r="BW182" s="173"/>
      <c r="BX182" s="173"/>
      <c r="BY182" s="173"/>
      <c r="BZ182" s="215"/>
      <c r="CA182" s="243"/>
      <c r="CB182" s="233"/>
      <c r="CC182" s="233"/>
      <c r="CD182" s="233"/>
      <c r="CE182" s="233"/>
      <c r="CF182" s="233"/>
      <c r="CG182" s="233"/>
      <c r="CH182" s="262"/>
      <c r="CI182" s="351"/>
      <c r="CJ182" s="350"/>
      <c r="CK182" s="350"/>
      <c r="CL182" s="350"/>
      <c r="CM182" s="350"/>
      <c r="CN182" s="353">
        <v>2</v>
      </c>
      <c r="CO182" s="350"/>
      <c r="CP182" s="350"/>
      <c r="CQ182" s="364"/>
      <c r="CR182" s="370"/>
      <c r="CS182" s="367"/>
      <c r="CT182" s="367"/>
      <c r="CU182" s="367"/>
      <c r="CV182" s="378">
        <v>10</v>
      </c>
      <c r="CW182" s="387"/>
      <c r="CX182" s="398"/>
      <c r="CY182" s="399"/>
      <c r="CZ182" s="399"/>
      <c r="DA182" s="399"/>
      <c r="DB182" s="396">
        <v>1</v>
      </c>
      <c r="DC182" s="400"/>
      <c r="DD182" s="400"/>
      <c r="DE182" s="515"/>
      <c r="DF182" s="514">
        <f t="shared" si="2"/>
        <v>1</v>
      </c>
      <c r="DG182" s="146"/>
      <c r="DH182" s="145"/>
    </row>
    <row r="183" spans="1:112" x14ac:dyDescent="0.25">
      <c r="A183" s="15" t="s">
        <v>161</v>
      </c>
      <c r="B183" s="15">
        <v>800</v>
      </c>
      <c r="C183" s="15" t="s">
        <v>3550</v>
      </c>
      <c r="D183" s="15">
        <v>1538</v>
      </c>
      <c r="E183" s="15" t="s">
        <v>2666</v>
      </c>
      <c r="F183" s="15" t="s">
        <v>2667</v>
      </c>
      <c r="G183" s="15" t="s">
        <v>2668</v>
      </c>
      <c r="H183" s="15" t="s">
        <v>2669</v>
      </c>
      <c r="I183" s="15" t="s">
        <v>166</v>
      </c>
      <c r="J183" s="15" t="s">
        <v>3551</v>
      </c>
      <c r="K183" s="15" t="s">
        <v>2670</v>
      </c>
      <c r="L183" s="15" t="s">
        <v>3775</v>
      </c>
      <c r="M183" s="15" t="s">
        <v>3969</v>
      </c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0">
        <v>1500</v>
      </c>
      <c r="AF183" s="73"/>
      <c r="AG183" s="74"/>
      <c r="AH183" s="74"/>
      <c r="AI183" s="74"/>
      <c r="AJ183" s="74"/>
      <c r="AK183" s="74"/>
      <c r="AL183" s="74"/>
      <c r="AM183" s="74"/>
      <c r="AN183" s="74"/>
      <c r="AO183" s="74"/>
      <c r="AP183" s="74"/>
      <c r="AQ183" s="74"/>
      <c r="AR183" s="74"/>
      <c r="AS183" s="74"/>
      <c r="AT183" s="74"/>
      <c r="AU183" s="74"/>
      <c r="AV183" s="74"/>
      <c r="AW183" s="74"/>
      <c r="AX183" s="71">
        <v>10</v>
      </c>
      <c r="AY183" s="74"/>
      <c r="AZ183" s="132">
        <f>VLOOKUP(Table7[[#This Row],[Vlookup Store '#]],'Kiosk Stickers'!A$4:$H$538,2,FALSE)</f>
        <v>0</v>
      </c>
      <c r="BA183" s="132"/>
      <c r="BB183" s="132"/>
      <c r="BC183" s="132"/>
      <c r="BD183" s="132"/>
      <c r="BE183" s="170"/>
      <c r="BF183" s="194"/>
      <c r="BG183" s="173"/>
      <c r="BH183" s="173"/>
      <c r="BI183" s="173"/>
      <c r="BJ183" s="173"/>
      <c r="BK183" s="173">
        <f>VLOOKUP(Table7[[#This Row],[Vlookup Store '#]],'Kiosk Stickers'!A$4:$H$538,3,FALSE)</f>
        <v>2</v>
      </c>
      <c r="BL183" s="173"/>
      <c r="BM183" s="173"/>
      <c r="BN183" s="215"/>
      <c r="BO183" s="199">
        <f>VLOOKUP(Table7[[#This Row],[Vlookup Store '#]],'Kiosk Stickers'!A$4:$H$538,4,FALSE)</f>
        <v>0</v>
      </c>
      <c r="BP183" s="171"/>
      <c r="BQ183" s="226"/>
      <c r="BR183" s="184">
        <f>VLOOKUP(Table7[[#This Row],[Vlookup Store '#]],'Kiosk Stickers'!A$4:$H$538,5,FALSE)</f>
        <v>0</v>
      </c>
      <c r="BS183" s="173"/>
      <c r="BT183" s="173"/>
      <c r="BU183" s="173"/>
      <c r="BV183" s="173"/>
      <c r="BW183" s="173"/>
      <c r="BX183" s="173"/>
      <c r="BY183" s="173"/>
      <c r="BZ183" s="215"/>
      <c r="CA183" s="243"/>
      <c r="CB183" s="233"/>
      <c r="CC183" s="233"/>
      <c r="CD183" s="233"/>
      <c r="CE183" s="233"/>
      <c r="CF183" s="233"/>
      <c r="CG183" s="233"/>
      <c r="CH183" s="262"/>
      <c r="CI183" s="351"/>
      <c r="CJ183" s="350"/>
      <c r="CK183" s="350"/>
      <c r="CL183" s="350"/>
      <c r="CM183" s="350"/>
      <c r="CN183" s="353">
        <v>2</v>
      </c>
      <c r="CO183" s="350"/>
      <c r="CP183" s="350"/>
      <c r="CQ183" s="364"/>
      <c r="CR183" s="370"/>
      <c r="CS183" s="367"/>
      <c r="CT183" s="367"/>
      <c r="CU183" s="367"/>
      <c r="CV183" s="378">
        <v>10</v>
      </c>
      <c r="CW183" s="387"/>
      <c r="CX183" s="398"/>
      <c r="CY183" s="399"/>
      <c r="CZ183" s="399"/>
      <c r="DA183" s="399"/>
      <c r="DB183" s="396">
        <v>1</v>
      </c>
      <c r="DC183" s="400"/>
      <c r="DD183" s="400"/>
      <c r="DE183" s="515"/>
      <c r="DF183" s="514">
        <f t="shared" si="2"/>
        <v>1</v>
      </c>
      <c r="DG183" s="146"/>
      <c r="DH183" s="145"/>
    </row>
    <row r="184" spans="1:112" x14ac:dyDescent="0.25">
      <c r="A184" s="15" t="s">
        <v>161</v>
      </c>
      <c r="B184" s="15">
        <v>800</v>
      </c>
      <c r="C184" s="15" t="s">
        <v>3552</v>
      </c>
      <c r="D184" s="15">
        <v>1539</v>
      </c>
      <c r="E184" s="15" t="s">
        <v>2671</v>
      </c>
      <c r="F184" s="15" t="s">
        <v>2672</v>
      </c>
      <c r="G184" s="15" t="s">
        <v>2673</v>
      </c>
      <c r="H184" s="15" t="s">
        <v>2674</v>
      </c>
      <c r="I184" s="15" t="s">
        <v>166</v>
      </c>
      <c r="J184" s="15" t="s">
        <v>3553</v>
      </c>
      <c r="K184" s="15" t="s">
        <v>2675</v>
      </c>
      <c r="L184" s="15" t="s">
        <v>3775</v>
      </c>
      <c r="M184" s="15" t="s">
        <v>3969</v>
      </c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0">
        <v>1500</v>
      </c>
      <c r="AF184" s="73"/>
      <c r="AG184" s="74"/>
      <c r="AH184" s="74"/>
      <c r="AI184" s="74"/>
      <c r="AJ184" s="74"/>
      <c r="AK184" s="74"/>
      <c r="AL184" s="74"/>
      <c r="AM184" s="74"/>
      <c r="AN184" s="74"/>
      <c r="AO184" s="74"/>
      <c r="AP184" s="74"/>
      <c r="AQ184" s="74"/>
      <c r="AR184" s="74"/>
      <c r="AS184" s="74"/>
      <c r="AT184" s="74"/>
      <c r="AU184" s="74"/>
      <c r="AV184" s="74"/>
      <c r="AW184" s="74"/>
      <c r="AX184" s="71">
        <v>10</v>
      </c>
      <c r="AY184" s="74"/>
      <c r="AZ184" s="165"/>
      <c r="BA184" s="132"/>
      <c r="BB184" s="132"/>
      <c r="BC184" s="132"/>
      <c r="BD184" s="132"/>
      <c r="BE184" s="170">
        <f>VLOOKUP(Table7[[#This Row],[Vlookup Store '#]],'Kiosk Stickers'!A$4:$H$538,2,FALSE)</f>
        <v>2</v>
      </c>
      <c r="BF184" s="194"/>
      <c r="BG184" s="173"/>
      <c r="BH184" s="173"/>
      <c r="BI184" s="173"/>
      <c r="BJ184" s="173"/>
      <c r="BK184" s="173">
        <f>VLOOKUP(Table7[[#This Row],[Vlookup Store '#]],'Kiosk Stickers'!A$4:$H$538,3,FALSE)</f>
        <v>0</v>
      </c>
      <c r="BL184" s="173"/>
      <c r="BM184" s="173"/>
      <c r="BN184" s="215"/>
      <c r="BO184" s="199">
        <f>VLOOKUP(Table7[[#This Row],[Vlookup Store '#]],'Kiosk Stickers'!A$4:$H$538,4,FALSE)</f>
        <v>0</v>
      </c>
      <c r="BP184" s="171"/>
      <c r="BQ184" s="226"/>
      <c r="BR184" s="184">
        <f>VLOOKUP(Table7[[#This Row],[Vlookup Store '#]],'Kiosk Stickers'!A$4:$H$538,5,FALSE)</f>
        <v>0</v>
      </c>
      <c r="BS184" s="173"/>
      <c r="BT184" s="173"/>
      <c r="BU184" s="173"/>
      <c r="BV184" s="173"/>
      <c r="BW184" s="173"/>
      <c r="BX184" s="173"/>
      <c r="BY184" s="173"/>
      <c r="BZ184" s="215"/>
      <c r="CA184" s="243"/>
      <c r="CB184" s="233"/>
      <c r="CC184" s="233"/>
      <c r="CD184" s="233"/>
      <c r="CE184" s="233"/>
      <c r="CF184" s="233"/>
      <c r="CG184" s="233"/>
      <c r="CH184" s="262"/>
      <c r="CI184" s="351"/>
      <c r="CJ184" s="350"/>
      <c r="CK184" s="350"/>
      <c r="CL184" s="350"/>
      <c r="CM184" s="350"/>
      <c r="CN184" s="353">
        <v>2</v>
      </c>
      <c r="CO184" s="350"/>
      <c r="CP184" s="350"/>
      <c r="CQ184" s="364"/>
      <c r="CR184" s="370"/>
      <c r="CS184" s="367"/>
      <c r="CT184" s="367"/>
      <c r="CU184" s="367"/>
      <c r="CV184" s="378">
        <v>10</v>
      </c>
      <c r="CW184" s="387"/>
      <c r="CX184" s="398"/>
      <c r="CY184" s="399"/>
      <c r="CZ184" s="399"/>
      <c r="DA184" s="399"/>
      <c r="DB184" s="396">
        <v>1</v>
      </c>
      <c r="DC184" s="400"/>
      <c r="DD184" s="400"/>
      <c r="DE184" s="515"/>
      <c r="DF184" s="514">
        <f t="shared" si="2"/>
        <v>1</v>
      </c>
      <c r="DG184" s="146"/>
      <c r="DH184" s="145"/>
    </row>
    <row r="185" spans="1:112" x14ac:dyDescent="0.25">
      <c r="A185" s="15" t="s">
        <v>161</v>
      </c>
      <c r="B185" s="15">
        <v>800</v>
      </c>
      <c r="C185" s="15" t="s">
        <v>3554</v>
      </c>
      <c r="D185" s="15">
        <v>1541</v>
      </c>
      <c r="E185" s="15" t="s">
        <v>2676</v>
      </c>
      <c r="F185" s="15" t="s">
        <v>2677</v>
      </c>
      <c r="G185" s="15" t="s">
        <v>2678</v>
      </c>
      <c r="H185" s="15" t="s">
        <v>2669</v>
      </c>
      <c r="I185" s="15" t="s">
        <v>166</v>
      </c>
      <c r="J185" s="15" t="s">
        <v>3555</v>
      </c>
      <c r="K185" s="15" t="s">
        <v>2679</v>
      </c>
      <c r="L185" s="15" t="s">
        <v>3775</v>
      </c>
      <c r="M185" s="15" t="s">
        <v>3969</v>
      </c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0">
        <v>1500</v>
      </c>
      <c r="AF185" s="73"/>
      <c r="AG185" s="74"/>
      <c r="AH185" s="74"/>
      <c r="AI185" s="74"/>
      <c r="AJ185" s="74"/>
      <c r="AK185" s="74"/>
      <c r="AL185" s="74"/>
      <c r="AM185" s="74"/>
      <c r="AN185" s="74"/>
      <c r="AO185" s="74"/>
      <c r="AP185" s="74"/>
      <c r="AQ185" s="74"/>
      <c r="AR185" s="74"/>
      <c r="AS185" s="74"/>
      <c r="AT185" s="74"/>
      <c r="AU185" s="74"/>
      <c r="AV185" s="74"/>
      <c r="AW185" s="74"/>
      <c r="AX185" s="71">
        <v>10</v>
      </c>
      <c r="AY185" s="74"/>
      <c r="AZ185" s="166"/>
      <c r="BA185" s="132"/>
      <c r="BB185" s="132"/>
      <c r="BC185" s="132"/>
      <c r="BD185" s="132"/>
      <c r="BE185" s="170">
        <f>VLOOKUP(Table7[[#This Row],[Vlookup Store '#]],'Kiosk Stickers'!A$4:$H$538,2,FALSE)</f>
        <v>0</v>
      </c>
      <c r="BF185" s="194"/>
      <c r="BG185" s="173"/>
      <c r="BH185" s="173"/>
      <c r="BI185" s="173"/>
      <c r="BJ185" s="173"/>
      <c r="BK185" s="173">
        <f>VLOOKUP(Table7[[#This Row],[Vlookup Store '#]],'Kiosk Stickers'!A$4:$H$538,3,FALSE)</f>
        <v>2</v>
      </c>
      <c r="BL185" s="173"/>
      <c r="BM185" s="173"/>
      <c r="BN185" s="215"/>
      <c r="BO185" s="199">
        <f>VLOOKUP(Table7[[#This Row],[Vlookup Store '#]],'Kiosk Stickers'!A$4:$H$538,4,FALSE)</f>
        <v>0</v>
      </c>
      <c r="BP185" s="171"/>
      <c r="BQ185" s="226"/>
      <c r="BR185" s="184">
        <f>VLOOKUP(Table7[[#This Row],[Vlookup Store '#]],'Kiosk Stickers'!A$4:$H$538,5,FALSE)</f>
        <v>0</v>
      </c>
      <c r="BS185" s="173"/>
      <c r="BT185" s="173"/>
      <c r="BU185" s="173"/>
      <c r="BV185" s="173"/>
      <c r="BW185" s="173"/>
      <c r="BX185" s="173"/>
      <c r="BY185" s="173"/>
      <c r="BZ185" s="215"/>
      <c r="CA185" s="243"/>
      <c r="CB185" s="233"/>
      <c r="CC185" s="233"/>
      <c r="CD185" s="233"/>
      <c r="CE185" s="233"/>
      <c r="CF185" s="233"/>
      <c r="CG185" s="233"/>
      <c r="CH185" s="262"/>
      <c r="CI185" s="351"/>
      <c r="CJ185" s="350"/>
      <c r="CK185" s="350"/>
      <c r="CL185" s="350"/>
      <c r="CM185" s="350"/>
      <c r="CN185" s="353">
        <v>2</v>
      </c>
      <c r="CO185" s="350"/>
      <c r="CP185" s="350"/>
      <c r="CQ185" s="364"/>
      <c r="CR185" s="370"/>
      <c r="CS185" s="367"/>
      <c r="CT185" s="367"/>
      <c r="CU185" s="367"/>
      <c r="CV185" s="378">
        <v>10</v>
      </c>
      <c r="CW185" s="387"/>
      <c r="CX185" s="398"/>
      <c r="CY185" s="399"/>
      <c r="CZ185" s="399"/>
      <c r="DA185" s="399"/>
      <c r="DB185" s="396">
        <v>1</v>
      </c>
      <c r="DC185" s="400"/>
      <c r="DD185" s="400"/>
      <c r="DE185" s="515"/>
      <c r="DF185" s="514">
        <f t="shared" si="2"/>
        <v>1</v>
      </c>
      <c r="DG185" s="146"/>
      <c r="DH185" s="145"/>
    </row>
    <row r="186" spans="1:112" x14ac:dyDescent="0.25">
      <c r="A186" s="15" t="s">
        <v>161</v>
      </c>
      <c r="B186" s="15">
        <v>800</v>
      </c>
      <c r="C186" s="15" t="s">
        <v>3696</v>
      </c>
      <c r="D186" s="15">
        <v>2559</v>
      </c>
      <c r="E186" s="15" t="s">
        <v>2680</v>
      </c>
      <c r="F186" s="15" t="s">
        <v>2681</v>
      </c>
      <c r="G186" s="15" t="s">
        <v>2682</v>
      </c>
      <c r="H186" s="15" t="s">
        <v>2683</v>
      </c>
      <c r="I186" s="15" t="s">
        <v>166</v>
      </c>
      <c r="J186" s="15" t="s">
        <v>3697</v>
      </c>
      <c r="K186" s="15" t="s">
        <v>2684</v>
      </c>
      <c r="L186" s="15" t="s">
        <v>3775</v>
      </c>
      <c r="M186" s="15" t="s">
        <v>3969</v>
      </c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0">
        <v>1500</v>
      </c>
      <c r="AF186" s="73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1">
        <v>10</v>
      </c>
      <c r="AY186" s="74"/>
      <c r="AZ186" s="166"/>
      <c r="BA186" s="132"/>
      <c r="BB186" s="132"/>
      <c r="BC186" s="132"/>
      <c r="BD186" s="132"/>
      <c r="BE186" s="170">
        <f>VLOOKUP(Table7[[#This Row],[Vlookup Store '#]],'Kiosk Stickers'!A$4:$H$538,2,FALSE)</f>
        <v>2</v>
      </c>
      <c r="BF186" s="184">
        <f>VLOOKUP(Table7[[#This Row],[Vlookup Store '#]],'Kiosk Stickers'!A$4:$H$538,3,FALSE)</f>
        <v>0</v>
      </c>
      <c r="BG186" s="173"/>
      <c r="BH186" s="173"/>
      <c r="BI186" s="173"/>
      <c r="BJ186" s="173"/>
      <c r="BK186" s="173"/>
      <c r="BL186" s="173"/>
      <c r="BM186" s="173"/>
      <c r="BN186" s="215"/>
      <c r="BO186" s="199">
        <f>VLOOKUP(Table7[[#This Row],[Vlookup Store '#]],'Kiosk Stickers'!A$4:$H$538,4,FALSE)</f>
        <v>0</v>
      </c>
      <c r="BP186" s="171"/>
      <c r="BQ186" s="226"/>
      <c r="BR186" s="184">
        <f>VLOOKUP(Table7[[#This Row],[Vlookup Store '#]],'Kiosk Stickers'!A$4:$H$538,5,FALSE)</f>
        <v>0</v>
      </c>
      <c r="BS186" s="173"/>
      <c r="BT186" s="173"/>
      <c r="BU186" s="173"/>
      <c r="BV186" s="173"/>
      <c r="BW186" s="173"/>
      <c r="BX186" s="173"/>
      <c r="BY186" s="173"/>
      <c r="BZ186" s="215"/>
      <c r="CA186" s="243"/>
      <c r="CB186" s="233"/>
      <c r="CC186" s="233"/>
      <c r="CD186" s="233"/>
      <c r="CE186" s="233"/>
      <c r="CF186" s="233"/>
      <c r="CG186" s="233"/>
      <c r="CH186" s="262"/>
      <c r="CI186" s="351"/>
      <c r="CJ186" s="350"/>
      <c r="CK186" s="350"/>
      <c r="CL186" s="350"/>
      <c r="CM186" s="350"/>
      <c r="CN186" s="353">
        <v>2</v>
      </c>
      <c r="CO186" s="350"/>
      <c r="CP186" s="350"/>
      <c r="CQ186" s="364"/>
      <c r="CR186" s="370"/>
      <c r="CS186" s="367"/>
      <c r="CT186" s="367"/>
      <c r="CU186" s="367"/>
      <c r="CV186" s="378">
        <v>10</v>
      </c>
      <c r="CW186" s="387"/>
      <c r="CX186" s="398"/>
      <c r="CY186" s="399"/>
      <c r="CZ186" s="399"/>
      <c r="DA186" s="399"/>
      <c r="DB186" s="396">
        <v>1</v>
      </c>
      <c r="DC186" s="400"/>
      <c r="DD186" s="400"/>
      <c r="DE186" s="515"/>
      <c r="DF186" s="514">
        <f t="shared" si="2"/>
        <v>1</v>
      </c>
      <c r="DG186" s="146"/>
      <c r="DH186" s="145"/>
    </row>
    <row r="187" spans="1:112" x14ac:dyDescent="0.25">
      <c r="A187" s="15" t="s">
        <v>126</v>
      </c>
      <c r="B187" s="15">
        <v>800</v>
      </c>
      <c r="C187" s="15" t="s">
        <v>3564</v>
      </c>
      <c r="D187" s="15">
        <v>1581</v>
      </c>
      <c r="E187" s="15" t="s">
        <v>2790</v>
      </c>
      <c r="F187" s="15" t="s">
        <v>2791</v>
      </c>
      <c r="G187" s="15" t="s">
        <v>2792</v>
      </c>
      <c r="H187" s="15" t="s">
        <v>130</v>
      </c>
      <c r="I187" s="15" t="s">
        <v>131</v>
      </c>
      <c r="J187" s="15" t="s">
        <v>3565</v>
      </c>
      <c r="K187" s="15" t="s">
        <v>2793</v>
      </c>
      <c r="L187" s="15" t="s">
        <v>3737</v>
      </c>
      <c r="M187" s="15" t="s">
        <v>3739</v>
      </c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0">
        <v>1500</v>
      </c>
      <c r="AA187" s="73"/>
      <c r="AB187" s="73"/>
      <c r="AC187" s="73"/>
      <c r="AD187" s="73"/>
      <c r="AE187" s="73"/>
      <c r="AF187" s="73"/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1">
        <v>10</v>
      </c>
      <c r="AT187" s="74"/>
      <c r="AU187" s="74"/>
      <c r="AV187" s="74"/>
      <c r="AW187" s="74"/>
      <c r="AX187" s="74"/>
      <c r="AY187" s="74"/>
      <c r="AZ187" s="165"/>
      <c r="BA187" s="132"/>
      <c r="BB187" s="132"/>
      <c r="BC187" s="132"/>
      <c r="BD187" s="132">
        <f>VLOOKUP(Table7[[#This Row],[Vlookup Store '#]],'Kiosk Stickers'!A$4:$H$538,2,FALSE)</f>
        <v>2</v>
      </c>
      <c r="BE187" s="170"/>
      <c r="BF187" s="184">
        <f>VLOOKUP(Table7[[#This Row],[Vlookup Store '#]],'Kiosk Stickers'!A$4:$H$538,3,FALSE)</f>
        <v>0</v>
      </c>
      <c r="BG187" s="173"/>
      <c r="BH187" s="173"/>
      <c r="BI187" s="173"/>
      <c r="BJ187" s="173"/>
      <c r="BK187" s="173"/>
      <c r="BL187" s="173"/>
      <c r="BM187" s="173"/>
      <c r="BN187" s="215"/>
      <c r="BO187" s="199">
        <f>VLOOKUP(Table7[[#This Row],[Vlookup Store '#]],'Kiosk Stickers'!A$4:$H$538,4,FALSE)</f>
        <v>0</v>
      </c>
      <c r="BP187" s="171"/>
      <c r="BQ187" s="226"/>
      <c r="BR187" s="184">
        <f>VLOOKUP(Table7[[#This Row],[Vlookup Store '#]],'Kiosk Stickers'!A$4:$H$538,5,FALSE)</f>
        <v>0</v>
      </c>
      <c r="BS187" s="173"/>
      <c r="BT187" s="173"/>
      <c r="BU187" s="173"/>
      <c r="BV187" s="173"/>
      <c r="BW187" s="173"/>
      <c r="BX187" s="173"/>
      <c r="BY187" s="173"/>
      <c r="BZ187" s="215"/>
      <c r="CA187" s="243"/>
      <c r="CB187" s="233"/>
      <c r="CC187" s="233"/>
      <c r="CD187" s="233"/>
      <c r="CE187" s="233"/>
      <c r="CF187" s="233"/>
      <c r="CG187" s="233"/>
      <c r="CH187" s="262"/>
      <c r="CI187" s="351"/>
      <c r="CJ187" s="350"/>
      <c r="CK187" s="350"/>
      <c r="CL187" s="350">
        <v>2</v>
      </c>
      <c r="CM187" s="350"/>
      <c r="CN187" s="350"/>
      <c r="CO187" s="350"/>
      <c r="CP187" s="350"/>
      <c r="CQ187" s="364"/>
      <c r="CR187" s="370"/>
      <c r="CS187" s="367"/>
      <c r="CT187" s="367"/>
      <c r="CU187" s="367">
        <v>10</v>
      </c>
      <c r="CV187" s="367"/>
      <c r="CW187" s="387"/>
      <c r="CX187" s="398"/>
      <c r="CY187" s="399"/>
      <c r="CZ187" s="399"/>
      <c r="DA187" s="399"/>
      <c r="DB187" s="399">
        <v>1</v>
      </c>
      <c r="DC187" s="400"/>
      <c r="DD187" s="400"/>
      <c r="DE187" s="515"/>
      <c r="DF187" s="514">
        <f t="shared" si="2"/>
        <v>1</v>
      </c>
      <c r="DG187" s="146"/>
      <c r="DH187" s="145"/>
    </row>
    <row r="188" spans="1:112" x14ac:dyDescent="0.25">
      <c r="A188" s="15" t="s">
        <v>126</v>
      </c>
      <c r="B188" s="15">
        <v>800</v>
      </c>
      <c r="C188" s="15" t="s">
        <v>3690</v>
      </c>
      <c r="D188" s="15">
        <v>2545</v>
      </c>
      <c r="E188" s="15" t="s">
        <v>2794</v>
      </c>
      <c r="F188" s="15" t="s">
        <v>2795</v>
      </c>
      <c r="G188" s="15" t="s">
        <v>2796</v>
      </c>
      <c r="H188" s="15" t="s">
        <v>130</v>
      </c>
      <c r="I188" s="15" t="s">
        <v>131</v>
      </c>
      <c r="J188" s="15" t="s">
        <v>3563</v>
      </c>
      <c r="K188" s="15" t="s">
        <v>2797</v>
      </c>
      <c r="L188" s="15" t="s">
        <v>3737</v>
      </c>
      <c r="M188" s="15" t="s">
        <v>3739</v>
      </c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0">
        <v>1500</v>
      </c>
      <c r="AA188" s="73"/>
      <c r="AB188" s="73"/>
      <c r="AC188" s="73"/>
      <c r="AD188" s="73"/>
      <c r="AE188" s="73"/>
      <c r="AF188" s="73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1">
        <v>10</v>
      </c>
      <c r="AT188" s="74"/>
      <c r="AU188" s="74"/>
      <c r="AV188" s="74"/>
      <c r="AW188" s="74"/>
      <c r="AX188" s="74"/>
      <c r="AY188" s="74"/>
      <c r="AZ188" s="166"/>
      <c r="BA188" s="132"/>
      <c r="BB188" s="132"/>
      <c r="BC188" s="132"/>
      <c r="BD188" s="132">
        <f>VLOOKUP(Table7[[#This Row],[Vlookup Store '#]],'Kiosk Stickers'!A$4:$H$538,2,FALSE)</f>
        <v>2</v>
      </c>
      <c r="BE188" s="170"/>
      <c r="BF188" s="184">
        <f>VLOOKUP(Table7[[#This Row],[Vlookup Store '#]],'Kiosk Stickers'!A$4:$H$538,3,FALSE)</f>
        <v>0</v>
      </c>
      <c r="BG188" s="173"/>
      <c r="BH188" s="173"/>
      <c r="BI188" s="173"/>
      <c r="BJ188" s="173"/>
      <c r="BK188" s="173"/>
      <c r="BL188" s="173"/>
      <c r="BM188" s="173"/>
      <c r="BN188" s="215"/>
      <c r="BO188" s="199">
        <f>VLOOKUP(Table7[[#This Row],[Vlookup Store '#]],'Kiosk Stickers'!A$4:$H$538,4,FALSE)</f>
        <v>0</v>
      </c>
      <c r="BP188" s="171"/>
      <c r="BQ188" s="226"/>
      <c r="BR188" s="184">
        <f>VLOOKUP(Table7[[#This Row],[Vlookup Store '#]],'Kiosk Stickers'!A$4:$H$538,5,FALSE)</f>
        <v>0</v>
      </c>
      <c r="BS188" s="173"/>
      <c r="BT188" s="173"/>
      <c r="BU188" s="173"/>
      <c r="BV188" s="173"/>
      <c r="BW188" s="173"/>
      <c r="BX188" s="173"/>
      <c r="BY188" s="173"/>
      <c r="BZ188" s="215"/>
      <c r="CA188" s="243"/>
      <c r="CB188" s="233"/>
      <c r="CC188" s="233"/>
      <c r="CD188" s="233"/>
      <c r="CE188" s="233"/>
      <c r="CF188" s="233"/>
      <c r="CG188" s="233"/>
      <c r="CH188" s="262"/>
      <c r="CI188" s="351"/>
      <c r="CJ188" s="350"/>
      <c r="CK188" s="350"/>
      <c r="CL188" s="350">
        <v>2</v>
      </c>
      <c r="CM188" s="350"/>
      <c r="CN188" s="350"/>
      <c r="CO188" s="350"/>
      <c r="CP188" s="350"/>
      <c r="CQ188" s="364"/>
      <c r="CR188" s="370"/>
      <c r="CS188" s="367"/>
      <c r="CT188" s="367"/>
      <c r="CU188" s="367">
        <v>10</v>
      </c>
      <c r="CV188" s="367"/>
      <c r="CW188" s="387"/>
      <c r="CX188" s="398"/>
      <c r="CY188" s="399"/>
      <c r="CZ188" s="399"/>
      <c r="DA188" s="399"/>
      <c r="DB188" s="399">
        <v>1</v>
      </c>
      <c r="DC188" s="400"/>
      <c r="DD188" s="400"/>
      <c r="DE188" s="515"/>
      <c r="DF188" s="514">
        <f t="shared" si="2"/>
        <v>1</v>
      </c>
      <c r="DG188" s="146"/>
      <c r="DH188" s="145"/>
    </row>
    <row r="189" spans="1:112" x14ac:dyDescent="0.25">
      <c r="A189" s="15" t="s">
        <v>140</v>
      </c>
      <c r="B189" s="15">
        <v>810</v>
      </c>
      <c r="C189" s="15" t="s">
        <v>2871</v>
      </c>
      <c r="D189" s="15">
        <v>481</v>
      </c>
      <c r="E189" s="15" t="s">
        <v>2872</v>
      </c>
      <c r="F189" s="15" t="s">
        <v>2880</v>
      </c>
      <c r="G189" s="15" t="s">
        <v>2873</v>
      </c>
      <c r="H189" s="15" t="s">
        <v>144</v>
      </c>
      <c r="I189" s="15" t="s">
        <v>145</v>
      </c>
      <c r="J189" s="15" t="s">
        <v>3201</v>
      </c>
      <c r="K189" s="15" t="s">
        <v>2874</v>
      </c>
      <c r="L189" s="15" t="s">
        <v>3837</v>
      </c>
      <c r="M189" s="15" t="s">
        <v>4062</v>
      </c>
      <c r="N189" s="73"/>
      <c r="O189" s="73"/>
      <c r="P189" s="73"/>
      <c r="Q189" s="73"/>
      <c r="R189" s="73"/>
      <c r="S189" s="73"/>
      <c r="T189" s="73">
        <v>1500</v>
      </c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4"/>
      <c r="AH189" s="74"/>
      <c r="AI189" s="74"/>
      <c r="AJ189" s="74"/>
      <c r="AK189" s="74"/>
      <c r="AL189" s="74"/>
      <c r="AM189" s="74">
        <v>10</v>
      </c>
      <c r="AN189" s="74"/>
      <c r="AO189" s="74"/>
      <c r="AP189" s="74"/>
      <c r="AQ189" s="74"/>
      <c r="AR189" s="74"/>
      <c r="AS189" s="74"/>
      <c r="AT189" s="74"/>
      <c r="AU189" s="74"/>
      <c r="AV189" s="74"/>
      <c r="AW189" s="74"/>
      <c r="AX189" s="74"/>
      <c r="AY189" s="74"/>
      <c r="AZ189" s="132">
        <f>VLOOKUP(Table7[[#This Row],[Vlookup Store '#]],'Kiosk Stickers'!A$4:$H$538,2,FALSE)</f>
        <v>0</v>
      </c>
      <c r="BA189" s="132"/>
      <c r="BB189" s="132"/>
      <c r="BC189" s="132"/>
      <c r="BD189" s="132"/>
      <c r="BE189" s="170"/>
      <c r="BF189" s="184">
        <f>VLOOKUP(Table7[[#This Row],[Vlookup Store '#]],'Kiosk Stickers'!A$4:$H$538,3,FALSE)</f>
        <v>0</v>
      </c>
      <c r="BG189" s="173"/>
      <c r="BH189" s="173"/>
      <c r="BI189" s="173"/>
      <c r="BJ189" s="173"/>
      <c r="BK189" s="173"/>
      <c r="BL189" s="173"/>
      <c r="BM189" s="173"/>
      <c r="BN189" s="215"/>
      <c r="BO189" s="199">
        <f>VLOOKUP(Table7[[#This Row],[Vlookup Store '#]],'Kiosk Stickers'!A$4:$H$538,4,FALSE)</f>
        <v>0</v>
      </c>
      <c r="BP189" s="171"/>
      <c r="BQ189" s="226"/>
      <c r="BR189" s="194"/>
      <c r="BS189" s="173"/>
      <c r="BT189" s="173"/>
      <c r="BU189" s="173"/>
      <c r="BV189" s="173"/>
      <c r="BW189" s="173"/>
      <c r="BX189" s="173"/>
      <c r="BY189" s="173"/>
      <c r="BZ189" s="215">
        <f>VLOOKUP(Table7[[#This Row],[Vlookup Store '#]],'Kiosk Stickers'!A$4:$H$538,5,FALSE)</f>
        <v>1</v>
      </c>
      <c r="CA189" s="243"/>
      <c r="CB189" s="233"/>
      <c r="CC189" s="233"/>
      <c r="CD189" s="233"/>
      <c r="CE189" s="233"/>
      <c r="CF189" s="233"/>
      <c r="CG189" s="233"/>
      <c r="CH189" s="262"/>
      <c r="CI189" s="351"/>
      <c r="CJ189" s="350"/>
      <c r="CK189" s="350"/>
      <c r="CL189" s="350"/>
      <c r="CM189" s="350"/>
      <c r="CN189" s="350"/>
      <c r="CO189" s="350"/>
      <c r="CP189" s="350"/>
      <c r="CQ189" s="364"/>
      <c r="CR189" s="370">
        <v>10</v>
      </c>
      <c r="CS189" s="367"/>
      <c r="CT189" s="367"/>
      <c r="CU189" s="367"/>
      <c r="CV189" s="367"/>
      <c r="CW189" s="387"/>
      <c r="CX189" s="398">
        <v>1</v>
      </c>
      <c r="CY189" s="399"/>
      <c r="CZ189" s="399"/>
      <c r="DA189" s="399"/>
      <c r="DB189" s="399"/>
      <c r="DC189" s="400"/>
      <c r="DD189" s="400"/>
      <c r="DE189" s="515"/>
      <c r="DF189" s="514">
        <f t="shared" si="2"/>
        <v>1</v>
      </c>
      <c r="DG189" s="146"/>
      <c r="DH189" s="145"/>
    </row>
    <row r="190" spans="1:112" x14ac:dyDescent="0.25">
      <c r="A190" s="15" t="s">
        <v>140</v>
      </c>
      <c r="B190" s="15">
        <v>810</v>
      </c>
      <c r="C190" s="15" t="s">
        <v>2875</v>
      </c>
      <c r="D190" s="15">
        <v>482</v>
      </c>
      <c r="E190" s="15" t="s">
        <v>2691</v>
      </c>
      <c r="F190" s="15" t="s">
        <v>2876</v>
      </c>
      <c r="G190" s="15" t="s">
        <v>143</v>
      </c>
      <c r="H190" s="15" t="s">
        <v>144</v>
      </c>
      <c r="I190" s="15" t="s">
        <v>145</v>
      </c>
      <c r="J190" s="15" t="s">
        <v>3202</v>
      </c>
      <c r="K190" s="15" t="s">
        <v>2877</v>
      </c>
      <c r="L190" s="15" t="s">
        <v>3837</v>
      </c>
      <c r="M190" s="15" t="s">
        <v>4062</v>
      </c>
      <c r="N190" s="73"/>
      <c r="O190" s="73"/>
      <c r="P190" s="73"/>
      <c r="Q190" s="73"/>
      <c r="R190" s="73"/>
      <c r="S190" s="73"/>
      <c r="T190" s="73">
        <v>1500</v>
      </c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4"/>
      <c r="AH190" s="74"/>
      <c r="AI190" s="74"/>
      <c r="AJ190" s="74"/>
      <c r="AK190" s="74"/>
      <c r="AL190" s="74"/>
      <c r="AM190" s="74">
        <v>10</v>
      </c>
      <c r="AN190" s="74"/>
      <c r="AO190" s="74"/>
      <c r="AP190" s="74"/>
      <c r="AQ190" s="74"/>
      <c r="AR190" s="74"/>
      <c r="AS190" s="74"/>
      <c r="AT190" s="74"/>
      <c r="AU190" s="74"/>
      <c r="AV190" s="74"/>
      <c r="AW190" s="74"/>
      <c r="AX190" s="74"/>
      <c r="AY190" s="74"/>
      <c r="AZ190" s="132">
        <f>VLOOKUP(Table7[[#This Row],[Vlookup Store '#]],'Kiosk Stickers'!A$4:$H$538,2,FALSE)</f>
        <v>0</v>
      </c>
      <c r="BA190" s="132"/>
      <c r="BB190" s="132"/>
      <c r="BC190" s="132"/>
      <c r="BD190" s="132"/>
      <c r="BE190" s="170"/>
      <c r="BF190" s="184">
        <f>VLOOKUP(Table7[[#This Row],[Vlookup Store '#]],'Kiosk Stickers'!A$4:$H$538,3,FALSE)</f>
        <v>0</v>
      </c>
      <c r="BG190" s="173"/>
      <c r="BH190" s="173"/>
      <c r="BI190" s="173"/>
      <c r="BJ190" s="173"/>
      <c r="BK190" s="173"/>
      <c r="BL190" s="173"/>
      <c r="BM190" s="173"/>
      <c r="BN190" s="215"/>
      <c r="BO190" s="199">
        <f>VLOOKUP(Table7[[#This Row],[Vlookup Store '#]],'Kiosk Stickers'!A$4:$H$538,4,FALSE)</f>
        <v>0</v>
      </c>
      <c r="BP190" s="171"/>
      <c r="BQ190" s="226"/>
      <c r="BR190" s="184">
        <f>VLOOKUP(Table7[[#This Row],[Vlookup Store '#]],'Kiosk Stickers'!A$4:$H$538,5,FALSE)</f>
        <v>0</v>
      </c>
      <c r="BS190" s="173"/>
      <c r="BT190" s="173"/>
      <c r="BU190" s="173"/>
      <c r="BV190" s="173"/>
      <c r="BW190" s="173"/>
      <c r="BX190" s="173"/>
      <c r="BY190" s="173"/>
      <c r="BZ190" s="215"/>
      <c r="CA190" s="244"/>
      <c r="CB190" s="233"/>
      <c r="CC190" s="233"/>
      <c r="CD190" s="233"/>
      <c r="CE190" s="233"/>
      <c r="CF190" s="233"/>
      <c r="CG190" s="233"/>
      <c r="CH190" s="263">
        <v>1</v>
      </c>
      <c r="CI190" s="332"/>
      <c r="CJ190" s="328"/>
      <c r="CK190" s="328"/>
      <c r="CL190" s="328"/>
      <c r="CM190" s="328"/>
      <c r="CN190" s="328"/>
      <c r="CO190" s="328"/>
      <c r="CP190" s="328"/>
      <c r="CQ190" s="365">
        <v>2</v>
      </c>
      <c r="CR190" s="370">
        <v>10</v>
      </c>
      <c r="CS190" s="368"/>
      <c r="CT190" s="368"/>
      <c r="CU190" s="368"/>
      <c r="CV190" s="368"/>
      <c r="CW190" s="388"/>
      <c r="CX190" s="398">
        <v>1</v>
      </c>
      <c r="CY190" s="401"/>
      <c r="CZ190" s="401"/>
      <c r="DA190" s="401"/>
      <c r="DB190" s="401"/>
      <c r="DC190" s="400"/>
      <c r="DD190" s="400"/>
      <c r="DE190" s="515"/>
      <c r="DF190" s="514">
        <f t="shared" si="2"/>
        <v>1</v>
      </c>
      <c r="DG190" s="146"/>
      <c r="DH190" s="145"/>
    </row>
    <row r="191" spans="1:112" x14ac:dyDescent="0.25">
      <c r="A191" s="15" t="s">
        <v>140</v>
      </c>
      <c r="B191" s="15">
        <v>810</v>
      </c>
      <c r="C191" s="15" t="s">
        <v>2883</v>
      </c>
      <c r="D191" s="15">
        <v>492</v>
      </c>
      <c r="E191" s="15" t="s">
        <v>2884</v>
      </c>
      <c r="F191" s="15" t="s">
        <v>2885</v>
      </c>
      <c r="G191" s="15" t="s">
        <v>2886</v>
      </c>
      <c r="H191" s="15" t="s">
        <v>343</v>
      </c>
      <c r="I191" s="15" t="s">
        <v>344</v>
      </c>
      <c r="J191" s="15" t="s">
        <v>3204</v>
      </c>
      <c r="K191" s="15" t="s">
        <v>2887</v>
      </c>
      <c r="L191" s="15" t="s">
        <v>3837</v>
      </c>
      <c r="M191" s="15" t="s">
        <v>4062</v>
      </c>
      <c r="N191" s="73"/>
      <c r="O191" s="73"/>
      <c r="P191" s="73"/>
      <c r="Q191" s="73"/>
      <c r="R191" s="73"/>
      <c r="S191" s="73"/>
      <c r="T191" s="73">
        <v>1500</v>
      </c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4"/>
      <c r="AH191" s="74"/>
      <c r="AI191" s="74"/>
      <c r="AJ191" s="74"/>
      <c r="AK191" s="74"/>
      <c r="AL191" s="74"/>
      <c r="AM191" s="74">
        <v>10</v>
      </c>
      <c r="AN191" s="74"/>
      <c r="AO191" s="74"/>
      <c r="AP191" s="74"/>
      <c r="AQ191" s="74"/>
      <c r="AR191" s="74"/>
      <c r="AS191" s="74"/>
      <c r="AT191" s="74"/>
      <c r="AU191" s="74"/>
      <c r="AV191" s="74"/>
      <c r="AW191" s="74"/>
      <c r="AX191" s="74"/>
      <c r="AY191" s="74"/>
      <c r="AZ191" s="132">
        <f>VLOOKUP(Table7[[#This Row],[Vlookup Store '#]],'Kiosk Stickers'!A$4:$H$538,2,FALSE)</f>
        <v>0</v>
      </c>
      <c r="BA191" s="132"/>
      <c r="BB191" s="132"/>
      <c r="BC191" s="132"/>
      <c r="BD191" s="132"/>
      <c r="BE191" s="170"/>
      <c r="BF191" s="184">
        <f>VLOOKUP(Table7[[#This Row],[Vlookup Store '#]],'Kiosk Stickers'!A$4:$H$538,3,FALSE)</f>
        <v>0</v>
      </c>
      <c r="BG191" s="173"/>
      <c r="BH191" s="173"/>
      <c r="BI191" s="173"/>
      <c r="BJ191" s="173"/>
      <c r="BK191" s="173"/>
      <c r="BL191" s="173"/>
      <c r="BM191" s="173"/>
      <c r="BN191" s="215"/>
      <c r="BO191" s="199">
        <f>VLOOKUP(Table7[[#This Row],[Vlookup Store '#]],'Kiosk Stickers'!A$4:$H$538,4,FALSE)</f>
        <v>0</v>
      </c>
      <c r="BP191" s="171"/>
      <c r="BQ191" s="226"/>
      <c r="BR191" s="184">
        <f>VLOOKUP(Table7[[#This Row],[Vlookup Store '#]],'Kiosk Stickers'!A$4:$H$538,5,FALSE)</f>
        <v>0</v>
      </c>
      <c r="BS191" s="173"/>
      <c r="BT191" s="173"/>
      <c r="BU191" s="173"/>
      <c r="BV191" s="173"/>
      <c r="BW191" s="173"/>
      <c r="BX191" s="173"/>
      <c r="BY191" s="173"/>
      <c r="BZ191" s="215"/>
      <c r="CA191" s="244"/>
      <c r="CB191" s="233"/>
      <c r="CC191" s="233"/>
      <c r="CD191" s="233"/>
      <c r="CE191" s="233"/>
      <c r="CF191" s="233"/>
      <c r="CG191" s="233"/>
      <c r="CH191" s="263">
        <v>1</v>
      </c>
      <c r="CI191" s="332"/>
      <c r="CJ191" s="328"/>
      <c r="CK191" s="328"/>
      <c r="CL191" s="328"/>
      <c r="CM191" s="328"/>
      <c r="CN191" s="328"/>
      <c r="CO191" s="328"/>
      <c r="CP191" s="328"/>
      <c r="CQ191" s="365">
        <v>2</v>
      </c>
      <c r="CR191" s="370">
        <v>10</v>
      </c>
      <c r="CS191" s="368"/>
      <c r="CT191" s="368"/>
      <c r="CU191" s="368"/>
      <c r="CV191" s="368"/>
      <c r="CW191" s="388"/>
      <c r="CX191" s="398">
        <v>1</v>
      </c>
      <c r="CY191" s="401"/>
      <c r="CZ191" s="401"/>
      <c r="DA191" s="401"/>
      <c r="DB191" s="401"/>
      <c r="DC191" s="400"/>
      <c r="DD191" s="400"/>
      <c r="DE191" s="515"/>
      <c r="DF191" s="514">
        <f t="shared" si="2"/>
        <v>1</v>
      </c>
      <c r="DG191" s="146"/>
      <c r="DH191" s="145"/>
    </row>
    <row r="192" spans="1:112" x14ac:dyDescent="0.25">
      <c r="A192" s="15" t="s">
        <v>140</v>
      </c>
      <c r="B192" s="15">
        <v>810</v>
      </c>
      <c r="C192" s="15" t="s">
        <v>3502</v>
      </c>
      <c r="D192" s="15">
        <v>1453</v>
      </c>
      <c r="E192" s="15" t="s">
        <v>2861</v>
      </c>
      <c r="F192" s="15" t="s">
        <v>2862</v>
      </c>
      <c r="G192" s="15" t="s">
        <v>2863</v>
      </c>
      <c r="H192" s="15" t="s">
        <v>2864</v>
      </c>
      <c r="I192" s="15" t="s">
        <v>344</v>
      </c>
      <c r="J192" s="15" t="s">
        <v>3503</v>
      </c>
      <c r="K192" s="15" t="s">
        <v>2865</v>
      </c>
      <c r="L192" s="15" t="s">
        <v>3837</v>
      </c>
      <c r="M192" s="15" t="s">
        <v>3839</v>
      </c>
      <c r="N192" s="73"/>
      <c r="O192" s="73"/>
      <c r="P192" s="73"/>
      <c r="Q192" s="73"/>
      <c r="R192" s="73"/>
      <c r="S192" s="73"/>
      <c r="T192" s="70">
        <v>1500</v>
      </c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4"/>
      <c r="AH192" s="74"/>
      <c r="AI192" s="74"/>
      <c r="AJ192" s="74"/>
      <c r="AK192" s="74"/>
      <c r="AL192" s="74"/>
      <c r="AM192" s="71">
        <v>10</v>
      </c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  <c r="AY192" s="74"/>
      <c r="AZ192" s="132">
        <f>VLOOKUP(Table7[[#This Row],[Vlookup Store '#]],'Kiosk Stickers'!A$4:$H$538,2,FALSE)</f>
        <v>0</v>
      </c>
      <c r="BA192" s="132"/>
      <c r="BB192" s="132"/>
      <c r="BC192" s="132"/>
      <c r="BD192" s="132"/>
      <c r="BE192" s="170"/>
      <c r="BF192" s="184">
        <f>VLOOKUP(Table7[[#This Row],[Vlookup Store '#]],'Kiosk Stickers'!A$4:$H$538,3,FALSE)</f>
        <v>2</v>
      </c>
      <c r="BG192" s="173"/>
      <c r="BH192" s="173"/>
      <c r="BI192" s="173"/>
      <c r="BJ192" s="173"/>
      <c r="BK192" s="173"/>
      <c r="BL192" s="173"/>
      <c r="BM192" s="173"/>
      <c r="BN192" s="215"/>
      <c r="BO192" s="199">
        <f>VLOOKUP(Table7[[#This Row],[Vlookup Store '#]],'Kiosk Stickers'!A$4:$H$538,4,FALSE)</f>
        <v>0</v>
      </c>
      <c r="BP192" s="171"/>
      <c r="BQ192" s="226"/>
      <c r="BR192" s="184">
        <f>VLOOKUP(Table7[[#This Row],[Vlookup Store '#]],'Kiosk Stickers'!A$4:$H$538,5,FALSE)</f>
        <v>0</v>
      </c>
      <c r="BS192" s="173"/>
      <c r="BT192" s="173"/>
      <c r="BU192" s="173"/>
      <c r="BV192" s="173"/>
      <c r="BW192" s="173"/>
      <c r="BX192" s="173"/>
      <c r="BY192" s="173"/>
      <c r="BZ192" s="215"/>
      <c r="CA192" s="243"/>
      <c r="CB192" s="233"/>
      <c r="CC192" s="233"/>
      <c r="CD192" s="233"/>
      <c r="CE192" s="233"/>
      <c r="CF192" s="233"/>
      <c r="CG192" s="233"/>
      <c r="CH192" s="262"/>
      <c r="CI192" s="351">
        <v>2</v>
      </c>
      <c r="CJ192" s="350"/>
      <c r="CK192" s="350"/>
      <c r="CL192" s="350"/>
      <c r="CM192" s="350"/>
      <c r="CN192" s="350"/>
      <c r="CO192" s="350"/>
      <c r="CP192" s="350"/>
      <c r="CQ192" s="364"/>
      <c r="CR192" s="370">
        <v>10</v>
      </c>
      <c r="CS192" s="367"/>
      <c r="CT192" s="367"/>
      <c r="CU192" s="367"/>
      <c r="CV192" s="367"/>
      <c r="CW192" s="387"/>
      <c r="CX192" s="398">
        <v>1</v>
      </c>
      <c r="CY192" s="399"/>
      <c r="CZ192" s="399"/>
      <c r="DA192" s="399"/>
      <c r="DB192" s="399"/>
      <c r="DC192" s="400"/>
      <c r="DD192" s="400"/>
      <c r="DE192" s="515"/>
      <c r="DF192" s="514">
        <f t="shared" si="2"/>
        <v>1</v>
      </c>
      <c r="DG192" s="146"/>
      <c r="DH192" s="145"/>
    </row>
    <row r="193" spans="1:112" x14ac:dyDescent="0.25">
      <c r="A193" s="15" t="s">
        <v>140</v>
      </c>
      <c r="B193" s="15">
        <v>810</v>
      </c>
      <c r="C193" s="15" t="s">
        <v>3506</v>
      </c>
      <c r="D193" s="15">
        <v>1458</v>
      </c>
      <c r="E193" s="15" t="s">
        <v>2866</v>
      </c>
      <c r="F193" s="15" t="s">
        <v>2867</v>
      </c>
      <c r="G193" s="15" t="s">
        <v>2868</v>
      </c>
      <c r="H193" s="15" t="s">
        <v>2869</v>
      </c>
      <c r="I193" s="15" t="s">
        <v>344</v>
      </c>
      <c r="J193" s="15" t="s">
        <v>3507</v>
      </c>
      <c r="K193" s="15" t="s">
        <v>2870</v>
      </c>
      <c r="L193" s="15" t="s">
        <v>3837</v>
      </c>
      <c r="M193" s="15" t="s">
        <v>4062</v>
      </c>
      <c r="N193" s="73"/>
      <c r="O193" s="73"/>
      <c r="P193" s="73"/>
      <c r="Q193" s="73"/>
      <c r="R193" s="73"/>
      <c r="S193" s="73"/>
      <c r="T193" s="73">
        <v>1500</v>
      </c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4"/>
      <c r="AH193" s="74"/>
      <c r="AI193" s="74"/>
      <c r="AJ193" s="74"/>
      <c r="AK193" s="74"/>
      <c r="AL193" s="74"/>
      <c r="AM193" s="74">
        <v>10</v>
      </c>
      <c r="AN193" s="74"/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  <c r="AY193" s="74"/>
      <c r="AZ193" s="132">
        <f>VLOOKUP(Table7[[#This Row],[Vlookup Store '#]],'Kiosk Stickers'!A$4:$H$538,2,FALSE)</f>
        <v>0</v>
      </c>
      <c r="BA193" s="132"/>
      <c r="BB193" s="132"/>
      <c r="BC193" s="132"/>
      <c r="BD193" s="132"/>
      <c r="BE193" s="170"/>
      <c r="BF193" s="194"/>
      <c r="BG193" s="173"/>
      <c r="BH193" s="173"/>
      <c r="BI193" s="173"/>
      <c r="BJ193" s="173"/>
      <c r="BK193" s="173"/>
      <c r="BL193" s="173"/>
      <c r="BM193" s="173"/>
      <c r="BN193" s="215">
        <f>VLOOKUP(Table7[[#This Row],[Vlookup Store '#]],'Kiosk Stickers'!A$4:$H$538,3,FALSE)</f>
        <v>2</v>
      </c>
      <c r="BO193" s="199">
        <f>VLOOKUP(Table7[[#This Row],[Vlookup Store '#]],'Kiosk Stickers'!A$4:$H$538,4,FALSE)</f>
        <v>0</v>
      </c>
      <c r="BP193" s="171"/>
      <c r="BQ193" s="226"/>
      <c r="BR193" s="184">
        <f>VLOOKUP(Table7[[#This Row],[Vlookup Store '#]],'Kiosk Stickers'!A$4:$H$538,5,FALSE)</f>
        <v>0</v>
      </c>
      <c r="BS193" s="173"/>
      <c r="BT193" s="173"/>
      <c r="BU193" s="173"/>
      <c r="BV193" s="173"/>
      <c r="BW193" s="173"/>
      <c r="BX193" s="173"/>
      <c r="BY193" s="173"/>
      <c r="BZ193" s="215"/>
      <c r="CA193" s="243"/>
      <c r="CB193" s="233"/>
      <c r="CC193" s="233"/>
      <c r="CD193" s="233"/>
      <c r="CE193" s="233"/>
      <c r="CF193" s="233"/>
      <c r="CG193" s="233"/>
      <c r="CH193" s="262"/>
      <c r="CI193" s="351"/>
      <c r="CJ193" s="350"/>
      <c r="CK193" s="350"/>
      <c r="CL193" s="350"/>
      <c r="CM193" s="350"/>
      <c r="CN193" s="350"/>
      <c r="CO193" s="350"/>
      <c r="CP193" s="350"/>
      <c r="CQ193" s="364"/>
      <c r="CR193" s="370">
        <v>10</v>
      </c>
      <c r="CS193" s="367"/>
      <c r="CT193" s="367"/>
      <c r="CU193" s="367"/>
      <c r="CV193" s="367"/>
      <c r="CW193" s="387"/>
      <c r="CX193" s="398">
        <v>1</v>
      </c>
      <c r="CY193" s="399"/>
      <c r="CZ193" s="399"/>
      <c r="DA193" s="399"/>
      <c r="DB193" s="399"/>
      <c r="DC193" s="400"/>
      <c r="DD193" s="400"/>
      <c r="DE193" s="515"/>
      <c r="DF193" s="514">
        <f t="shared" si="2"/>
        <v>1</v>
      </c>
      <c r="DG193" s="146"/>
      <c r="DH193" s="145"/>
    </row>
    <row r="194" spans="1:112" x14ac:dyDescent="0.25">
      <c r="A194" s="15" t="s">
        <v>147</v>
      </c>
      <c r="B194" s="15">
        <v>810</v>
      </c>
      <c r="C194" s="15" t="s">
        <v>2937</v>
      </c>
      <c r="D194" s="15">
        <v>493</v>
      </c>
      <c r="E194" s="15" t="s">
        <v>2938</v>
      </c>
      <c r="F194" s="15" t="s">
        <v>2950</v>
      </c>
      <c r="G194" s="15" t="s">
        <v>2940</v>
      </c>
      <c r="H194" s="15" t="s">
        <v>2941</v>
      </c>
      <c r="I194" s="15" t="s">
        <v>145</v>
      </c>
      <c r="J194" s="15" t="s">
        <v>3205</v>
      </c>
      <c r="K194" s="15" t="s">
        <v>2942</v>
      </c>
      <c r="L194" s="15" t="s">
        <v>3837</v>
      </c>
      <c r="M194" s="15" t="s">
        <v>3839</v>
      </c>
      <c r="N194" s="73"/>
      <c r="O194" s="73"/>
      <c r="P194" s="73"/>
      <c r="Q194" s="73"/>
      <c r="R194" s="73"/>
      <c r="S194" s="73"/>
      <c r="T194" s="70">
        <v>1500</v>
      </c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4"/>
      <c r="AH194" s="74"/>
      <c r="AI194" s="74"/>
      <c r="AJ194" s="74"/>
      <c r="AK194" s="74"/>
      <c r="AL194" s="74"/>
      <c r="AM194" s="71">
        <v>10</v>
      </c>
      <c r="AN194" s="74"/>
      <c r="AO194" s="74"/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132">
        <f>VLOOKUP(Table7[[#This Row],[Vlookup Store '#]],'Kiosk Stickers'!A$4:$H$538,2,FALSE)</f>
        <v>0</v>
      </c>
      <c r="BA194" s="132"/>
      <c r="BB194" s="132"/>
      <c r="BC194" s="132"/>
      <c r="BD194" s="132"/>
      <c r="BE194" s="170"/>
      <c r="BF194" s="184">
        <f>VLOOKUP(Table7[[#This Row],[Vlookup Store '#]],'Kiosk Stickers'!A$4:$H$538,3,FALSE)</f>
        <v>0</v>
      </c>
      <c r="BG194" s="173"/>
      <c r="BH194" s="173"/>
      <c r="BI194" s="173"/>
      <c r="BJ194" s="173"/>
      <c r="BK194" s="173"/>
      <c r="BL194" s="173"/>
      <c r="BM194" s="173"/>
      <c r="BN194" s="215"/>
      <c r="BO194" s="199">
        <f>VLOOKUP(Table7[[#This Row],[Vlookup Store '#]],'Kiosk Stickers'!A$4:$H$538,4,FALSE)</f>
        <v>0</v>
      </c>
      <c r="BP194" s="171"/>
      <c r="BQ194" s="226"/>
      <c r="BR194" s="184">
        <f>VLOOKUP(Table7[[#This Row],[Vlookup Store '#]],'Kiosk Stickers'!A$4:$H$538,5,FALSE)</f>
        <v>0</v>
      </c>
      <c r="BS194" s="173"/>
      <c r="BT194" s="173"/>
      <c r="BU194" s="173"/>
      <c r="BV194" s="173"/>
      <c r="BW194" s="173"/>
      <c r="BX194" s="173"/>
      <c r="BY194" s="173"/>
      <c r="BZ194" s="215"/>
      <c r="CA194" s="243">
        <f>VLOOKUP(Table7[[#This Row],[Vlookup Store '#]],'Kiosk Stickers'!A$4:$H$538,6,FALSE)</f>
        <v>1</v>
      </c>
      <c r="CB194" s="233"/>
      <c r="CC194" s="233"/>
      <c r="CD194" s="233"/>
      <c r="CE194" s="233"/>
      <c r="CF194" s="233"/>
      <c r="CG194" s="233"/>
      <c r="CH194" s="262"/>
      <c r="CI194" s="351">
        <v>2</v>
      </c>
      <c r="CJ194" s="350"/>
      <c r="CK194" s="350"/>
      <c r="CL194" s="350"/>
      <c r="CM194" s="350"/>
      <c r="CN194" s="350"/>
      <c r="CO194" s="350"/>
      <c r="CP194" s="350"/>
      <c r="CQ194" s="364"/>
      <c r="CR194" s="370">
        <v>10</v>
      </c>
      <c r="CS194" s="367"/>
      <c r="CT194" s="367"/>
      <c r="CU194" s="367"/>
      <c r="CV194" s="367"/>
      <c r="CW194" s="387"/>
      <c r="CX194" s="398">
        <v>1</v>
      </c>
      <c r="CY194" s="399"/>
      <c r="CZ194" s="399"/>
      <c r="DA194" s="399"/>
      <c r="DB194" s="399"/>
      <c r="DC194" s="400"/>
      <c r="DD194" s="400"/>
      <c r="DE194" s="515"/>
      <c r="DF194" s="514">
        <f t="shared" si="2"/>
        <v>1</v>
      </c>
      <c r="DG194" s="146"/>
      <c r="DH194" s="145"/>
    </row>
    <row r="195" spans="1:112" x14ac:dyDescent="0.25">
      <c r="A195" s="15" t="s">
        <v>147</v>
      </c>
      <c r="B195" s="15">
        <v>810</v>
      </c>
      <c r="C195" s="15" t="s">
        <v>2943</v>
      </c>
      <c r="D195" s="15">
        <v>494</v>
      </c>
      <c r="E195" s="15" t="s">
        <v>2944</v>
      </c>
      <c r="F195" s="15" t="s">
        <v>2945</v>
      </c>
      <c r="G195" s="15" t="s">
        <v>2946</v>
      </c>
      <c r="H195" s="15" t="s">
        <v>151</v>
      </c>
      <c r="I195" s="15" t="s">
        <v>145</v>
      </c>
      <c r="J195" s="15" t="s">
        <v>3206</v>
      </c>
      <c r="K195" s="15" t="s">
        <v>2947</v>
      </c>
      <c r="L195" s="15" t="s">
        <v>3837</v>
      </c>
      <c r="M195" s="15" t="s">
        <v>3839</v>
      </c>
      <c r="N195" s="73"/>
      <c r="O195" s="73"/>
      <c r="P195" s="73"/>
      <c r="Q195" s="73"/>
      <c r="R195" s="73"/>
      <c r="S195" s="73"/>
      <c r="T195" s="70">
        <v>1500</v>
      </c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4"/>
      <c r="AH195" s="74"/>
      <c r="AI195" s="74"/>
      <c r="AJ195" s="74"/>
      <c r="AK195" s="74"/>
      <c r="AL195" s="74"/>
      <c r="AM195" s="71">
        <v>10</v>
      </c>
      <c r="AN195" s="74"/>
      <c r="AO195" s="74"/>
      <c r="AP195" s="74"/>
      <c r="AQ195" s="74"/>
      <c r="AR195" s="74"/>
      <c r="AS195" s="74"/>
      <c r="AT195" s="74"/>
      <c r="AU195" s="74"/>
      <c r="AV195" s="74"/>
      <c r="AW195" s="74"/>
      <c r="AX195" s="74"/>
      <c r="AY195" s="74"/>
      <c r="AZ195" s="132">
        <f>VLOOKUP(Table7[[#This Row],[Vlookup Store '#]],'Kiosk Stickers'!A$4:$H$538,2,FALSE)</f>
        <v>0</v>
      </c>
      <c r="BA195" s="132"/>
      <c r="BB195" s="132"/>
      <c r="BC195" s="132"/>
      <c r="BD195" s="132"/>
      <c r="BE195" s="170"/>
      <c r="BF195" s="184">
        <f>VLOOKUP(Table7[[#This Row],[Vlookup Store '#]],'Kiosk Stickers'!A$4:$H$538,3,FALSE)</f>
        <v>1</v>
      </c>
      <c r="BG195" s="173"/>
      <c r="BH195" s="173"/>
      <c r="BI195" s="173"/>
      <c r="BJ195" s="173"/>
      <c r="BK195" s="173"/>
      <c r="BL195" s="173"/>
      <c r="BM195" s="173"/>
      <c r="BN195" s="215"/>
      <c r="BO195" s="199">
        <f>VLOOKUP(Table7[[#This Row],[Vlookup Store '#]],'Kiosk Stickers'!A$4:$H$538,4,FALSE)</f>
        <v>0</v>
      </c>
      <c r="BP195" s="171"/>
      <c r="BQ195" s="226"/>
      <c r="BR195" s="184">
        <f>VLOOKUP(Table7[[#This Row],[Vlookup Store '#]],'Kiosk Stickers'!A$4:$H$538,5,FALSE)</f>
        <v>0</v>
      </c>
      <c r="BS195" s="173"/>
      <c r="BT195" s="173"/>
      <c r="BU195" s="173"/>
      <c r="BV195" s="173"/>
      <c r="BW195" s="173"/>
      <c r="BX195" s="173"/>
      <c r="BY195" s="173"/>
      <c r="BZ195" s="215"/>
      <c r="CA195" s="243"/>
      <c r="CB195" s="233"/>
      <c r="CC195" s="233"/>
      <c r="CD195" s="233"/>
      <c r="CE195" s="233"/>
      <c r="CF195" s="233"/>
      <c r="CG195" s="233"/>
      <c r="CH195" s="262"/>
      <c r="CI195" s="351">
        <v>2</v>
      </c>
      <c r="CJ195" s="350"/>
      <c r="CK195" s="350"/>
      <c r="CL195" s="350"/>
      <c r="CM195" s="350"/>
      <c r="CN195" s="350"/>
      <c r="CO195" s="350"/>
      <c r="CP195" s="350"/>
      <c r="CQ195" s="364"/>
      <c r="CR195" s="370">
        <v>10</v>
      </c>
      <c r="CS195" s="367"/>
      <c r="CT195" s="367"/>
      <c r="CU195" s="367"/>
      <c r="CV195" s="367"/>
      <c r="CW195" s="387"/>
      <c r="CX195" s="398">
        <v>1</v>
      </c>
      <c r="CY195" s="399"/>
      <c r="CZ195" s="399"/>
      <c r="DA195" s="399"/>
      <c r="DB195" s="399"/>
      <c r="DC195" s="400"/>
      <c r="DD195" s="400"/>
      <c r="DE195" s="515"/>
      <c r="DF195" s="514">
        <f t="shared" si="2"/>
        <v>1</v>
      </c>
      <c r="DG195" s="146"/>
      <c r="DH195" s="145"/>
    </row>
    <row r="196" spans="1:112" x14ac:dyDescent="0.25">
      <c r="A196" s="15" t="s">
        <v>147</v>
      </c>
      <c r="B196" s="15">
        <v>810</v>
      </c>
      <c r="C196" s="15" t="s">
        <v>2948</v>
      </c>
      <c r="D196" s="15">
        <v>495</v>
      </c>
      <c r="E196" s="15" t="s">
        <v>2949</v>
      </c>
      <c r="F196" s="15" t="s">
        <v>3207</v>
      </c>
      <c r="G196" s="15" t="s">
        <v>2951</v>
      </c>
      <c r="H196" s="15" t="s">
        <v>151</v>
      </c>
      <c r="I196" s="15" t="s">
        <v>145</v>
      </c>
      <c r="J196" s="15" t="s">
        <v>3208</v>
      </c>
      <c r="K196" s="15" t="s">
        <v>2952</v>
      </c>
      <c r="L196" s="15" t="s">
        <v>3837</v>
      </c>
      <c r="M196" s="15" t="s">
        <v>3839</v>
      </c>
      <c r="N196" s="73"/>
      <c r="O196" s="73"/>
      <c r="P196" s="73"/>
      <c r="Q196" s="73"/>
      <c r="R196" s="73"/>
      <c r="S196" s="73"/>
      <c r="T196" s="70">
        <v>1500</v>
      </c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4"/>
      <c r="AH196" s="74"/>
      <c r="AI196" s="74"/>
      <c r="AJ196" s="74"/>
      <c r="AK196" s="74"/>
      <c r="AL196" s="74"/>
      <c r="AM196" s="71">
        <v>10</v>
      </c>
      <c r="AN196" s="74"/>
      <c r="AO196" s="74"/>
      <c r="AP196" s="74"/>
      <c r="AQ196" s="74"/>
      <c r="AR196" s="74"/>
      <c r="AS196" s="74"/>
      <c r="AT196" s="74"/>
      <c r="AU196" s="74"/>
      <c r="AV196" s="74"/>
      <c r="AW196" s="74"/>
      <c r="AX196" s="74"/>
      <c r="AY196" s="74"/>
      <c r="AZ196" s="132">
        <f>VLOOKUP(Table7[[#This Row],[Vlookup Store '#]],'Kiosk Stickers'!A$4:$H$538,2,FALSE)</f>
        <v>0</v>
      </c>
      <c r="BA196" s="132"/>
      <c r="BB196" s="132"/>
      <c r="BC196" s="132"/>
      <c r="BD196" s="132"/>
      <c r="BE196" s="170"/>
      <c r="BF196" s="184">
        <f>VLOOKUP(Table7[[#This Row],[Vlookup Store '#]],'Kiosk Stickers'!A$4:$H$538,3,FALSE)</f>
        <v>1</v>
      </c>
      <c r="BG196" s="173"/>
      <c r="BH196" s="173"/>
      <c r="BI196" s="173"/>
      <c r="BJ196" s="173"/>
      <c r="BK196" s="173"/>
      <c r="BL196" s="173"/>
      <c r="BM196" s="173"/>
      <c r="BN196" s="215"/>
      <c r="BO196" s="199">
        <f>VLOOKUP(Table7[[#This Row],[Vlookup Store '#]],'Kiosk Stickers'!A$4:$H$538,4,FALSE)</f>
        <v>0</v>
      </c>
      <c r="BP196" s="171"/>
      <c r="BQ196" s="226"/>
      <c r="BR196" s="184">
        <f>VLOOKUP(Table7[[#This Row],[Vlookup Store '#]],'Kiosk Stickers'!A$4:$H$538,5,FALSE)</f>
        <v>0</v>
      </c>
      <c r="BS196" s="173"/>
      <c r="BT196" s="173"/>
      <c r="BU196" s="173"/>
      <c r="BV196" s="173"/>
      <c r="BW196" s="173"/>
      <c r="BX196" s="173"/>
      <c r="BY196" s="173"/>
      <c r="BZ196" s="215"/>
      <c r="CA196" s="243"/>
      <c r="CB196" s="233"/>
      <c r="CC196" s="233"/>
      <c r="CD196" s="233"/>
      <c r="CE196" s="233"/>
      <c r="CF196" s="233"/>
      <c r="CG196" s="233"/>
      <c r="CH196" s="262"/>
      <c r="CI196" s="351">
        <v>2</v>
      </c>
      <c r="CJ196" s="350"/>
      <c r="CK196" s="350"/>
      <c r="CL196" s="350"/>
      <c r="CM196" s="350"/>
      <c r="CN196" s="350"/>
      <c r="CO196" s="350"/>
      <c r="CP196" s="350"/>
      <c r="CQ196" s="364"/>
      <c r="CR196" s="370">
        <v>10</v>
      </c>
      <c r="CS196" s="367"/>
      <c r="CT196" s="367"/>
      <c r="CU196" s="367"/>
      <c r="CV196" s="367"/>
      <c r="CW196" s="387"/>
      <c r="CX196" s="398">
        <v>1</v>
      </c>
      <c r="CY196" s="399"/>
      <c r="CZ196" s="399"/>
      <c r="DA196" s="399"/>
      <c r="DB196" s="399"/>
      <c r="DC196" s="400"/>
      <c r="DD196" s="400"/>
      <c r="DE196" s="515"/>
      <c r="DF196" s="514">
        <f t="shared" si="2"/>
        <v>1</v>
      </c>
      <c r="DG196" s="146"/>
      <c r="DH196" s="145"/>
    </row>
    <row r="197" spans="1:112" x14ac:dyDescent="0.25">
      <c r="A197" s="15" t="s">
        <v>147</v>
      </c>
      <c r="B197" s="15">
        <v>810</v>
      </c>
      <c r="C197" s="15" t="s">
        <v>3530</v>
      </c>
      <c r="D197" s="15">
        <v>1480</v>
      </c>
      <c r="E197" s="15" t="s">
        <v>2888</v>
      </c>
      <c r="F197" s="15" t="s">
        <v>2889</v>
      </c>
      <c r="G197" s="15" t="s">
        <v>2890</v>
      </c>
      <c r="H197" s="15" t="s">
        <v>347</v>
      </c>
      <c r="I197" s="15" t="s">
        <v>145</v>
      </c>
      <c r="J197" s="15" t="s">
        <v>3531</v>
      </c>
      <c r="K197" s="15" t="s">
        <v>2891</v>
      </c>
      <c r="L197" s="15" t="s">
        <v>3837</v>
      </c>
      <c r="M197" s="15" t="s">
        <v>3839</v>
      </c>
      <c r="N197" s="73"/>
      <c r="O197" s="73"/>
      <c r="P197" s="73"/>
      <c r="Q197" s="73"/>
      <c r="R197" s="73"/>
      <c r="S197" s="73"/>
      <c r="T197" s="70">
        <v>1500</v>
      </c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4"/>
      <c r="AH197" s="74"/>
      <c r="AI197" s="74"/>
      <c r="AJ197" s="74"/>
      <c r="AK197" s="74"/>
      <c r="AL197" s="74"/>
      <c r="AM197" s="71">
        <v>10</v>
      </c>
      <c r="AN197" s="74"/>
      <c r="AO197" s="74"/>
      <c r="AP197" s="74"/>
      <c r="AQ197" s="74"/>
      <c r="AR197" s="74"/>
      <c r="AS197" s="74"/>
      <c r="AT197" s="74"/>
      <c r="AU197" s="74"/>
      <c r="AV197" s="74"/>
      <c r="AW197" s="74"/>
      <c r="AX197" s="74"/>
      <c r="AY197" s="74"/>
      <c r="AZ197" s="132">
        <f>VLOOKUP(Table7[[#This Row],[Vlookup Store '#]],'Kiosk Stickers'!A$4:$H$538,2,FALSE)</f>
        <v>0</v>
      </c>
      <c r="BA197" s="132"/>
      <c r="BB197" s="132"/>
      <c r="BC197" s="132"/>
      <c r="BD197" s="132"/>
      <c r="BE197" s="170"/>
      <c r="BF197" s="184">
        <f>VLOOKUP(Table7[[#This Row],[Vlookup Store '#]],'Kiosk Stickers'!A$4:$H$538,3,FALSE)</f>
        <v>2</v>
      </c>
      <c r="BG197" s="173"/>
      <c r="BH197" s="173"/>
      <c r="BI197" s="173"/>
      <c r="BJ197" s="173"/>
      <c r="BK197" s="173"/>
      <c r="BL197" s="173"/>
      <c r="BM197" s="173"/>
      <c r="BN197" s="215"/>
      <c r="BO197" s="199">
        <f>VLOOKUP(Table7[[#This Row],[Vlookup Store '#]],'Kiosk Stickers'!A$4:$H$538,4,FALSE)</f>
        <v>0</v>
      </c>
      <c r="BP197" s="171"/>
      <c r="BQ197" s="226"/>
      <c r="BR197" s="184">
        <f>VLOOKUP(Table7[[#This Row],[Vlookup Store '#]],'Kiosk Stickers'!A$4:$H$538,5,FALSE)</f>
        <v>0</v>
      </c>
      <c r="BS197" s="173"/>
      <c r="BT197" s="173"/>
      <c r="BU197" s="173"/>
      <c r="BV197" s="173"/>
      <c r="BW197" s="173"/>
      <c r="BX197" s="173"/>
      <c r="BY197" s="173"/>
      <c r="BZ197" s="215"/>
      <c r="CA197" s="243"/>
      <c r="CB197" s="233"/>
      <c r="CC197" s="233"/>
      <c r="CD197" s="233"/>
      <c r="CE197" s="233"/>
      <c r="CF197" s="233"/>
      <c r="CG197" s="233"/>
      <c r="CH197" s="262"/>
      <c r="CI197" s="351">
        <v>2</v>
      </c>
      <c r="CJ197" s="350"/>
      <c r="CK197" s="350"/>
      <c r="CL197" s="350"/>
      <c r="CM197" s="350"/>
      <c r="CN197" s="350"/>
      <c r="CO197" s="350"/>
      <c r="CP197" s="350"/>
      <c r="CQ197" s="364"/>
      <c r="CR197" s="370">
        <v>10</v>
      </c>
      <c r="CS197" s="367"/>
      <c r="CT197" s="367"/>
      <c r="CU197" s="367"/>
      <c r="CV197" s="367"/>
      <c r="CW197" s="387"/>
      <c r="CX197" s="398">
        <v>1</v>
      </c>
      <c r="CY197" s="399"/>
      <c r="CZ197" s="399"/>
      <c r="DA197" s="399"/>
      <c r="DB197" s="399"/>
      <c r="DC197" s="400"/>
      <c r="DD197" s="400"/>
      <c r="DE197" s="515"/>
      <c r="DF197" s="514">
        <f t="shared" si="2"/>
        <v>1</v>
      </c>
      <c r="DG197" s="146"/>
      <c r="DH197" s="145"/>
    </row>
    <row r="198" spans="1:112" x14ac:dyDescent="0.25">
      <c r="A198" s="15" t="s">
        <v>147</v>
      </c>
      <c r="B198" s="15">
        <v>810</v>
      </c>
      <c r="C198" s="15" t="s">
        <v>3532</v>
      </c>
      <c r="D198" s="15">
        <v>1481</v>
      </c>
      <c r="E198" s="15" t="s">
        <v>2892</v>
      </c>
      <c r="F198" s="15" t="s">
        <v>3533</v>
      </c>
      <c r="G198" s="15" t="s">
        <v>2893</v>
      </c>
      <c r="H198" s="15" t="s">
        <v>2894</v>
      </c>
      <c r="I198" s="15" t="s">
        <v>145</v>
      </c>
      <c r="J198" s="15" t="s">
        <v>3534</v>
      </c>
      <c r="K198" s="15" t="s">
        <v>2895</v>
      </c>
      <c r="L198" s="15" t="s">
        <v>3837</v>
      </c>
      <c r="M198" s="15" t="s">
        <v>3839</v>
      </c>
      <c r="N198" s="73"/>
      <c r="O198" s="73"/>
      <c r="P198" s="73"/>
      <c r="Q198" s="73"/>
      <c r="R198" s="73"/>
      <c r="S198" s="73"/>
      <c r="T198" s="70">
        <v>1500</v>
      </c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4"/>
      <c r="AH198" s="74"/>
      <c r="AI198" s="74"/>
      <c r="AJ198" s="74"/>
      <c r="AK198" s="74"/>
      <c r="AL198" s="74"/>
      <c r="AM198" s="71">
        <v>10</v>
      </c>
      <c r="AN198" s="74"/>
      <c r="AO198" s="74"/>
      <c r="AP198" s="74"/>
      <c r="AQ198" s="74"/>
      <c r="AR198" s="74"/>
      <c r="AS198" s="74"/>
      <c r="AT198" s="74"/>
      <c r="AU198" s="74"/>
      <c r="AV198" s="74"/>
      <c r="AW198" s="74"/>
      <c r="AX198" s="74"/>
      <c r="AY198" s="74"/>
      <c r="AZ198" s="165"/>
      <c r="BA198" s="132"/>
      <c r="BB198" s="132">
        <f>VLOOKUP(Table7[[#This Row],[Vlookup Store '#]],'Kiosk Stickers'!A$4:$H$538,2,FALSE)</f>
        <v>2</v>
      </c>
      <c r="BC198" s="132"/>
      <c r="BD198" s="132"/>
      <c r="BE198" s="170"/>
      <c r="BF198" s="184">
        <f>VLOOKUP(Table7[[#This Row],[Vlookup Store '#]],'Kiosk Stickers'!A$4:$H$538,3,FALSE)</f>
        <v>0</v>
      </c>
      <c r="BG198" s="173"/>
      <c r="BH198" s="173"/>
      <c r="BI198" s="173"/>
      <c r="BJ198" s="173"/>
      <c r="BK198" s="173"/>
      <c r="BL198" s="173"/>
      <c r="BM198" s="173"/>
      <c r="BN198" s="215"/>
      <c r="BO198" s="199">
        <f>VLOOKUP(Table7[[#This Row],[Vlookup Store '#]],'Kiosk Stickers'!A$4:$H$538,4,FALSE)</f>
        <v>0</v>
      </c>
      <c r="BP198" s="171"/>
      <c r="BQ198" s="226"/>
      <c r="BR198" s="184">
        <f>VLOOKUP(Table7[[#This Row],[Vlookup Store '#]],'Kiosk Stickers'!A$4:$H$538,5,FALSE)</f>
        <v>0</v>
      </c>
      <c r="BS198" s="173"/>
      <c r="BT198" s="173"/>
      <c r="BU198" s="173"/>
      <c r="BV198" s="173"/>
      <c r="BW198" s="173"/>
      <c r="BX198" s="173"/>
      <c r="BY198" s="173"/>
      <c r="BZ198" s="215"/>
      <c r="CA198" s="243"/>
      <c r="CB198" s="233"/>
      <c r="CC198" s="233"/>
      <c r="CD198" s="233"/>
      <c r="CE198" s="233"/>
      <c r="CF198" s="233"/>
      <c r="CG198" s="233"/>
      <c r="CH198" s="262"/>
      <c r="CI198" s="351">
        <v>2</v>
      </c>
      <c r="CJ198" s="350"/>
      <c r="CK198" s="350"/>
      <c r="CL198" s="350"/>
      <c r="CM198" s="350"/>
      <c r="CN198" s="350"/>
      <c r="CO198" s="350"/>
      <c r="CP198" s="350"/>
      <c r="CQ198" s="364"/>
      <c r="CR198" s="370">
        <v>10</v>
      </c>
      <c r="CS198" s="367"/>
      <c r="CT198" s="367"/>
      <c r="CU198" s="367"/>
      <c r="CV198" s="367"/>
      <c r="CW198" s="387"/>
      <c r="CX198" s="398">
        <v>1</v>
      </c>
      <c r="CY198" s="399"/>
      <c r="CZ198" s="399"/>
      <c r="DA198" s="399"/>
      <c r="DB198" s="399"/>
      <c r="DC198" s="400"/>
      <c r="DD198" s="400"/>
      <c r="DE198" s="515"/>
      <c r="DF198" s="514">
        <f t="shared" ref="DF198:DF199" si="3">SUM(CX198:DE198)</f>
        <v>1</v>
      </c>
      <c r="DG198" s="146"/>
      <c r="DH198" s="145"/>
    </row>
    <row r="199" spans="1:112" ht="16.5" thickBot="1" x14ac:dyDescent="0.3">
      <c r="A199" s="15" t="s">
        <v>147</v>
      </c>
      <c r="B199" s="15">
        <v>810</v>
      </c>
      <c r="C199" s="15" t="s">
        <v>3537</v>
      </c>
      <c r="D199" s="15">
        <v>1494</v>
      </c>
      <c r="E199" s="15" t="s">
        <v>2896</v>
      </c>
      <c r="F199" s="15" t="s">
        <v>2897</v>
      </c>
      <c r="G199" s="15" t="s">
        <v>2898</v>
      </c>
      <c r="H199" s="15" t="s">
        <v>2894</v>
      </c>
      <c r="I199" s="15" t="s">
        <v>145</v>
      </c>
      <c r="J199" s="15" t="s">
        <v>3538</v>
      </c>
      <c r="K199" s="15" t="s">
        <v>2899</v>
      </c>
      <c r="L199" s="15" t="s">
        <v>3837</v>
      </c>
      <c r="M199" s="15" t="s">
        <v>3839</v>
      </c>
      <c r="N199" s="73"/>
      <c r="O199" s="73"/>
      <c r="P199" s="73"/>
      <c r="Q199" s="73"/>
      <c r="R199" s="73"/>
      <c r="S199" s="73"/>
      <c r="T199" s="70">
        <v>1500</v>
      </c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4"/>
      <c r="AH199" s="74"/>
      <c r="AI199" s="74"/>
      <c r="AJ199" s="74"/>
      <c r="AK199" s="74"/>
      <c r="AL199" s="74"/>
      <c r="AM199" s="71">
        <v>10</v>
      </c>
      <c r="AN199" s="74"/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  <c r="AZ199" s="132">
        <f>VLOOKUP(Table7[[#This Row],[Vlookup Store '#]],'Kiosk Stickers'!A$4:$H$538,2,FALSE)</f>
        <v>0</v>
      </c>
      <c r="BA199" s="132"/>
      <c r="BB199" s="132"/>
      <c r="BC199" s="132"/>
      <c r="BD199" s="132"/>
      <c r="BE199" s="170"/>
      <c r="BF199" s="185">
        <f>VLOOKUP(Table7[[#This Row],[Vlookup Store '#]],'Kiosk Stickers'!A$4:$H$538,3,FALSE)</f>
        <v>2</v>
      </c>
      <c r="BG199" s="186"/>
      <c r="BH199" s="186"/>
      <c r="BI199" s="186"/>
      <c r="BJ199" s="186"/>
      <c r="BK199" s="186"/>
      <c r="BL199" s="186"/>
      <c r="BM199" s="186"/>
      <c r="BN199" s="216"/>
      <c r="BO199" s="207">
        <f>VLOOKUP(Table7[[#This Row],[Vlookup Store '#]],'Kiosk Stickers'!A$4:$H$538,4,FALSE)</f>
        <v>0</v>
      </c>
      <c r="BP199" s="208"/>
      <c r="BQ199" s="227"/>
      <c r="BR199" s="193">
        <f>VLOOKUP(Table7[[#This Row],[Vlookup Store '#]],'Kiosk Stickers'!A$4:$H$538,5,FALSE)</f>
        <v>0</v>
      </c>
      <c r="BS199" s="180"/>
      <c r="BT199" s="180"/>
      <c r="BU199" s="180"/>
      <c r="BV199" s="180"/>
      <c r="BW199" s="180"/>
      <c r="BX199" s="180"/>
      <c r="BY199" s="180"/>
      <c r="BZ199" s="237"/>
      <c r="CA199" s="251"/>
      <c r="CB199" s="234"/>
      <c r="CC199" s="234"/>
      <c r="CD199" s="234"/>
      <c r="CE199" s="234"/>
      <c r="CF199" s="234"/>
      <c r="CG199" s="234"/>
      <c r="CH199" s="264"/>
      <c r="CI199" s="351">
        <v>2</v>
      </c>
      <c r="CJ199" s="356"/>
      <c r="CK199" s="356"/>
      <c r="CL199" s="356"/>
      <c r="CM199" s="356"/>
      <c r="CN199" s="356"/>
      <c r="CO199" s="356"/>
      <c r="CP199" s="356"/>
      <c r="CQ199" s="366"/>
      <c r="CR199" s="370">
        <v>10</v>
      </c>
      <c r="CS199" s="374"/>
      <c r="CT199" s="374"/>
      <c r="CU199" s="374"/>
      <c r="CV199" s="374"/>
      <c r="CW199" s="389"/>
      <c r="CX199" s="398">
        <v>1</v>
      </c>
      <c r="CY199" s="402"/>
      <c r="CZ199" s="402"/>
      <c r="DA199" s="402"/>
      <c r="DB199" s="402"/>
      <c r="DC199" s="403"/>
      <c r="DD199" s="403"/>
      <c r="DE199" s="515"/>
      <c r="DF199" s="514">
        <f t="shared" si="3"/>
        <v>1</v>
      </c>
      <c r="DG199" s="146"/>
      <c r="DH199" s="145"/>
    </row>
    <row r="200" spans="1:112" ht="18.75" x14ac:dyDescent="0.3">
      <c r="C200" s="15"/>
      <c r="D200" s="15"/>
      <c r="I200" s="15"/>
      <c r="J200" s="75" t="s">
        <v>15</v>
      </c>
      <c r="K200" s="75" t="s">
        <v>15</v>
      </c>
      <c r="L200" s="75"/>
      <c r="M200" s="75"/>
      <c r="N200" s="76">
        <f>SUBTOTAL(109,Table7[10F-101])</f>
        <v>52500</v>
      </c>
      <c r="O200" s="76">
        <f>SUBTOTAL(109,Table7[10F-104])</f>
        <v>7500</v>
      </c>
      <c r="P200" s="76">
        <f>SUBTOTAL(109,Table7[10F-201])</f>
        <v>27000</v>
      </c>
      <c r="Q200" s="76">
        <f>SUBTOTAL(109,Table7[8D-04])</f>
        <v>3000</v>
      </c>
      <c r="R200" s="76">
        <f>SUBTOTAL(109,Table7[8D-05])</f>
        <v>7500</v>
      </c>
      <c r="S200" s="76">
        <f>SUBTOTAL(109,Table7[8F-304])</f>
        <v>13500</v>
      </c>
      <c r="T200" s="76">
        <f>SUBTOTAL(109,Table7[A01])</f>
        <v>18000</v>
      </c>
      <c r="U200" s="76">
        <f>SUBTOTAL(109,Table7[B01])</f>
        <v>6000</v>
      </c>
      <c r="V200" s="76">
        <f>SUBTOTAL(109,Table7[B05])</f>
        <v>10500</v>
      </c>
      <c r="W200" s="76">
        <f>SUBTOTAL(109,Table7[B06])</f>
        <v>3000</v>
      </c>
      <c r="X200" s="76">
        <f>SUBTOTAL(109,Table7[C01])</f>
        <v>7500</v>
      </c>
      <c r="Y200" s="76">
        <f>SUBTOTAL(109,Table7[C04])</f>
        <v>1500</v>
      </c>
      <c r="Z200" s="76">
        <f>SUBTOTAL(109,Table7[D01])</f>
        <v>49500</v>
      </c>
      <c r="AA200" s="76">
        <f>SUBTOTAL(109,Table7[D02])</f>
        <v>18000</v>
      </c>
      <c r="AB200" s="76">
        <f>SUBTOTAL(109,Table7[D03])</f>
        <v>6000</v>
      </c>
      <c r="AC200" s="76">
        <f>SUBTOTAL(109,Table7[D06])</f>
        <v>3000</v>
      </c>
      <c r="AD200" s="76">
        <f>SUBTOTAL(109,Table7[E01])</f>
        <v>34500</v>
      </c>
      <c r="AE200" s="76">
        <f>SUBTOTAL(109,Table7[E03])</f>
        <v>22500</v>
      </c>
      <c r="AF200" s="127">
        <f>SUBTOTAL(109,Table7[E07])</f>
        <v>1500</v>
      </c>
      <c r="AG200" s="120">
        <v>0</v>
      </c>
      <c r="AH200" s="120">
        <v>0</v>
      </c>
      <c r="AI200" s="120">
        <v>0</v>
      </c>
      <c r="AJ200" s="120">
        <v>0</v>
      </c>
      <c r="AK200" s="120">
        <v>0</v>
      </c>
      <c r="AL200" s="120">
        <v>0</v>
      </c>
      <c r="AM200" s="120">
        <v>0</v>
      </c>
      <c r="AN200" s="120">
        <v>0</v>
      </c>
      <c r="AO200" s="120">
        <v>0</v>
      </c>
      <c r="AP200" s="120">
        <v>0</v>
      </c>
      <c r="AQ200" s="120">
        <v>0</v>
      </c>
      <c r="AR200" s="120">
        <v>0</v>
      </c>
      <c r="AS200" s="120">
        <v>0</v>
      </c>
      <c r="AT200" s="120">
        <v>0</v>
      </c>
      <c r="AU200" s="120">
        <v>0</v>
      </c>
      <c r="AV200" s="120"/>
      <c r="AW200" s="120"/>
      <c r="AX200" s="120"/>
      <c r="AY200" s="123">
        <v>0</v>
      </c>
      <c r="AZ200" s="133">
        <f>SUBTOTAL(109,Table7[10F])</f>
        <v>31</v>
      </c>
      <c r="BA200" s="161"/>
      <c r="BB200" s="161"/>
      <c r="BC200" s="161"/>
      <c r="BD200" s="161"/>
      <c r="BE200" s="161"/>
      <c r="BF200" s="192">
        <v>0</v>
      </c>
      <c r="BG200" s="181"/>
      <c r="BH200" s="181"/>
      <c r="BI200" s="181"/>
      <c r="BJ200" s="181"/>
      <c r="BK200" s="181"/>
      <c r="BL200" s="181"/>
      <c r="BM200" s="181"/>
      <c r="BN200" s="217"/>
      <c r="BO200" s="203">
        <v>0</v>
      </c>
      <c r="BP200" s="204"/>
      <c r="BQ200" s="229"/>
      <c r="BR200" s="187">
        <v>0</v>
      </c>
      <c r="BS200" s="188"/>
      <c r="BT200" s="188"/>
      <c r="BU200" s="188"/>
      <c r="BV200" s="188"/>
      <c r="BW200" s="188"/>
      <c r="BX200" s="188"/>
      <c r="BY200" s="188"/>
      <c r="BZ200" s="238"/>
      <c r="CA200" s="252">
        <f>SUBTOTAL(109,Table7[A3])</f>
        <v>1</v>
      </c>
      <c r="CB200" s="253">
        <f>SUBTOTAL(109,Table7[B5])</f>
        <v>1</v>
      </c>
      <c r="CC200" s="253">
        <f>SUBTOTAL(109,Table7[D3])</f>
        <v>7</v>
      </c>
      <c r="CD200" s="253">
        <f>SUBTOTAL(109,Table7[8D2])</f>
        <v>1</v>
      </c>
      <c r="CE200" s="253">
        <f>SUBTOTAL(109,Table7[E2])</f>
        <v>2</v>
      </c>
      <c r="CF200" s="253">
        <f>SUBTOTAL(109,Table7[8F2])</f>
        <v>2</v>
      </c>
      <c r="CG200" s="253">
        <f>SUBTOTAL(109,Table7[10F3])</f>
        <v>5</v>
      </c>
      <c r="CH200" s="265">
        <f>SUBTOTAL(109,Table7[G2])</f>
        <v>2</v>
      </c>
      <c r="CI200" s="343">
        <f>SUBTOTAL(109,Table7[A4])</f>
        <v>16</v>
      </c>
      <c r="CJ200" s="344">
        <f>SUBTOTAL(109,Table7[B6])</f>
        <v>26</v>
      </c>
      <c r="CK200" s="344">
        <f>SUBTOTAL(109,Table7[C7])</f>
        <v>12</v>
      </c>
      <c r="CL200" s="344">
        <f>SUBTOTAL(109,Table7[D8])</f>
        <v>102</v>
      </c>
      <c r="CM200" s="344">
        <f>SUBTOTAL(109,Table7[8D9])</f>
        <v>14</v>
      </c>
      <c r="CN200" s="344">
        <f>SUBTOTAL(109,Table7[E10])</f>
        <v>78</v>
      </c>
      <c r="CO200" s="344">
        <f>SUBTOTAL(109,Table7[8F11])</f>
        <v>18</v>
      </c>
      <c r="CP200" s="344">
        <f>SUBTOTAL(109,Table7[10F12])</f>
        <v>116</v>
      </c>
      <c r="CQ200" s="347">
        <f>SUBTOTAL(109,Table7[F])</f>
        <v>670</v>
      </c>
      <c r="CR200" s="375"/>
      <c r="CS200" s="376"/>
      <c r="CT200" s="376"/>
      <c r="CU200" s="376"/>
      <c r="CV200" s="376"/>
      <c r="CW200" s="392">
        <f>SUBTOTAL(109,Table7[F])</f>
        <v>670</v>
      </c>
      <c r="CX200" s="404"/>
      <c r="CY200" s="405"/>
      <c r="CZ200" s="405"/>
      <c r="DA200" s="405"/>
      <c r="DB200" s="405"/>
      <c r="DC200" s="406"/>
      <c r="DD200" s="406"/>
      <c r="DE200" s="516">
        <v>0</v>
      </c>
      <c r="DF200" s="517"/>
      <c r="DG200" s="148">
        <v>0</v>
      </c>
      <c r="DH200" s="147">
        <v>0</v>
      </c>
    </row>
    <row r="201" spans="1:112" ht="18.75" x14ac:dyDescent="0.3">
      <c r="C201" s="15"/>
      <c r="D201" s="15"/>
      <c r="I201" s="15"/>
      <c r="J201" s="75" t="s">
        <v>16</v>
      </c>
      <c r="K201" s="75" t="s">
        <v>16</v>
      </c>
      <c r="L201" s="75"/>
      <c r="M201" s="75"/>
      <c r="N201" s="77">
        <v>0</v>
      </c>
      <c r="O201" s="77">
        <v>0</v>
      </c>
      <c r="P201" s="77">
        <v>0</v>
      </c>
      <c r="Q201" s="77">
        <v>0</v>
      </c>
      <c r="R201" s="77">
        <v>0</v>
      </c>
      <c r="S201" s="77">
        <v>0</v>
      </c>
      <c r="T201" s="77">
        <v>0</v>
      </c>
      <c r="U201" s="77">
        <v>0</v>
      </c>
      <c r="V201" s="77">
        <v>0</v>
      </c>
      <c r="W201" s="77">
        <v>0</v>
      </c>
      <c r="X201" s="77">
        <v>0</v>
      </c>
      <c r="Y201" s="77">
        <v>0</v>
      </c>
      <c r="Z201" s="77">
        <v>0</v>
      </c>
      <c r="AA201" s="77">
        <v>0</v>
      </c>
      <c r="AB201" s="77">
        <v>0</v>
      </c>
      <c r="AC201" s="77"/>
      <c r="AD201" s="77"/>
      <c r="AE201" s="77"/>
      <c r="AF201" s="128">
        <v>0</v>
      </c>
      <c r="AG201" s="121">
        <v>0</v>
      </c>
      <c r="AH201" s="121">
        <v>0</v>
      </c>
      <c r="AI201" s="121">
        <v>0</v>
      </c>
      <c r="AJ201" s="121">
        <v>0</v>
      </c>
      <c r="AK201" s="121">
        <v>0</v>
      </c>
      <c r="AL201" s="121">
        <v>0</v>
      </c>
      <c r="AM201" s="121">
        <v>0</v>
      </c>
      <c r="AN201" s="121">
        <v>0</v>
      </c>
      <c r="AO201" s="121">
        <v>0</v>
      </c>
      <c r="AP201" s="121">
        <v>0</v>
      </c>
      <c r="AQ201" s="121">
        <v>0</v>
      </c>
      <c r="AR201" s="121">
        <v>0</v>
      </c>
      <c r="AS201" s="121">
        <v>0</v>
      </c>
      <c r="AT201" s="121">
        <v>0</v>
      </c>
      <c r="AU201" s="121">
        <v>0</v>
      </c>
      <c r="AV201" s="121"/>
      <c r="AW201" s="121"/>
      <c r="AX201" s="121"/>
      <c r="AY201" s="124">
        <v>0</v>
      </c>
      <c r="AZ201" s="134">
        <v>0</v>
      </c>
      <c r="BA201" s="162"/>
      <c r="BB201" s="162"/>
      <c r="BC201" s="162"/>
      <c r="BD201" s="162"/>
      <c r="BE201" s="162"/>
      <c r="BF201" s="189">
        <v>0</v>
      </c>
      <c r="BG201" s="174"/>
      <c r="BH201" s="174"/>
      <c r="BI201" s="174"/>
      <c r="BJ201" s="174"/>
      <c r="BK201" s="174"/>
      <c r="BL201" s="174"/>
      <c r="BM201" s="174"/>
      <c r="BN201" s="218"/>
      <c r="BO201" s="200">
        <v>0</v>
      </c>
      <c r="BP201" s="172"/>
      <c r="BQ201" s="230"/>
      <c r="BR201" s="189">
        <v>0</v>
      </c>
      <c r="BS201" s="174"/>
      <c r="BT201" s="174"/>
      <c r="BU201" s="174"/>
      <c r="BV201" s="174"/>
      <c r="BW201" s="174"/>
      <c r="BX201" s="174"/>
      <c r="BY201" s="174"/>
      <c r="BZ201" s="218"/>
      <c r="CA201" s="245">
        <f>ROUNDUP((CA200*0.15),0)</f>
        <v>1</v>
      </c>
      <c r="CB201" s="240">
        <f t="shared" ref="CB201:CW201" si="4">ROUNDUP((CB200*0.15),0)</f>
        <v>1</v>
      </c>
      <c r="CC201" s="240">
        <f t="shared" si="4"/>
        <v>2</v>
      </c>
      <c r="CD201" s="240">
        <f t="shared" si="4"/>
        <v>1</v>
      </c>
      <c r="CE201" s="240">
        <f t="shared" si="4"/>
        <v>1</v>
      </c>
      <c r="CF201" s="240">
        <f t="shared" si="4"/>
        <v>1</v>
      </c>
      <c r="CG201" s="240">
        <f t="shared" si="4"/>
        <v>1</v>
      </c>
      <c r="CH201" s="266">
        <f t="shared" si="4"/>
        <v>1</v>
      </c>
      <c r="CI201" s="334">
        <f t="shared" si="4"/>
        <v>3</v>
      </c>
      <c r="CJ201" s="329">
        <f t="shared" si="4"/>
        <v>4</v>
      </c>
      <c r="CK201" s="329">
        <f t="shared" si="4"/>
        <v>2</v>
      </c>
      <c r="CL201" s="329">
        <f t="shared" si="4"/>
        <v>16</v>
      </c>
      <c r="CM201" s="329">
        <f t="shared" si="4"/>
        <v>3</v>
      </c>
      <c r="CN201" s="329">
        <f t="shared" si="4"/>
        <v>12</v>
      </c>
      <c r="CO201" s="329">
        <f t="shared" si="4"/>
        <v>3</v>
      </c>
      <c r="CP201" s="329">
        <f t="shared" si="4"/>
        <v>18</v>
      </c>
      <c r="CQ201" s="348">
        <f t="shared" si="4"/>
        <v>101</v>
      </c>
      <c r="CR201" s="371"/>
      <c r="CS201" s="369"/>
      <c r="CT201" s="369"/>
      <c r="CU201" s="369"/>
      <c r="CV201" s="369"/>
      <c r="CW201" s="393">
        <f t="shared" si="4"/>
        <v>101</v>
      </c>
      <c r="CX201" s="407"/>
      <c r="CY201" s="408"/>
      <c r="CZ201" s="408"/>
      <c r="DA201" s="408"/>
      <c r="DB201" s="408"/>
      <c r="DC201" s="409"/>
      <c r="DD201" s="409"/>
      <c r="DE201" s="518">
        <v>0</v>
      </c>
      <c r="DF201" s="519"/>
      <c r="DG201" s="150">
        <v>0</v>
      </c>
      <c r="DH201" s="149">
        <v>0</v>
      </c>
    </row>
    <row r="202" spans="1:112" ht="19.5" thickBot="1" x14ac:dyDescent="0.35">
      <c r="C202" s="15"/>
      <c r="D202" s="15"/>
      <c r="I202" s="15"/>
      <c r="J202" s="75" t="s">
        <v>17</v>
      </c>
      <c r="K202" s="75" t="s">
        <v>17</v>
      </c>
      <c r="L202" s="75"/>
      <c r="M202" s="75"/>
      <c r="N202" s="78">
        <v>0</v>
      </c>
      <c r="O202" s="78">
        <v>0</v>
      </c>
      <c r="P202" s="78">
        <v>0</v>
      </c>
      <c r="Q202" s="78">
        <v>0</v>
      </c>
      <c r="R202" s="78">
        <v>0</v>
      </c>
      <c r="S202" s="78">
        <v>0</v>
      </c>
      <c r="T202" s="78">
        <v>0</v>
      </c>
      <c r="U202" s="78">
        <v>0</v>
      </c>
      <c r="V202" s="78">
        <v>0</v>
      </c>
      <c r="W202" s="78">
        <v>0</v>
      </c>
      <c r="X202" s="78">
        <v>0</v>
      </c>
      <c r="Y202" s="78">
        <v>0</v>
      </c>
      <c r="Z202" s="78">
        <v>0</v>
      </c>
      <c r="AA202" s="78">
        <v>0</v>
      </c>
      <c r="AB202" s="78">
        <v>0</v>
      </c>
      <c r="AC202" s="78"/>
      <c r="AD202" s="78"/>
      <c r="AE202" s="78"/>
      <c r="AF202" s="129">
        <v>0</v>
      </c>
      <c r="AG202" s="122">
        <v>0</v>
      </c>
      <c r="AH202" s="122">
        <v>0</v>
      </c>
      <c r="AI202" s="122">
        <v>0</v>
      </c>
      <c r="AJ202" s="122">
        <v>0</v>
      </c>
      <c r="AK202" s="122">
        <v>0</v>
      </c>
      <c r="AL202" s="122">
        <v>0</v>
      </c>
      <c r="AM202" s="122">
        <v>0</v>
      </c>
      <c r="AN202" s="122">
        <v>0</v>
      </c>
      <c r="AO202" s="122">
        <v>0</v>
      </c>
      <c r="AP202" s="122">
        <v>0</v>
      </c>
      <c r="AQ202" s="122">
        <v>0</v>
      </c>
      <c r="AR202" s="122">
        <v>0</v>
      </c>
      <c r="AS202" s="122">
        <v>0</v>
      </c>
      <c r="AT202" s="122">
        <v>0</v>
      </c>
      <c r="AU202" s="122">
        <v>0</v>
      </c>
      <c r="AV202" s="122"/>
      <c r="AW202" s="122"/>
      <c r="AX202" s="122"/>
      <c r="AY202" s="125">
        <v>0</v>
      </c>
      <c r="AZ202" s="135">
        <v>0</v>
      </c>
      <c r="BA202" s="163"/>
      <c r="BB202" s="163"/>
      <c r="BC202" s="163"/>
      <c r="BD202" s="163"/>
      <c r="BE202" s="163"/>
      <c r="BF202" s="190">
        <v>0</v>
      </c>
      <c r="BG202" s="191"/>
      <c r="BH202" s="191"/>
      <c r="BI202" s="191"/>
      <c r="BJ202" s="191"/>
      <c r="BK202" s="191"/>
      <c r="BL202" s="191"/>
      <c r="BM202" s="191"/>
      <c r="BN202" s="219"/>
      <c r="BO202" s="201">
        <v>0</v>
      </c>
      <c r="BP202" s="202"/>
      <c r="BQ202" s="231"/>
      <c r="BR202" s="190">
        <v>0</v>
      </c>
      <c r="BS202" s="191"/>
      <c r="BT202" s="191"/>
      <c r="BU202" s="191"/>
      <c r="BV202" s="191"/>
      <c r="BW202" s="191"/>
      <c r="BX202" s="191"/>
      <c r="BY202" s="191"/>
      <c r="BZ202" s="219"/>
      <c r="CA202" s="246">
        <f>SUM(CA200:CA201)</f>
        <v>2</v>
      </c>
      <c r="CB202" s="247">
        <f t="shared" ref="CB202:CW202" si="5">SUM(CB200:CB201)</f>
        <v>2</v>
      </c>
      <c r="CC202" s="247">
        <f t="shared" si="5"/>
        <v>9</v>
      </c>
      <c r="CD202" s="247">
        <f t="shared" si="5"/>
        <v>2</v>
      </c>
      <c r="CE202" s="247">
        <f t="shared" si="5"/>
        <v>3</v>
      </c>
      <c r="CF202" s="247">
        <f t="shared" si="5"/>
        <v>3</v>
      </c>
      <c r="CG202" s="247">
        <f t="shared" si="5"/>
        <v>6</v>
      </c>
      <c r="CH202" s="267">
        <f t="shared" si="5"/>
        <v>3</v>
      </c>
      <c r="CI202" s="335">
        <f t="shared" si="5"/>
        <v>19</v>
      </c>
      <c r="CJ202" s="336">
        <f t="shared" si="5"/>
        <v>30</v>
      </c>
      <c r="CK202" s="336">
        <f t="shared" si="5"/>
        <v>14</v>
      </c>
      <c r="CL202" s="336">
        <f t="shared" si="5"/>
        <v>118</v>
      </c>
      <c r="CM202" s="336">
        <f t="shared" si="5"/>
        <v>17</v>
      </c>
      <c r="CN202" s="336">
        <f t="shared" si="5"/>
        <v>90</v>
      </c>
      <c r="CO202" s="336">
        <f t="shared" si="5"/>
        <v>21</v>
      </c>
      <c r="CP202" s="336">
        <f t="shared" si="5"/>
        <v>134</v>
      </c>
      <c r="CQ202" s="349">
        <f t="shared" si="5"/>
        <v>771</v>
      </c>
      <c r="CR202" s="372"/>
      <c r="CS202" s="373"/>
      <c r="CT202" s="373"/>
      <c r="CU202" s="373"/>
      <c r="CV202" s="373"/>
      <c r="CW202" s="394">
        <f t="shared" si="5"/>
        <v>771</v>
      </c>
      <c r="CX202" s="410"/>
      <c r="CY202" s="411"/>
      <c r="CZ202" s="411"/>
      <c r="DA202" s="411"/>
      <c r="DB202" s="411"/>
      <c r="DC202" s="412"/>
      <c r="DD202" s="412"/>
      <c r="DE202" s="520">
        <v>0</v>
      </c>
      <c r="DF202" s="521"/>
      <c r="DG202" s="152">
        <v>0</v>
      </c>
      <c r="DH202" s="151">
        <v>0</v>
      </c>
    </row>
    <row r="319" ht="15" customHeight="1" x14ac:dyDescent="0.25"/>
    <row r="320" ht="15" customHeight="1" x14ac:dyDescent="0.25"/>
    <row r="344" ht="15" customHeight="1" x14ac:dyDescent="0.25"/>
    <row r="553" ht="16.7" customHeight="1" x14ac:dyDescent="0.25"/>
  </sheetData>
  <phoneticPr fontId="6" type="noConversion"/>
  <conditionalFormatting sqref="A5:M199">
    <cfRule type="expression" dxfId="4" priority="1">
      <formula>ISODD(SUMPRODUCT(--($A$4:$A5&lt;&gt;$A$3:$A4)))</formula>
    </cfRule>
    <cfRule type="expression" dxfId="3" priority="2">
      <formula>ISEVEN(SUMPRODUCT(--($A$4:$A5&lt;&gt;$A$3:$A4)))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AE91-B962-478C-80AF-85CD46EC0B9D}">
  <dimension ref="A2:Z88"/>
  <sheetViews>
    <sheetView topLeftCell="O1" workbookViewId="0">
      <selection activeCell="M16" sqref="M16"/>
    </sheetView>
  </sheetViews>
  <sheetFormatPr defaultRowHeight="15.75" x14ac:dyDescent="0.25"/>
  <sheetData>
    <row r="2" spans="1:26" x14ac:dyDescent="0.25">
      <c r="B2" t="str" cm="1">
        <f t="array" ref="B2:B13">_xlfn.UNIQUE(A3:A61)</f>
        <v>D01</v>
      </c>
      <c r="C2" t="s">
        <v>4011</v>
      </c>
      <c r="D2" t="s">
        <v>4066</v>
      </c>
    </row>
    <row r="3" spans="1:26" x14ac:dyDescent="0.25">
      <c r="A3" t="s">
        <v>3739</v>
      </c>
      <c r="B3" t="str">
        <v>10F-101</v>
      </c>
      <c r="C3" t="s">
        <v>4018</v>
      </c>
      <c r="D3" t="s">
        <v>4065</v>
      </c>
      <c r="F3" t="s">
        <v>3739</v>
      </c>
      <c r="G3" t="str" cm="1">
        <f t="array" ref="G3:G19">_xlfn.UNIQUE(F3:F88)</f>
        <v>D01</v>
      </c>
      <c r="H3" t="s">
        <v>4011</v>
      </c>
      <c r="J3" t="s">
        <v>4067</v>
      </c>
    </row>
    <row r="4" spans="1:26" x14ac:dyDescent="0.25">
      <c r="A4" t="s">
        <v>3739</v>
      </c>
      <c r="B4" t="str">
        <v>B05</v>
      </c>
      <c r="C4" t="s">
        <v>4020</v>
      </c>
      <c r="D4" t="s">
        <v>4067</v>
      </c>
      <c r="F4" t="s">
        <v>3739</v>
      </c>
      <c r="G4" t="str">
        <v>B05</v>
      </c>
      <c r="H4" t="s">
        <v>4020</v>
      </c>
      <c r="J4" t="s">
        <v>4068</v>
      </c>
    </row>
    <row r="5" spans="1:26" x14ac:dyDescent="0.25">
      <c r="A5" t="s">
        <v>3739</v>
      </c>
      <c r="B5" t="str">
        <v>10F-201</v>
      </c>
      <c r="C5" t="s">
        <v>4016</v>
      </c>
      <c r="D5" t="s">
        <v>4068</v>
      </c>
      <c r="F5" t="s">
        <v>3739</v>
      </c>
      <c r="G5" t="str">
        <v>B06</v>
      </c>
      <c r="H5" t="s">
        <v>4013</v>
      </c>
      <c r="J5" t="s">
        <v>4072</v>
      </c>
    </row>
    <row r="6" spans="1:26" x14ac:dyDescent="0.25">
      <c r="A6" t="s">
        <v>3739</v>
      </c>
      <c r="B6" t="str">
        <v>D03</v>
      </c>
      <c r="C6" t="s">
        <v>3839</v>
      </c>
      <c r="D6" t="s">
        <v>4064</v>
      </c>
      <c r="F6" t="s">
        <v>3951</v>
      </c>
      <c r="G6" t="str">
        <v>10F-201</v>
      </c>
      <c r="H6" t="s">
        <v>4022</v>
      </c>
      <c r="J6" t="s">
        <v>4064</v>
      </c>
      <c r="L6" t="s">
        <v>3776</v>
      </c>
      <c r="M6" t="str" cm="1">
        <f t="array" ref="M6:M16">_xlfn.UNIQUE(L6:L33)</f>
        <v>E01</v>
      </c>
      <c r="N6" t="s">
        <v>4011</v>
      </c>
      <c r="O6" t="s">
        <v>4068</v>
      </c>
    </row>
    <row r="7" spans="1:26" x14ac:dyDescent="0.25">
      <c r="A7" t="s">
        <v>3739</v>
      </c>
      <c r="B7" t="str">
        <v>10F-104</v>
      </c>
      <c r="C7" t="s">
        <v>3951</v>
      </c>
      <c r="D7" t="s">
        <v>4069</v>
      </c>
      <c r="F7" t="s">
        <v>3951</v>
      </c>
      <c r="G7" t="str">
        <v>10F-101</v>
      </c>
      <c r="H7" t="s">
        <v>4016</v>
      </c>
      <c r="J7" t="s">
        <v>4071</v>
      </c>
      <c r="L7" t="s">
        <v>3776</v>
      </c>
      <c r="M7" t="str">
        <v>10F-201</v>
      </c>
      <c r="N7" t="s">
        <v>4020</v>
      </c>
      <c r="O7" t="s">
        <v>4072</v>
      </c>
      <c r="Q7" t="s">
        <v>3776</v>
      </c>
      <c r="R7" t="str" cm="1">
        <f t="array" ref="R7:R16">_xlfn.UNIQUE(Q7:Q27)</f>
        <v>E01</v>
      </c>
      <c r="S7" t="s">
        <v>4011</v>
      </c>
      <c r="T7" t="s">
        <v>4067</v>
      </c>
      <c r="V7" t="s">
        <v>3839</v>
      </c>
      <c r="W7" t="s">
        <v>4067</v>
      </c>
      <c r="Y7" t="s">
        <v>4067</v>
      </c>
      <c r="Z7" t="s">
        <v>3837</v>
      </c>
    </row>
    <row r="8" spans="1:26" x14ac:dyDescent="0.25">
      <c r="A8" t="s">
        <v>3739</v>
      </c>
      <c r="B8" t="str">
        <v>A01</v>
      </c>
      <c r="C8" t="s">
        <v>3739</v>
      </c>
      <c r="F8" t="s">
        <v>3955</v>
      </c>
      <c r="G8" t="str">
        <v>8D-04</v>
      </c>
      <c r="H8" t="s">
        <v>3839</v>
      </c>
      <c r="J8" t="s">
        <v>4069</v>
      </c>
      <c r="L8" t="s">
        <v>3776</v>
      </c>
      <c r="M8" t="str">
        <v>C01</v>
      </c>
      <c r="N8" t="s">
        <v>4022</v>
      </c>
      <c r="O8" t="s">
        <v>4064</v>
      </c>
      <c r="Q8" t="s">
        <v>3739</v>
      </c>
      <c r="R8" t="str">
        <v>D01</v>
      </c>
      <c r="S8" t="s">
        <v>4020</v>
      </c>
      <c r="T8" t="s">
        <v>4068</v>
      </c>
      <c r="V8" t="s">
        <v>4062</v>
      </c>
      <c r="W8" t="s">
        <v>4068</v>
      </c>
      <c r="Y8" t="s">
        <v>4068</v>
      </c>
      <c r="Z8" t="s">
        <v>3928</v>
      </c>
    </row>
    <row r="9" spans="1:26" x14ac:dyDescent="0.25">
      <c r="A9" t="s">
        <v>3739</v>
      </c>
      <c r="B9" t="str">
        <v>D02</v>
      </c>
      <c r="C9" t="s">
        <v>3802</v>
      </c>
      <c r="F9" t="s">
        <v>3951</v>
      </c>
      <c r="G9" t="str">
        <v>D03</v>
      </c>
      <c r="H9" t="s">
        <v>3929</v>
      </c>
      <c r="J9" t="s">
        <v>4065</v>
      </c>
      <c r="L9" t="s">
        <v>3776</v>
      </c>
      <c r="M9" t="str">
        <v>D01</v>
      </c>
      <c r="N9" t="s">
        <v>4016</v>
      </c>
      <c r="O9" t="s">
        <v>4071</v>
      </c>
      <c r="Q9" t="s">
        <v>3739</v>
      </c>
      <c r="R9" t="str">
        <v>B06</v>
      </c>
      <c r="S9" t="s">
        <v>4022</v>
      </c>
      <c r="T9" t="s">
        <v>4064</v>
      </c>
      <c r="V9" t="s">
        <v>3929</v>
      </c>
      <c r="W9" t="s">
        <v>4072</v>
      </c>
      <c r="Y9" t="s">
        <v>4072</v>
      </c>
      <c r="Z9" t="s">
        <v>3844</v>
      </c>
    </row>
    <row r="10" spans="1:26" x14ac:dyDescent="0.25">
      <c r="A10" t="s">
        <v>3739</v>
      </c>
      <c r="B10" t="str">
        <v>8F-304</v>
      </c>
      <c r="C10" t="s">
        <v>3963</v>
      </c>
      <c r="F10" t="s">
        <v>4020</v>
      </c>
      <c r="G10" t="str">
        <v>E07</v>
      </c>
      <c r="H10" t="s">
        <v>3951</v>
      </c>
      <c r="J10" t="s">
        <v>4066</v>
      </c>
      <c r="L10" t="s">
        <v>3776</v>
      </c>
      <c r="M10" t="str">
        <v>8F-304</v>
      </c>
      <c r="N10" t="s">
        <v>3929</v>
      </c>
      <c r="O10" t="s">
        <v>4069</v>
      </c>
      <c r="Q10" t="s">
        <v>3739</v>
      </c>
      <c r="R10" t="str">
        <v>10F-101</v>
      </c>
      <c r="S10" t="s">
        <v>4016</v>
      </c>
      <c r="T10" t="s">
        <v>4071</v>
      </c>
      <c r="V10" t="s">
        <v>3951</v>
      </c>
      <c r="W10" t="s">
        <v>4064</v>
      </c>
      <c r="Y10" t="s">
        <v>4064</v>
      </c>
      <c r="Z10" t="s">
        <v>3737</v>
      </c>
    </row>
    <row r="11" spans="1:26" x14ac:dyDescent="0.25">
      <c r="A11" t="s">
        <v>3739</v>
      </c>
      <c r="B11" t="str">
        <v>E01</v>
      </c>
      <c r="C11" t="s">
        <v>3851</v>
      </c>
      <c r="F11" t="s">
        <v>4020</v>
      </c>
      <c r="G11" t="str">
        <v>C01</v>
      </c>
      <c r="H11" t="s">
        <v>3955</v>
      </c>
      <c r="J11" t="s">
        <v>4062</v>
      </c>
      <c r="L11" t="s">
        <v>3776</v>
      </c>
      <c r="M11" t="str">
        <v>8D-05</v>
      </c>
      <c r="N11" t="s">
        <v>3845</v>
      </c>
      <c r="O11" t="s">
        <v>4065</v>
      </c>
      <c r="Q11" t="s">
        <v>3739</v>
      </c>
      <c r="R11" t="str">
        <v>10F-201</v>
      </c>
      <c r="S11" t="s">
        <v>3839</v>
      </c>
      <c r="T11" t="s">
        <v>4069</v>
      </c>
      <c r="V11" t="s">
        <v>3955</v>
      </c>
      <c r="W11" t="s">
        <v>4071</v>
      </c>
      <c r="Y11" t="s">
        <v>4069</v>
      </c>
      <c r="Z11" t="s">
        <v>3775</v>
      </c>
    </row>
    <row r="12" spans="1:26" x14ac:dyDescent="0.25">
      <c r="A12" t="s">
        <v>3739</v>
      </c>
      <c r="B12" t="str">
        <v>D06</v>
      </c>
      <c r="C12" t="s">
        <v>3776</v>
      </c>
      <c r="F12" t="s">
        <v>4020</v>
      </c>
      <c r="G12" t="str">
        <v>D02</v>
      </c>
      <c r="H12" t="s">
        <v>3845</v>
      </c>
      <c r="L12" t="s">
        <v>3776</v>
      </c>
      <c r="M12" t="str">
        <v>B01</v>
      </c>
      <c r="N12" t="s">
        <v>3945</v>
      </c>
      <c r="O12" t="s">
        <v>4066</v>
      </c>
      <c r="Q12" t="s">
        <v>3955</v>
      </c>
      <c r="R12" t="str">
        <v>D02</v>
      </c>
      <c r="S12" t="s">
        <v>3955</v>
      </c>
      <c r="T12" t="s">
        <v>4065</v>
      </c>
      <c r="V12" t="s">
        <v>3845</v>
      </c>
      <c r="W12" t="s">
        <v>4069</v>
      </c>
      <c r="Y12" t="s">
        <v>4120</v>
      </c>
      <c r="Z12" t="s">
        <v>3766</v>
      </c>
    </row>
    <row r="13" spans="1:26" x14ac:dyDescent="0.25">
      <c r="A13" t="s">
        <v>3739</v>
      </c>
      <c r="B13" t="str">
        <v>E03</v>
      </c>
      <c r="C13" t="s">
        <v>3969</v>
      </c>
      <c r="F13" t="s">
        <v>4020</v>
      </c>
      <c r="G13" t="str">
        <v>8F-304</v>
      </c>
      <c r="H13" t="s">
        <v>3739</v>
      </c>
      <c r="L13" t="s">
        <v>3776</v>
      </c>
      <c r="M13" t="str">
        <v>10F-101</v>
      </c>
      <c r="N13" t="s">
        <v>3739</v>
      </c>
      <c r="O13" t="s">
        <v>4069</v>
      </c>
      <c r="Q13" t="s">
        <v>4011</v>
      </c>
      <c r="R13" t="str">
        <v>8F-304</v>
      </c>
      <c r="S13" t="s">
        <v>3739</v>
      </c>
      <c r="T13" t="s">
        <v>4066</v>
      </c>
      <c r="V13" t="s">
        <v>3945</v>
      </c>
      <c r="W13" t="s">
        <v>4065</v>
      </c>
    </row>
    <row r="14" spans="1:26" x14ac:dyDescent="0.25">
      <c r="A14" t="s">
        <v>3739</v>
      </c>
      <c r="F14" t="s">
        <v>4020</v>
      </c>
      <c r="G14" t="str">
        <v>8D-05</v>
      </c>
      <c r="H14" t="s">
        <v>3802</v>
      </c>
      <c r="L14" t="s">
        <v>3776</v>
      </c>
      <c r="M14" t="str">
        <v>C04</v>
      </c>
      <c r="N14" t="s">
        <v>3776</v>
      </c>
      <c r="O14" t="s">
        <v>4062</v>
      </c>
      <c r="Q14" t="s">
        <v>4020</v>
      </c>
      <c r="R14" t="str">
        <v>8D-05</v>
      </c>
      <c r="S14" t="s">
        <v>3802</v>
      </c>
      <c r="T14" t="s">
        <v>4062</v>
      </c>
      <c r="V14" t="s">
        <v>3739</v>
      </c>
      <c r="W14" t="s">
        <v>4066</v>
      </c>
    </row>
    <row r="15" spans="1:26" x14ac:dyDescent="0.25">
      <c r="A15" t="s">
        <v>4011</v>
      </c>
      <c r="F15" t="s">
        <v>4020</v>
      </c>
      <c r="G15" t="str">
        <v>E01</v>
      </c>
      <c r="H15" t="s">
        <v>3963</v>
      </c>
      <c r="L15" t="s">
        <v>4020</v>
      </c>
      <c r="M15" t="str">
        <v>E03</v>
      </c>
      <c r="N15" t="s">
        <v>3969</v>
      </c>
      <c r="Q15" t="s">
        <v>4020</v>
      </c>
      <c r="R15" t="str">
        <v>G</v>
      </c>
      <c r="S15" t="s">
        <v>3776</v>
      </c>
      <c r="V15" t="s">
        <v>4013</v>
      </c>
      <c r="W15" t="s">
        <v>4062</v>
      </c>
    </row>
    <row r="16" spans="1:26" x14ac:dyDescent="0.25">
      <c r="A16" t="s">
        <v>4011</v>
      </c>
      <c r="F16" t="s">
        <v>4011</v>
      </c>
      <c r="G16" t="str">
        <v>B01</v>
      </c>
      <c r="H16" t="s">
        <v>3776</v>
      </c>
      <c r="L16" t="s">
        <v>4020</v>
      </c>
      <c r="M16" t="str">
        <v>G</v>
      </c>
      <c r="N16" t="s">
        <v>4062</v>
      </c>
      <c r="Q16" t="s">
        <v>3802</v>
      </c>
      <c r="R16" t="str">
        <v>A01</v>
      </c>
      <c r="S16" t="s">
        <v>4062</v>
      </c>
      <c r="V16" t="s">
        <v>3802</v>
      </c>
    </row>
    <row r="17" spans="1:22" x14ac:dyDescent="0.25">
      <c r="A17" t="s">
        <v>3739</v>
      </c>
      <c r="F17" t="s">
        <v>4011</v>
      </c>
      <c r="G17" t="str">
        <v>E03</v>
      </c>
      <c r="H17" t="s">
        <v>3969</v>
      </c>
      <c r="L17" t="s">
        <v>3845</v>
      </c>
      <c r="Q17" t="s">
        <v>3802</v>
      </c>
      <c r="V17" t="s">
        <v>3851</v>
      </c>
    </row>
    <row r="18" spans="1:22" x14ac:dyDescent="0.25">
      <c r="A18" t="s">
        <v>3739</v>
      </c>
      <c r="F18" t="s">
        <v>4011</v>
      </c>
      <c r="G18" t="str">
        <v>A01</v>
      </c>
      <c r="H18" t="s">
        <v>3828</v>
      </c>
      <c r="L18" t="s">
        <v>3845</v>
      </c>
      <c r="Q18" t="s">
        <v>3802</v>
      </c>
      <c r="V18" t="s">
        <v>4022</v>
      </c>
    </row>
    <row r="19" spans="1:22" x14ac:dyDescent="0.25">
      <c r="A19" t="s">
        <v>3739</v>
      </c>
      <c r="F19" t="s">
        <v>4011</v>
      </c>
      <c r="G19" t="str">
        <v>G</v>
      </c>
      <c r="H19" t="s">
        <v>4062</v>
      </c>
      <c r="L19" t="s">
        <v>3739</v>
      </c>
      <c r="Q19" t="s">
        <v>4016</v>
      </c>
      <c r="V19" t="s">
        <v>3963</v>
      </c>
    </row>
    <row r="20" spans="1:22" x14ac:dyDescent="0.25">
      <c r="A20" t="s">
        <v>3951</v>
      </c>
      <c r="F20" t="s">
        <v>4011</v>
      </c>
      <c r="L20" t="s">
        <v>4016</v>
      </c>
      <c r="Q20" t="s">
        <v>4016</v>
      </c>
      <c r="V20" t="s">
        <v>3776</v>
      </c>
    </row>
    <row r="21" spans="1:22" x14ac:dyDescent="0.25">
      <c r="A21" t="s">
        <v>3951</v>
      </c>
      <c r="F21" t="s">
        <v>4011</v>
      </c>
      <c r="L21" t="s">
        <v>4016</v>
      </c>
      <c r="Q21" t="s">
        <v>4022</v>
      </c>
      <c r="V21" t="s">
        <v>3828</v>
      </c>
    </row>
    <row r="22" spans="1:22" x14ac:dyDescent="0.25">
      <c r="A22" t="s">
        <v>3951</v>
      </c>
      <c r="F22" t="s">
        <v>4011</v>
      </c>
      <c r="L22" t="s">
        <v>4016</v>
      </c>
      <c r="Q22" t="s">
        <v>3776</v>
      </c>
      <c r="V22" t="s">
        <v>3969</v>
      </c>
    </row>
    <row r="23" spans="1:22" x14ac:dyDescent="0.25">
      <c r="A23" t="s">
        <v>3951</v>
      </c>
      <c r="F23" t="s">
        <v>4011</v>
      </c>
      <c r="L23" t="s">
        <v>4022</v>
      </c>
      <c r="Q23" t="s">
        <v>4011</v>
      </c>
      <c r="V23" t="s">
        <v>4011</v>
      </c>
    </row>
    <row r="24" spans="1:22" x14ac:dyDescent="0.25">
      <c r="A24" t="s">
        <v>4011</v>
      </c>
      <c r="F24" t="s">
        <v>4011</v>
      </c>
      <c r="L24" t="s">
        <v>4022</v>
      </c>
      <c r="Q24" t="s">
        <v>4011</v>
      </c>
      <c r="V24" t="s">
        <v>4016</v>
      </c>
    </row>
    <row r="25" spans="1:22" x14ac:dyDescent="0.25">
      <c r="A25" t="s">
        <v>4011</v>
      </c>
      <c r="F25" t="s">
        <v>4011</v>
      </c>
      <c r="L25" t="s">
        <v>3776</v>
      </c>
      <c r="Q25" t="s">
        <v>4062</v>
      </c>
      <c r="V25" t="s">
        <v>4018</v>
      </c>
    </row>
    <row r="26" spans="1:22" x14ac:dyDescent="0.25">
      <c r="A26" t="s">
        <v>4020</v>
      </c>
      <c r="F26" t="s">
        <v>4011</v>
      </c>
      <c r="L26" t="s">
        <v>3776</v>
      </c>
      <c r="Q26" t="s">
        <v>4062</v>
      </c>
      <c r="V26" t="s">
        <v>4020</v>
      </c>
    </row>
    <row r="27" spans="1:22" x14ac:dyDescent="0.25">
      <c r="A27" t="s">
        <v>4020</v>
      </c>
      <c r="F27" t="s">
        <v>4011</v>
      </c>
      <c r="L27" t="s">
        <v>3929</v>
      </c>
      <c r="Q27" t="s">
        <v>3839</v>
      </c>
    </row>
    <row r="28" spans="1:22" x14ac:dyDescent="0.25">
      <c r="A28" t="s">
        <v>4020</v>
      </c>
      <c r="F28" t="s">
        <v>4020</v>
      </c>
      <c r="L28" t="s">
        <v>4011</v>
      </c>
    </row>
    <row r="29" spans="1:22" x14ac:dyDescent="0.25">
      <c r="A29" t="s">
        <v>3963</v>
      </c>
      <c r="F29" t="s">
        <v>4020</v>
      </c>
      <c r="L29" t="s">
        <v>3739</v>
      </c>
    </row>
    <row r="30" spans="1:22" x14ac:dyDescent="0.25">
      <c r="A30" t="s">
        <v>4018</v>
      </c>
      <c r="F30" t="s">
        <v>4020</v>
      </c>
      <c r="L30" t="s">
        <v>3945</v>
      </c>
    </row>
    <row r="31" spans="1:22" x14ac:dyDescent="0.25">
      <c r="A31" t="s">
        <v>4011</v>
      </c>
      <c r="F31" t="s">
        <v>4013</v>
      </c>
      <c r="L31" t="s">
        <v>3969</v>
      </c>
    </row>
    <row r="32" spans="1:22" x14ac:dyDescent="0.25">
      <c r="A32" t="s">
        <v>4018</v>
      </c>
      <c r="F32" t="s">
        <v>4013</v>
      </c>
      <c r="L32" t="s">
        <v>3969</v>
      </c>
    </row>
    <row r="33" spans="1:12" x14ac:dyDescent="0.25">
      <c r="A33" t="s">
        <v>4018</v>
      </c>
      <c r="F33" t="s">
        <v>3739</v>
      </c>
      <c r="L33" t="s">
        <v>4062</v>
      </c>
    </row>
    <row r="34" spans="1:12" x14ac:dyDescent="0.25">
      <c r="A34" t="s">
        <v>4018</v>
      </c>
      <c r="F34" t="s">
        <v>3739</v>
      </c>
    </row>
    <row r="35" spans="1:12" x14ac:dyDescent="0.25">
      <c r="A35" t="s">
        <v>4018</v>
      </c>
      <c r="F35" t="s">
        <v>3739</v>
      </c>
    </row>
    <row r="36" spans="1:12" x14ac:dyDescent="0.25">
      <c r="A36" t="s">
        <v>3839</v>
      </c>
      <c r="F36" t="s">
        <v>3739</v>
      </c>
    </row>
    <row r="37" spans="1:12" x14ac:dyDescent="0.25">
      <c r="A37" t="s">
        <v>4011</v>
      </c>
      <c r="F37" t="s">
        <v>3739</v>
      </c>
    </row>
    <row r="38" spans="1:12" x14ac:dyDescent="0.25">
      <c r="A38" t="s">
        <v>3802</v>
      </c>
      <c r="F38" t="s">
        <v>3739</v>
      </c>
    </row>
    <row r="39" spans="1:12" x14ac:dyDescent="0.25">
      <c r="A39" t="s">
        <v>3802</v>
      </c>
      <c r="F39" t="s">
        <v>3963</v>
      </c>
    </row>
    <row r="40" spans="1:12" x14ac:dyDescent="0.25">
      <c r="A40" t="s">
        <v>3802</v>
      </c>
      <c r="F40" t="s">
        <v>3963</v>
      </c>
    </row>
    <row r="41" spans="1:12" x14ac:dyDescent="0.25">
      <c r="A41" t="s">
        <v>3802</v>
      </c>
      <c r="F41" t="s">
        <v>3963</v>
      </c>
    </row>
    <row r="42" spans="1:12" x14ac:dyDescent="0.25">
      <c r="A42" t="s">
        <v>4016</v>
      </c>
      <c r="F42" t="s">
        <v>3828</v>
      </c>
    </row>
    <row r="43" spans="1:12" x14ac:dyDescent="0.25">
      <c r="A43" t="s">
        <v>3776</v>
      </c>
      <c r="F43" t="s">
        <v>3845</v>
      </c>
    </row>
    <row r="44" spans="1:12" x14ac:dyDescent="0.25">
      <c r="A44" t="s">
        <v>3776</v>
      </c>
      <c r="F44" t="s">
        <v>3845</v>
      </c>
    </row>
    <row r="45" spans="1:12" x14ac:dyDescent="0.25">
      <c r="A45" t="s">
        <v>3776</v>
      </c>
      <c r="F45" t="s">
        <v>3845</v>
      </c>
    </row>
    <row r="46" spans="1:12" x14ac:dyDescent="0.25">
      <c r="A46" t="s">
        <v>3851</v>
      </c>
      <c r="F46" t="s">
        <v>3802</v>
      </c>
    </row>
    <row r="47" spans="1:12" x14ac:dyDescent="0.25">
      <c r="A47" t="s">
        <v>3851</v>
      </c>
      <c r="F47" t="s">
        <v>3802</v>
      </c>
    </row>
    <row r="48" spans="1:12" x14ac:dyDescent="0.25">
      <c r="A48" t="s">
        <v>3776</v>
      </c>
      <c r="F48" t="s">
        <v>3802</v>
      </c>
    </row>
    <row r="49" spans="1:6" x14ac:dyDescent="0.25">
      <c r="A49" t="s">
        <v>3776</v>
      </c>
      <c r="F49" t="s">
        <v>3802</v>
      </c>
    </row>
    <row r="50" spans="1:6" x14ac:dyDescent="0.25">
      <c r="A50" t="s">
        <v>3776</v>
      </c>
      <c r="F50" t="s">
        <v>3802</v>
      </c>
    </row>
    <row r="51" spans="1:6" x14ac:dyDescent="0.25">
      <c r="A51" t="s">
        <v>4011</v>
      </c>
      <c r="F51" t="s">
        <v>4016</v>
      </c>
    </row>
    <row r="52" spans="1:6" x14ac:dyDescent="0.25">
      <c r="A52" t="s">
        <v>4011</v>
      </c>
      <c r="F52" t="s">
        <v>4016</v>
      </c>
    </row>
    <row r="53" spans="1:6" x14ac:dyDescent="0.25">
      <c r="A53" t="s">
        <v>4011</v>
      </c>
      <c r="F53" t="s">
        <v>4016</v>
      </c>
    </row>
    <row r="54" spans="1:6" x14ac:dyDescent="0.25">
      <c r="A54" t="s">
        <v>4011</v>
      </c>
      <c r="F54" t="s">
        <v>4022</v>
      </c>
    </row>
    <row r="55" spans="1:6" x14ac:dyDescent="0.25">
      <c r="A55" t="s">
        <v>4011</v>
      </c>
      <c r="F55" t="s">
        <v>4022</v>
      </c>
    </row>
    <row r="56" spans="1:6" x14ac:dyDescent="0.25">
      <c r="A56" t="s">
        <v>4011</v>
      </c>
      <c r="F56" t="s">
        <v>3776</v>
      </c>
    </row>
    <row r="57" spans="1:6" x14ac:dyDescent="0.25">
      <c r="A57" t="s">
        <v>3969</v>
      </c>
      <c r="F57" t="s">
        <v>3776</v>
      </c>
    </row>
    <row r="58" spans="1:6" x14ac:dyDescent="0.25">
      <c r="A58" t="s">
        <v>3969</v>
      </c>
      <c r="F58" t="s">
        <v>3776</v>
      </c>
    </row>
    <row r="59" spans="1:6" x14ac:dyDescent="0.25">
      <c r="A59" t="s">
        <v>3739</v>
      </c>
      <c r="F59" t="s">
        <v>3776</v>
      </c>
    </row>
    <row r="60" spans="1:6" x14ac:dyDescent="0.25">
      <c r="A60" t="s">
        <v>3739</v>
      </c>
      <c r="F60" t="s">
        <v>3929</v>
      </c>
    </row>
    <row r="61" spans="1:6" x14ac:dyDescent="0.25">
      <c r="A61" t="s">
        <v>3839</v>
      </c>
      <c r="F61" t="s">
        <v>3929</v>
      </c>
    </row>
    <row r="62" spans="1:6" x14ac:dyDescent="0.25">
      <c r="F62" t="s">
        <v>4011</v>
      </c>
    </row>
    <row r="63" spans="1:6" x14ac:dyDescent="0.25">
      <c r="F63" t="s">
        <v>4011</v>
      </c>
    </row>
    <row r="64" spans="1:6" x14ac:dyDescent="0.25">
      <c r="F64" t="s">
        <v>4011</v>
      </c>
    </row>
    <row r="65" spans="6:6" x14ac:dyDescent="0.25">
      <c r="F65" t="s">
        <v>4011</v>
      </c>
    </row>
    <row r="66" spans="6:6" x14ac:dyDescent="0.25">
      <c r="F66" t="s">
        <v>4011</v>
      </c>
    </row>
    <row r="67" spans="6:6" x14ac:dyDescent="0.25">
      <c r="F67" t="s">
        <v>4011</v>
      </c>
    </row>
    <row r="68" spans="6:6" x14ac:dyDescent="0.25">
      <c r="F68" t="s">
        <v>4011</v>
      </c>
    </row>
    <row r="69" spans="6:6" x14ac:dyDescent="0.25">
      <c r="F69" t="s">
        <v>4011</v>
      </c>
    </row>
    <row r="70" spans="6:6" x14ac:dyDescent="0.25">
      <c r="F70" t="s">
        <v>3739</v>
      </c>
    </row>
    <row r="71" spans="6:6" x14ac:dyDescent="0.25">
      <c r="F71" t="s">
        <v>3969</v>
      </c>
    </row>
    <row r="72" spans="6:6" x14ac:dyDescent="0.25">
      <c r="F72" t="s">
        <v>3969</v>
      </c>
    </row>
    <row r="73" spans="6:6" x14ac:dyDescent="0.25">
      <c r="F73" t="s">
        <v>3969</v>
      </c>
    </row>
    <row r="74" spans="6:6" x14ac:dyDescent="0.25">
      <c r="F74" t="s">
        <v>3969</v>
      </c>
    </row>
    <row r="75" spans="6:6" x14ac:dyDescent="0.25">
      <c r="F75" t="s">
        <v>3969</v>
      </c>
    </row>
    <row r="76" spans="6:6" x14ac:dyDescent="0.25">
      <c r="F76" t="s">
        <v>3969</v>
      </c>
    </row>
    <row r="77" spans="6:6" x14ac:dyDescent="0.25">
      <c r="F77" t="s">
        <v>3969</v>
      </c>
    </row>
    <row r="78" spans="6:6" x14ac:dyDescent="0.25">
      <c r="F78" t="s">
        <v>3969</v>
      </c>
    </row>
    <row r="79" spans="6:6" x14ac:dyDescent="0.25">
      <c r="F79" t="s">
        <v>3969</v>
      </c>
    </row>
    <row r="80" spans="6:6" x14ac:dyDescent="0.25">
      <c r="F80" t="s">
        <v>3969</v>
      </c>
    </row>
    <row r="81" spans="6:6" x14ac:dyDescent="0.25">
      <c r="F81" t="s">
        <v>3969</v>
      </c>
    </row>
    <row r="82" spans="6:6" x14ac:dyDescent="0.25">
      <c r="F82" t="s">
        <v>3969</v>
      </c>
    </row>
    <row r="83" spans="6:6" x14ac:dyDescent="0.25">
      <c r="F83" t="s">
        <v>3839</v>
      </c>
    </row>
    <row r="84" spans="6:6" x14ac:dyDescent="0.25">
      <c r="F84" t="s">
        <v>4062</v>
      </c>
    </row>
    <row r="85" spans="6:6" x14ac:dyDescent="0.25">
      <c r="F85" t="s">
        <v>3839</v>
      </c>
    </row>
    <row r="86" spans="6:6" x14ac:dyDescent="0.25">
      <c r="F86" t="s">
        <v>3839</v>
      </c>
    </row>
    <row r="87" spans="6:6" x14ac:dyDescent="0.25">
      <c r="F87" t="s">
        <v>3839</v>
      </c>
    </row>
    <row r="88" spans="6:6" x14ac:dyDescent="0.25">
      <c r="F88" t="s">
        <v>3839</v>
      </c>
    </row>
  </sheetData>
  <sortState xmlns:xlrd2="http://schemas.microsoft.com/office/spreadsheetml/2017/richdata2" ref="S7:S16">
    <sortCondition ref="S7:S1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E6025-8D73-4299-8888-9686B9A97F26}">
  <dimension ref="A1:Q538"/>
  <sheetViews>
    <sheetView workbookViewId="0">
      <selection activeCell="M16" sqref="M16"/>
    </sheetView>
  </sheetViews>
  <sheetFormatPr defaultRowHeight="15.75" x14ac:dyDescent="0.25"/>
  <cols>
    <col min="1" max="8" width="11.375" customWidth="1"/>
    <col min="10" max="10" width="14.75" customWidth="1"/>
    <col min="11" max="11" width="13.125" customWidth="1"/>
    <col min="12" max="13" width="14.75" customWidth="1"/>
    <col min="15" max="15" width="12.75" customWidth="1"/>
    <col min="16" max="16" width="24.75" customWidth="1"/>
    <col min="17" max="17" width="14.375" customWidth="1"/>
  </cols>
  <sheetData>
    <row r="1" spans="1:17" s="115" customFormat="1" ht="18.75" x14ac:dyDescent="0.3">
      <c r="A1" s="138" t="s">
        <v>4040</v>
      </c>
      <c r="E1" s="139" t="s">
        <v>4041</v>
      </c>
      <c r="F1" s="140" t="s">
        <v>4042</v>
      </c>
    </row>
    <row r="2" spans="1:17" s="115" customFormat="1" x14ac:dyDescent="0.25"/>
    <row r="3" spans="1:17" ht="47.25" x14ac:dyDescent="0.25">
      <c r="A3" s="136" t="s">
        <v>4032</v>
      </c>
      <c r="B3" s="136" t="s">
        <v>4033</v>
      </c>
      <c r="C3" s="136" t="s">
        <v>4034</v>
      </c>
      <c r="D3" s="136" t="s">
        <v>4035</v>
      </c>
      <c r="E3" s="136" t="s">
        <v>4036</v>
      </c>
      <c r="F3" s="136" t="s">
        <v>4037</v>
      </c>
      <c r="G3" s="136" t="s">
        <v>4038</v>
      </c>
      <c r="H3" s="136" t="s">
        <v>4039</v>
      </c>
      <c r="J3" s="155" t="s">
        <v>4032</v>
      </c>
      <c r="K3" s="156" t="s">
        <v>4033</v>
      </c>
      <c r="L3" s="156" t="s">
        <v>4034</v>
      </c>
      <c r="M3" s="156" t="s">
        <v>4035</v>
      </c>
      <c r="N3" s="156" t="s">
        <v>4036</v>
      </c>
      <c r="O3" s="156" t="s">
        <v>4037</v>
      </c>
      <c r="P3" s="156" t="s">
        <v>4038</v>
      </c>
      <c r="Q3" s="157" t="s">
        <v>4039</v>
      </c>
    </row>
    <row r="4" spans="1:17" x14ac:dyDescent="0.25">
      <c r="A4" s="137">
        <v>1</v>
      </c>
      <c r="B4" s="137">
        <v>0</v>
      </c>
      <c r="C4" s="137">
        <v>0</v>
      </c>
      <c r="D4" s="137">
        <v>0</v>
      </c>
      <c r="E4" s="137">
        <v>1</v>
      </c>
      <c r="F4" s="137">
        <v>0</v>
      </c>
      <c r="G4" s="137">
        <v>1</v>
      </c>
      <c r="H4" s="137">
        <v>1</v>
      </c>
      <c r="J4" s="153">
        <v>1</v>
      </c>
      <c r="K4" s="137">
        <v>0</v>
      </c>
      <c r="L4" s="137">
        <v>0</v>
      </c>
      <c r="M4" s="137">
        <v>0</v>
      </c>
      <c r="N4" s="137">
        <v>1</v>
      </c>
      <c r="O4" s="137">
        <v>0</v>
      </c>
      <c r="P4" s="137">
        <v>1</v>
      </c>
      <c r="Q4" s="154">
        <v>1</v>
      </c>
    </row>
    <row r="5" spans="1:17" x14ac:dyDescent="0.25">
      <c r="A5" s="137">
        <v>2</v>
      </c>
      <c r="B5" s="137">
        <v>0</v>
      </c>
      <c r="C5" s="137">
        <v>2</v>
      </c>
      <c r="D5" s="137">
        <v>0</v>
      </c>
      <c r="E5" s="137">
        <v>0</v>
      </c>
      <c r="F5" s="137">
        <v>0</v>
      </c>
      <c r="G5" s="137">
        <v>2</v>
      </c>
      <c r="H5" s="137">
        <v>2</v>
      </c>
      <c r="J5" s="153">
        <v>2</v>
      </c>
      <c r="K5" s="137">
        <v>0</v>
      </c>
      <c r="L5" s="137">
        <v>2</v>
      </c>
      <c r="M5" s="137">
        <v>0</v>
      </c>
      <c r="N5" s="137">
        <v>0</v>
      </c>
      <c r="O5" s="137">
        <v>0</v>
      </c>
      <c r="P5" s="137">
        <v>2</v>
      </c>
      <c r="Q5" s="154">
        <v>2</v>
      </c>
    </row>
    <row r="6" spans="1:17" x14ac:dyDescent="0.25">
      <c r="A6" s="137">
        <v>3</v>
      </c>
      <c r="B6" s="137">
        <v>0</v>
      </c>
      <c r="C6" s="137">
        <v>2</v>
      </c>
      <c r="D6" s="137">
        <v>0</v>
      </c>
      <c r="E6" s="137">
        <v>0</v>
      </c>
      <c r="F6" s="137">
        <v>0</v>
      </c>
      <c r="G6" s="137">
        <v>2</v>
      </c>
      <c r="H6" s="137">
        <v>2</v>
      </c>
      <c r="J6" s="153">
        <v>3</v>
      </c>
      <c r="K6" s="137">
        <v>0</v>
      </c>
      <c r="L6" s="137">
        <v>2</v>
      </c>
      <c r="M6" s="137">
        <v>0</v>
      </c>
      <c r="N6" s="137">
        <v>0</v>
      </c>
      <c r="O6" s="137">
        <v>0</v>
      </c>
      <c r="P6" s="137">
        <v>2</v>
      </c>
      <c r="Q6" s="154">
        <v>2</v>
      </c>
    </row>
    <row r="7" spans="1:17" x14ac:dyDescent="0.25">
      <c r="A7" s="137">
        <v>4</v>
      </c>
      <c r="B7" s="137">
        <v>0</v>
      </c>
      <c r="C7" s="137">
        <v>2</v>
      </c>
      <c r="D7" s="137">
        <v>0</v>
      </c>
      <c r="E7" s="137">
        <v>0</v>
      </c>
      <c r="F7" s="137">
        <v>0</v>
      </c>
      <c r="G7" s="137">
        <v>2</v>
      </c>
      <c r="H7" s="137">
        <v>2</v>
      </c>
      <c r="J7" s="153">
        <v>4</v>
      </c>
      <c r="K7" s="137">
        <v>0</v>
      </c>
      <c r="L7" s="137">
        <v>2</v>
      </c>
      <c r="M7" s="137">
        <v>0</v>
      </c>
      <c r="N7" s="137">
        <v>0</v>
      </c>
      <c r="O7" s="137">
        <v>0</v>
      </c>
      <c r="P7" s="137">
        <v>2</v>
      </c>
      <c r="Q7" s="154">
        <v>2</v>
      </c>
    </row>
    <row r="8" spans="1:17" x14ac:dyDescent="0.25">
      <c r="A8" s="137">
        <v>5</v>
      </c>
      <c r="B8" s="137">
        <v>0</v>
      </c>
      <c r="C8" s="137">
        <v>1</v>
      </c>
      <c r="D8" s="137">
        <v>0</v>
      </c>
      <c r="E8" s="137">
        <v>0</v>
      </c>
      <c r="F8" s="137">
        <v>0</v>
      </c>
      <c r="G8" s="137">
        <v>1</v>
      </c>
      <c r="H8" s="137">
        <v>1</v>
      </c>
      <c r="J8" s="153">
        <v>5</v>
      </c>
      <c r="K8" s="137">
        <v>0</v>
      </c>
      <c r="L8" s="137">
        <v>1</v>
      </c>
      <c r="M8" s="137">
        <v>0</v>
      </c>
      <c r="N8" s="137">
        <v>0</v>
      </c>
      <c r="O8" s="137">
        <v>0</v>
      </c>
      <c r="P8" s="137">
        <v>1</v>
      </c>
      <c r="Q8" s="154">
        <v>1</v>
      </c>
    </row>
    <row r="9" spans="1:17" x14ac:dyDescent="0.25">
      <c r="A9" s="137">
        <v>6</v>
      </c>
      <c r="B9" s="137">
        <v>0</v>
      </c>
      <c r="C9" s="137">
        <v>0</v>
      </c>
      <c r="D9" s="137">
        <v>0</v>
      </c>
      <c r="E9" s="137">
        <v>1</v>
      </c>
      <c r="F9" s="137">
        <v>0</v>
      </c>
      <c r="G9" s="137">
        <v>1</v>
      </c>
      <c r="H9" s="137">
        <v>1</v>
      </c>
      <c r="J9" s="153">
        <v>6</v>
      </c>
      <c r="K9" s="137">
        <v>0</v>
      </c>
      <c r="L9" s="137">
        <v>0</v>
      </c>
      <c r="M9" s="137">
        <v>0</v>
      </c>
      <c r="N9" s="137">
        <v>1</v>
      </c>
      <c r="O9" s="137">
        <v>0</v>
      </c>
      <c r="P9" s="137">
        <v>1</v>
      </c>
      <c r="Q9" s="154">
        <v>1</v>
      </c>
    </row>
    <row r="10" spans="1:17" x14ac:dyDescent="0.25">
      <c r="A10" s="137">
        <v>7</v>
      </c>
      <c r="B10" s="137">
        <v>0</v>
      </c>
      <c r="C10" s="137">
        <v>1</v>
      </c>
      <c r="D10" s="137">
        <v>0</v>
      </c>
      <c r="E10" s="137">
        <v>0</v>
      </c>
      <c r="F10" s="137">
        <v>0</v>
      </c>
      <c r="G10" s="137">
        <v>1</v>
      </c>
      <c r="H10" s="137">
        <v>1</v>
      </c>
      <c r="J10" s="153">
        <v>7</v>
      </c>
      <c r="K10" s="137">
        <v>0</v>
      </c>
      <c r="L10" s="137">
        <v>1</v>
      </c>
      <c r="M10" s="137">
        <v>0</v>
      </c>
      <c r="N10" s="137">
        <v>0</v>
      </c>
      <c r="O10" s="137">
        <v>0</v>
      </c>
      <c r="P10" s="137">
        <v>1</v>
      </c>
      <c r="Q10" s="154">
        <v>1</v>
      </c>
    </row>
    <row r="11" spans="1:17" x14ac:dyDescent="0.25">
      <c r="A11" s="137">
        <v>8</v>
      </c>
      <c r="B11" s="137">
        <v>0</v>
      </c>
      <c r="C11" s="137">
        <v>0</v>
      </c>
      <c r="D11" s="137">
        <v>0</v>
      </c>
      <c r="E11" s="137">
        <v>1</v>
      </c>
      <c r="F11" s="137">
        <v>0</v>
      </c>
      <c r="G11" s="137">
        <v>1</v>
      </c>
      <c r="H11" s="137">
        <v>1</v>
      </c>
      <c r="J11" s="153">
        <v>8</v>
      </c>
      <c r="K11" s="137">
        <v>0</v>
      </c>
      <c r="L11" s="137">
        <v>0</v>
      </c>
      <c r="M11" s="137">
        <v>0</v>
      </c>
      <c r="N11" s="137">
        <v>1</v>
      </c>
      <c r="O11" s="137">
        <v>0</v>
      </c>
      <c r="P11" s="137">
        <v>1</v>
      </c>
      <c r="Q11" s="154">
        <v>1</v>
      </c>
    </row>
    <row r="12" spans="1:17" x14ac:dyDescent="0.25">
      <c r="A12" s="137">
        <v>9</v>
      </c>
      <c r="B12" s="137">
        <v>0</v>
      </c>
      <c r="C12" s="137">
        <v>2</v>
      </c>
      <c r="D12" s="137">
        <v>0</v>
      </c>
      <c r="E12" s="137">
        <v>0</v>
      </c>
      <c r="F12" s="137">
        <v>0</v>
      </c>
      <c r="G12" s="137">
        <v>2</v>
      </c>
      <c r="H12" s="137">
        <v>2</v>
      </c>
      <c r="J12" s="153">
        <v>9</v>
      </c>
      <c r="K12" s="137">
        <v>0</v>
      </c>
      <c r="L12" s="137">
        <v>2</v>
      </c>
      <c r="M12" s="137">
        <v>0</v>
      </c>
      <c r="N12" s="137">
        <v>0</v>
      </c>
      <c r="O12" s="137">
        <v>0</v>
      </c>
      <c r="P12" s="137">
        <v>2</v>
      </c>
      <c r="Q12" s="154">
        <v>2</v>
      </c>
    </row>
    <row r="13" spans="1:17" x14ac:dyDescent="0.25">
      <c r="A13" s="137">
        <v>10</v>
      </c>
      <c r="B13" s="137">
        <v>0</v>
      </c>
      <c r="C13" s="137">
        <v>2</v>
      </c>
      <c r="D13" s="137">
        <v>0</v>
      </c>
      <c r="E13" s="137">
        <v>0</v>
      </c>
      <c r="F13" s="137">
        <v>0</v>
      </c>
      <c r="G13" s="137">
        <v>2</v>
      </c>
      <c r="H13" s="137">
        <v>2</v>
      </c>
      <c r="J13" s="153">
        <v>10</v>
      </c>
      <c r="K13" s="137">
        <v>0</v>
      </c>
      <c r="L13" s="137">
        <v>2</v>
      </c>
      <c r="M13" s="137">
        <v>0</v>
      </c>
      <c r="N13" s="137">
        <v>0</v>
      </c>
      <c r="O13" s="137">
        <v>0</v>
      </c>
      <c r="P13" s="137">
        <v>2</v>
      </c>
      <c r="Q13" s="154">
        <v>2</v>
      </c>
    </row>
    <row r="14" spans="1:17" x14ac:dyDescent="0.25">
      <c r="A14" s="137">
        <v>11</v>
      </c>
      <c r="B14" s="137">
        <v>0</v>
      </c>
      <c r="C14" s="137">
        <v>2</v>
      </c>
      <c r="D14" s="137">
        <v>0</v>
      </c>
      <c r="E14" s="137">
        <v>0</v>
      </c>
      <c r="F14" s="137">
        <v>0</v>
      </c>
      <c r="G14" s="137">
        <v>2</v>
      </c>
      <c r="H14" s="137">
        <v>2</v>
      </c>
      <c r="J14" s="153">
        <v>11</v>
      </c>
      <c r="K14" s="137">
        <v>0</v>
      </c>
      <c r="L14" s="137">
        <v>2</v>
      </c>
      <c r="M14" s="137">
        <v>0</v>
      </c>
      <c r="N14" s="137">
        <v>0</v>
      </c>
      <c r="O14" s="137">
        <v>0</v>
      </c>
      <c r="P14" s="137">
        <v>2</v>
      </c>
      <c r="Q14" s="154">
        <v>2</v>
      </c>
    </row>
    <row r="15" spans="1:17" x14ac:dyDescent="0.25">
      <c r="A15" s="137">
        <v>12</v>
      </c>
      <c r="B15" s="137">
        <v>0</v>
      </c>
      <c r="C15" s="137">
        <v>1</v>
      </c>
      <c r="D15" s="137">
        <v>0</v>
      </c>
      <c r="E15" s="137">
        <v>0</v>
      </c>
      <c r="F15" s="137">
        <v>0</v>
      </c>
      <c r="G15" s="137">
        <v>1</v>
      </c>
      <c r="H15" s="137">
        <v>1</v>
      </c>
      <c r="J15" s="153">
        <v>12</v>
      </c>
      <c r="K15" s="137">
        <v>0</v>
      </c>
      <c r="L15" s="137">
        <v>1</v>
      </c>
      <c r="M15" s="137">
        <v>0</v>
      </c>
      <c r="N15" s="137">
        <v>0</v>
      </c>
      <c r="O15" s="137">
        <v>0</v>
      </c>
      <c r="P15" s="137">
        <v>1</v>
      </c>
      <c r="Q15" s="154">
        <v>1</v>
      </c>
    </row>
    <row r="16" spans="1:17" x14ac:dyDescent="0.25">
      <c r="A16" s="137">
        <v>13</v>
      </c>
      <c r="B16" s="137">
        <v>0</v>
      </c>
      <c r="C16" s="137">
        <v>2</v>
      </c>
      <c r="D16" s="137">
        <v>0</v>
      </c>
      <c r="E16" s="137">
        <v>0</v>
      </c>
      <c r="F16" s="137">
        <v>0</v>
      </c>
      <c r="G16" s="137">
        <v>2</v>
      </c>
      <c r="H16" s="137">
        <v>2</v>
      </c>
      <c r="J16" s="153">
        <v>13</v>
      </c>
      <c r="K16" s="137">
        <v>0</v>
      </c>
      <c r="L16" s="137">
        <v>2</v>
      </c>
      <c r="M16" s="137">
        <v>0</v>
      </c>
      <c r="N16" s="137">
        <v>0</v>
      </c>
      <c r="O16" s="137">
        <v>0</v>
      </c>
      <c r="P16" s="137">
        <v>2</v>
      </c>
      <c r="Q16" s="154">
        <v>2</v>
      </c>
    </row>
    <row r="17" spans="1:17" x14ac:dyDescent="0.25">
      <c r="A17" s="137">
        <v>15</v>
      </c>
      <c r="B17" s="137">
        <v>0</v>
      </c>
      <c r="C17" s="137">
        <v>0</v>
      </c>
      <c r="D17" s="137">
        <v>0</v>
      </c>
      <c r="E17" s="137">
        <v>0</v>
      </c>
      <c r="F17" s="137">
        <v>1</v>
      </c>
      <c r="G17" s="137">
        <v>0</v>
      </c>
      <c r="H17" s="137">
        <v>0</v>
      </c>
      <c r="J17" s="153">
        <v>15</v>
      </c>
      <c r="K17" s="137">
        <v>0</v>
      </c>
      <c r="L17" s="137">
        <v>0</v>
      </c>
      <c r="M17" s="137">
        <v>0</v>
      </c>
      <c r="N17" s="137">
        <v>0</v>
      </c>
      <c r="O17" s="137">
        <v>1</v>
      </c>
      <c r="P17" s="137">
        <v>0</v>
      </c>
      <c r="Q17" s="154">
        <v>0</v>
      </c>
    </row>
    <row r="18" spans="1:17" x14ac:dyDescent="0.25">
      <c r="A18" s="137">
        <v>16</v>
      </c>
      <c r="B18" s="137">
        <v>0</v>
      </c>
      <c r="C18" s="137">
        <v>0</v>
      </c>
      <c r="D18" s="137">
        <v>0</v>
      </c>
      <c r="E18" s="137">
        <v>1</v>
      </c>
      <c r="F18" s="137">
        <v>0</v>
      </c>
      <c r="G18" s="137">
        <v>1</v>
      </c>
      <c r="H18" s="137">
        <v>1</v>
      </c>
      <c r="J18" s="153">
        <v>16</v>
      </c>
      <c r="K18" s="137">
        <v>0</v>
      </c>
      <c r="L18" s="137">
        <v>0</v>
      </c>
      <c r="M18" s="137">
        <v>0</v>
      </c>
      <c r="N18" s="137">
        <v>1</v>
      </c>
      <c r="O18" s="137">
        <v>0</v>
      </c>
      <c r="P18" s="137">
        <v>1</v>
      </c>
      <c r="Q18" s="154">
        <v>1</v>
      </c>
    </row>
    <row r="19" spans="1:17" x14ac:dyDescent="0.25">
      <c r="A19" s="137">
        <v>17</v>
      </c>
      <c r="B19" s="137">
        <v>0</v>
      </c>
      <c r="C19" s="137">
        <v>0</v>
      </c>
      <c r="D19" s="137">
        <v>0</v>
      </c>
      <c r="E19" s="137">
        <v>0</v>
      </c>
      <c r="F19" s="137">
        <v>1</v>
      </c>
      <c r="G19" s="137">
        <v>0</v>
      </c>
      <c r="H19" s="137">
        <v>0</v>
      </c>
      <c r="J19" s="153">
        <v>17</v>
      </c>
      <c r="K19" s="137">
        <v>0</v>
      </c>
      <c r="L19" s="137">
        <v>0</v>
      </c>
      <c r="M19" s="137">
        <v>0</v>
      </c>
      <c r="N19" s="137">
        <v>0</v>
      </c>
      <c r="O19" s="137">
        <v>1</v>
      </c>
      <c r="P19" s="137">
        <v>0</v>
      </c>
      <c r="Q19" s="154">
        <v>0</v>
      </c>
    </row>
    <row r="20" spans="1:17" x14ac:dyDescent="0.25">
      <c r="A20" s="137">
        <v>18</v>
      </c>
      <c r="B20" s="137">
        <v>0</v>
      </c>
      <c r="C20" s="137">
        <v>2</v>
      </c>
      <c r="D20" s="137">
        <v>0</v>
      </c>
      <c r="E20" s="137">
        <v>0</v>
      </c>
      <c r="F20" s="137">
        <v>0</v>
      </c>
      <c r="G20" s="137">
        <v>2</v>
      </c>
      <c r="H20" s="137">
        <v>2</v>
      </c>
      <c r="J20" s="153">
        <v>18</v>
      </c>
      <c r="K20" s="137">
        <v>0</v>
      </c>
      <c r="L20" s="137">
        <v>2</v>
      </c>
      <c r="M20" s="137">
        <v>0</v>
      </c>
      <c r="N20" s="137">
        <v>0</v>
      </c>
      <c r="O20" s="137">
        <v>0</v>
      </c>
      <c r="P20" s="137">
        <v>2</v>
      </c>
      <c r="Q20" s="154">
        <v>2</v>
      </c>
    </row>
    <row r="21" spans="1:17" x14ac:dyDescent="0.25">
      <c r="A21" s="137">
        <v>19</v>
      </c>
      <c r="B21" s="137">
        <v>0</v>
      </c>
      <c r="C21" s="137">
        <v>2</v>
      </c>
      <c r="D21" s="137">
        <v>0</v>
      </c>
      <c r="E21" s="137">
        <v>0</v>
      </c>
      <c r="F21" s="137">
        <v>0</v>
      </c>
      <c r="G21" s="137">
        <v>2</v>
      </c>
      <c r="H21" s="137">
        <v>2</v>
      </c>
      <c r="J21" s="153">
        <v>19</v>
      </c>
      <c r="K21" s="137">
        <v>0</v>
      </c>
      <c r="L21" s="137">
        <v>2</v>
      </c>
      <c r="M21" s="137">
        <v>0</v>
      </c>
      <c r="N21" s="137">
        <v>0</v>
      </c>
      <c r="O21" s="137">
        <v>0</v>
      </c>
      <c r="P21" s="137">
        <v>2</v>
      </c>
      <c r="Q21" s="154">
        <v>2</v>
      </c>
    </row>
    <row r="22" spans="1:17" x14ac:dyDescent="0.25">
      <c r="A22" s="137">
        <v>20</v>
      </c>
      <c r="B22" s="137">
        <v>0</v>
      </c>
      <c r="C22" s="137">
        <v>2</v>
      </c>
      <c r="D22" s="137">
        <v>0</v>
      </c>
      <c r="E22" s="137">
        <v>0</v>
      </c>
      <c r="F22" s="137">
        <v>0</v>
      </c>
      <c r="G22" s="137">
        <v>2</v>
      </c>
      <c r="H22" s="137">
        <v>2</v>
      </c>
      <c r="J22" s="153">
        <v>20</v>
      </c>
      <c r="K22" s="137">
        <v>0</v>
      </c>
      <c r="L22" s="137">
        <v>2</v>
      </c>
      <c r="M22" s="137">
        <v>0</v>
      </c>
      <c r="N22" s="137">
        <v>0</v>
      </c>
      <c r="O22" s="137">
        <v>0</v>
      </c>
      <c r="P22" s="137">
        <v>2</v>
      </c>
      <c r="Q22" s="154">
        <v>2</v>
      </c>
    </row>
    <row r="23" spans="1:17" x14ac:dyDescent="0.25">
      <c r="A23" s="137">
        <v>21</v>
      </c>
      <c r="B23" s="137">
        <v>0</v>
      </c>
      <c r="C23" s="137">
        <v>2</v>
      </c>
      <c r="D23" s="137">
        <v>0</v>
      </c>
      <c r="E23" s="137">
        <v>0</v>
      </c>
      <c r="F23" s="137">
        <v>0</v>
      </c>
      <c r="G23" s="137">
        <v>2</v>
      </c>
      <c r="H23" s="137">
        <v>2</v>
      </c>
      <c r="J23" s="153">
        <v>21</v>
      </c>
      <c r="K23" s="137">
        <v>0</v>
      </c>
      <c r="L23" s="137">
        <v>2</v>
      </c>
      <c r="M23" s="137">
        <v>0</v>
      </c>
      <c r="N23" s="137">
        <v>0</v>
      </c>
      <c r="O23" s="137">
        <v>0</v>
      </c>
      <c r="P23" s="137">
        <v>2</v>
      </c>
      <c r="Q23" s="154">
        <v>2</v>
      </c>
    </row>
    <row r="24" spans="1:17" x14ac:dyDescent="0.25">
      <c r="A24" s="137">
        <v>22</v>
      </c>
      <c r="B24" s="137">
        <v>0</v>
      </c>
      <c r="C24" s="137">
        <v>2</v>
      </c>
      <c r="D24" s="137">
        <v>0</v>
      </c>
      <c r="E24" s="137">
        <v>0</v>
      </c>
      <c r="F24" s="137">
        <v>0</v>
      </c>
      <c r="G24" s="137">
        <v>2</v>
      </c>
      <c r="H24" s="137">
        <v>2</v>
      </c>
      <c r="J24" s="153">
        <v>22</v>
      </c>
      <c r="K24" s="137">
        <v>0</v>
      </c>
      <c r="L24" s="137">
        <v>2</v>
      </c>
      <c r="M24" s="137">
        <v>0</v>
      </c>
      <c r="N24" s="137">
        <v>0</v>
      </c>
      <c r="O24" s="137">
        <v>0</v>
      </c>
      <c r="P24" s="137">
        <v>2</v>
      </c>
      <c r="Q24" s="154">
        <v>2</v>
      </c>
    </row>
    <row r="25" spans="1:17" x14ac:dyDescent="0.25">
      <c r="A25" s="137">
        <v>23</v>
      </c>
      <c r="B25" s="137">
        <v>0</v>
      </c>
      <c r="C25" s="137">
        <v>2</v>
      </c>
      <c r="D25" s="137">
        <v>0</v>
      </c>
      <c r="E25" s="137">
        <v>0</v>
      </c>
      <c r="F25" s="137">
        <v>0</v>
      </c>
      <c r="G25" s="137">
        <v>2</v>
      </c>
      <c r="H25" s="137">
        <v>2</v>
      </c>
      <c r="J25" s="153">
        <v>23</v>
      </c>
      <c r="K25" s="137">
        <v>0</v>
      </c>
      <c r="L25" s="137">
        <v>2</v>
      </c>
      <c r="M25" s="137">
        <v>0</v>
      </c>
      <c r="N25" s="137">
        <v>0</v>
      </c>
      <c r="O25" s="137">
        <v>0</v>
      </c>
      <c r="P25" s="137">
        <v>2</v>
      </c>
      <c r="Q25" s="154">
        <v>2</v>
      </c>
    </row>
    <row r="26" spans="1:17" x14ac:dyDescent="0.25">
      <c r="A26" s="137">
        <v>24</v>
      </c>
      <c r="B26" s="137">
        <v>0</v>
      </c>
      <c r="C26" s="137">
        <v>2</v>
      </c>
      <c r="D26" s="137">
        <v>0</v>
      </c>
      <c r="E26" s="137">
        <v>0</v>
      </c>
      <c r="F26" s="137">
        <v>0</v>
      </c>
      <c r="G26" s="137">
        <v>2</v>
      </c>
      <c r="H26" s="137">
        <v>2</v>
      </c>
      <c r="J26" s="153">
        <v>24</v>
      </c>
      <c r="K26" s="137">
        <v>0</v>
      </c>
      <c r="L26" s="137">
        <v>2</v>
      </c>
      <c r="M26" s="137">
        <v>0</v>
      </c>
      <c r="N26" s="137">
        <v>0</v>
      </c>
      <c r="O26" s="137">
        <v>0</v>
      </c>
      <c r="P26" s="137">
        <v>2</v>
      </c>
      <c r="Q26" s="154">
        <v>2</v>
      </c>
    </row>
    <row r="27" spans="1:17" x14ac:dyDescent="0.25">
      <c r="A27" s="137">
        <v>25</v>
      </c>
      <c r="B27" s="137">
        <v>0</v>
      </c>
      <c r="C27" s="137">
        <v>2</v>
      </c>
      <c r="D27" s="137">
        <v>0</v>
      </c>
      <c r="E27" s="137">
        <v>0</v>
      </c>
      <c r="F27" s="137">
        <v>0</v>
      </c>
      <c r="G27" s="137">
        <v>2</v>
      </c>
      <c r="H27" s="137">
        <v>2</v>
      </c>
      <c r="J27" s="153">
        <v>25</v>
      </c>
      <c r="K27" s="137">
        <v>0</v>
      </c>
      <c r="L27" s="137">
        <v>2</v>
      </c>
      <c r="M27" s="137">
        <v>0</v>
      </c>
      <c r="N27" s="137">
        <v>0</v>
      </c>
      <c r="O27" s="137">
        <v>0</v>
      </c>
      <c r="P27" s="137">
        <v>2</v>
      </c>
      <c r="Q27" s="154">
        <v>2</v>
      </c>
    </row>
    <row r="28" spans="1:17" x14ac:dyDescent="0.25">
      <c r="A28" s="137">
        <v>26</v>
      </c>
      <c r="B28" s="137">
        <v>0</v>
      </c>
      <c r="C28" s="137">
        <v>1</v>
      </c>
      <c r="D28" s="137">
        <v>0</v>
      </c>
      <c r="E28" s="137">
        <v>0</v>
      </c>
      <c r="F28" s="137">
        <v>0</v>
      </c>
      <c r="G28" s="137">
        <v>1</v>
      </c>
      <c r="H28" s="137">
        <v>1</v>
      </c>
      <c r="J28" s="153">
        <v>26</v>
      </c>
      <c r="K28" s="137">
        <v>0</v>
      </c>
      <c r="L28" s="137">
        <v>1</v>
      </c>
      <c r="M28" s="137">
        <v>0</v>
      </c>
      <c r="N28" s="137">
        <v>0</v>
      </c>
      <c r="O28" s="137">
        <v>0</v>
      </c>
      <c r="P28" s="137">
        <v>1</v>
      </c>
      <c r="Q28" s="154">
        <v>1</v>
      </c>
    </row>
    <row r="29" spans="1:17" x14ac:dyDescent="0.25">
      <c r="A29" s="137">
        <v>27</v>
      </c>
      <c r="B29" s="137">
        <v>0</v>
      </c>
      <c r="C29" s="137">
        <v>1</v>
      </c>
      <c r="D29" s="137">
        <v>0</v>
      </c>
      <c r="E29" s="137">
        <v>0</v>
      </c>
      <c r="F29" s="137">
        <v>0</v>
      </c>
      <c r="G29" s="137">
        <v>1</v>
      </c>
      <c r="H29" s="137">
        <v>1</v>
      </c>
      <c r="J29" s="153">
        <v>27</v>
      </c>
      <c r="K29" s="137">
        <v>0</v>
      </c>
      <c r="L29" s="137">
        <v>1</v>
      </c>
      <c r="M29" s="137">
        <v>0</v>
      </c>
      <c r="N29" s="137">
        <v>0</v>
      </c>
      <c r="O29" s="137">
        <v>0</v>
      </c>
      <c r="P29" s="137">
        <v>1</v>
      </c>
      <c r="Q29" s="154">
        <v>1</v>
      </c>
    </row>
    <row r="30" spans="1:17" x14ac:dyDescent="0.25">
      <c r="A30" s="137">
        <v>28</v>
      </c>
      <c r="B30" s="137">
        <v>0</v>
      </c>
      <c r="C30" s="137">
        <v>1</v>
      </c>
      <c r="D30" s="137">
        <v>0</v>
      </c>
      <c r="E30" s="137">
        <v>0</v>
      </c>
      <c r="F30" s="137">
        <v>0</v>
      </c>
      <c r="G30" s="137">
        <v>1</v>
      </c>
      <c r="H30" s="137">
        <v>1</v>
      </c>
      <c r="J30" s="153">
        <v>28</v>
      </c>
      <c r="K30" s="137">
        <v>0</v>
      </c>
      <c r="L30" s="137">
        <v>1</v>
      </c>
      <c r="M30" s="137">
        <v>0</v>
      </c>
      <c r="N30" s="137">
        <v>0</v>
      </c>
      <c r="O30" s="137">
        <v>0</v>
      </c>
      <c r="P30" s="137">
        <v>1</v>
      </c>
      <c r="Q30" s="154">
        <v>1</v>
      </c>
    </row>
    <row r="31" spans="1:17" x14ac:dyDescent="0.25">
      <c r="A31" s="137">
        <v>29</v>
      </c>
      <c r="B31" s="137">
        <v>0</v>
      </c>
      <c r="C31" s="137">
        <v>1</v>
      </c>
      <c r="D31" s="137">
        <v>0</v>
      </c>
      <c r="E31" s="137">
        <v>0</v>
      </c>
      <c r="F31" s="137">
        <v>0</v>
      </c>
      <c r="G31" s="137">
        <v>1</v>
      </c>
      <c r="H31" s="137">
        <v>1</v>
      </c>
      <c r="J31" s="153">
        <v>29</v>
      </c>
      <c r="K31" s="137">
        <v>0</v>
      </c>
      <c r="L31" s="137">
        <v>1</v>
      </c>
      <c r="M31" s="137">
        <v>0</v>
      </c>
      <c r="N31" s="137">
        <v>0</v>
      </c>
      <c r="O31" s="137">
        <v>0</v>
      </c>
      <c r="P31" s="137">
        <v>1</v>
      </c>
      <c r="Q31" s="154">
        <v>1</v>
      </c>
    </row>
    <row r="32" spans="1:17" x14ac:dyDescent="0.25">
      <c r="A32" s="137">
        <v>31</v>
      </c>
      <c r="B32" s="137">
        <v>0</v>
      </c>
      <c r="C32" s="137">
        <v>0</v>
      </c>
      <c r="D32" s="137">
        <v>0</v>
      </c>
      <c r="E32" s="137">
        <v>0</v>
      </c>
      <c r="F32" s="137">
        <v>1</v>
      </c>
      <c r="G32" s="137">
        <v>0</v>
      </c>
      <c r="H32" s="137">
        <v>0</v>
      </c>
      <c r="J32" s="153">
        <v>31</v>
      </c>
      <c r="K32" s="137">
        <v>0</v>
      </c>
      <c r="L32" s="137">
        <v>0</v>
      </c>
      <c r="M32" s="137">
        <v>0</v>
      </c>
      <c r="N32" s="137">
        <v>0</v>
      </c>
      <c r="O32" s="137">
        <v>1</v>
      </c>
      <c r="P32" s="137">
        <v>0</v>
      </c>
      <c r="Q32" s="154">
        <v>0</v>
      </c>
    </row>
    <row r="33" spans="1:17" x14ac:dyDescent="0.25">
      <c r="A33" s="137">
        <v>32</v>
      </c>
      <c r="B33" s="137">
        <v>0</v>
      </c>
      <c r="C33" s="137">
        <v>0</v>
      </c>
      <c r="D33" s="137">
        <v>1</v>
      </c>
      <c r="E33" s="137">
        <v>0</v>
      </c>
      <c r="F33" s="137">
        <v>0</v>
      </c>
      <c r="G33" s="137">
        <v>1</v>
      </c>
      <c r="H33" s="137">
        <v>1</v>
      </c>
      <c r="J33" s="153">
        <v>32</v>
      </c>
      <c r="K33" s="137">
        <v>0</v>
      </c>
      <c r="L33" s="137">
        <v>0</v>
      </c>
      <c r="M33" s="137">
        <v>1</v>
      </c>
      <c r="N33" s="137">
        <v>0</v>
      </c>
      <c r="O33" s="137">
        <v>0</v>
      </c>
      <c r="P33" s="137">
        <v>1</v>
      </c>
      <c r="Q33" s="154">
        <v>1</v>
      </c>
    </row>
    <row r="34" spans="1:17" x14ac:dyDescent="0.25">
      <c r="A34" s="137">
        <v>33</v>
      </c>
      <c r="B34" s="137">
        <v>0</v>
      </c>
      <c r="C34" s="137">
        <v>0</v>
      </c>
      <c r="D34" s="137">
        <v>0</v>
      </c>
      <c r="E34" s="137">
        <v>0</v>
      </c>
      <c r="F34" s="137">
        <v>1</v>
      </c>
      <c r="G34" s="137">
        <v>0</v>
      </c>
      <c r="H34" s="137">
        <v>0</v>
      </c>
      <c r="J34" s="153">
        <v>33</v>
      </c>
      <c r="K34" s="137">
        <v>0</v>
      </c>
      <c r="L34" s="137">
        <v>0</v>
      </c>
      <c r="M34" s="137">
        <v>0</v>
      </c>
      <c r="N34" s="137">
        <v>0</v>
      </c>
      <c r="O34" s="137">
        <v>1</v>
      </c>
      <c r="P34" s="137">
        <v>0</v>
      </c>
      <c r="Q34" s="154">
        <v>0</v>
      </c>
    </row>
    <row r="35" spans="1:17" x14ac:dyDescent="0.25">
      <c r="A35" s="137">
        <v>41</v>
      </c>
      <c r="B35" s="137">
        <v>0</v>
      </c>
      <c r="C35" s="137">
        <v>0</v>
      </c>
      <c r="D35" s="137">
        <v>0</v>
      </c>
      <c r="E35" s="137">
        <v>1</v>
      </c>
      <c r="F35" s="137">
        <v>0</v>
      </c>
      <c r="G35" s="137">
        <v>1</v>
      </c>
      <c r="H35" s="137">
        <v>1</v>
      </c>
      <c r="J35" s="153">
        <v>41</v>
      </c>
      <c r="K35" s="137">
        <v>0</v>
      </c>
      <c r="L35" s="137">
        <v>0</v>
      </c>
      <c r="M35" s="137">
        <v>0</v>
      </c>
      <c r="N35" s="137">
        <v>1</v>
      </c>
      <c r="O35" s="137">
        <v>0</v>
      </c>
      <c r="P35" s="137">
        <v>1</v>
      </c>
      <c r="Q35" s="154">
        <v>1</v>
      </c>
    </row>
    <row r="36" spans="1:17" x14ac:dyDescent="0.25">
      <c r="A36" s="137">
        <v>42</v>
      </c>
      <c r="B36" s="137">
        <v>0</v>
      </c>
      <c r="C36" s="137">
        <v>0</v>
      </c>
      <c r="D36" s="137">
        <v>0</v>
      </c>
      <c r="E36" s="137">
        <v>1</v>
      </c>
      <c r="F36" s="137">
        <v>0</v>
      </c>
      <c r="G36" s="137">
        <v>1</v>
      </c>
      <c r="H36" s="137">
        <v>1</v>
      </c>
      <c r="J36" s="153">
        <v>42</v>
      </c>
      <c r="K36" s="137">
        <v>0</v>
      </c>
      <c r="L36" s="137">
        <v>0</v>
      </c>
      <c r="M36" s="137">
        <v>0</v>
      </c>
      <c r="N36" s="137">
        <v>1</v>
      </c>
      <c r="O36" s="137">
        <v>0</v>
      </c>
      <c r="P36" s="137">
        <v>1</v>
      </c>
      <c r="Q36" s="154">
        <v>1</v>
      </c>
    </row>
    <row r="37" spans="1:17" x14ac:dyDescent="0.25">
      <c r="A37" s="137">
        <v>43</v>
      </c>
      <c r="B37" s="137">
        <v>0</v>
      </c>
      <c r="C37" s="137">
        <v>0</v>
      </c>
      <c r="D37" s="137">
        <v>0</v>
      </c>
      <c r="E37" s="137">
        <v>1</v>
      </c>
      <c r="F37" s="137">
        <v>0</v>
      </c>
      <c r="G37" s="137">
        <v>1</v>
      </c>
      <c r="H37" s="137">
        <v>1</v>
      </c>
      <c r="J37" s="153">
        <v>43</v>
      </c>
      <c r="K37" s="137">
        <v>0</v>
      </c>
      <c r="L37" s="137">
        <v>0</v>
      </c>
      <c r="M37" s="137">
        <v>0</v>
      </c>
      <c r="N37" s="137">
        <v>1</v>
      </c>
      <c r="O37" s="137">
        <v>0</v>
      </c>
      <c r="P37" s="137">
        <v>1</v>
      </c>
      <c r="Q37" s="154">
        <v>1</v>
      </c>
    </row>
    <row r="38" spans="1:17" x14ac:dyDescent="0.25">
      <c r="A38" s="137">
        <v>44</v>
      </c>
      <c r="B38" s="137">
        <v>0</v>
      </c>
      <c r="C38" s="137">
        <v>0</v>
      </c>
      <c r="D38" s="137">
        <v>0</v>
      </c>
      <c r="E38" s="137">
        <v>1</v>
      </c>
      <c r="F38" s="137">
        <v>0</v>
      </c>
      <c r="G38" s="137">
        <v>1</v>
      </c>
      <c r="H38" s="137">
        <v>1</v>
      </c>
      <c r="J38" s="153">
        <v>44</v>
      </c>
      <c r="K38" s="137">
        <v>0</v>
      </c>
      <c r="L38" s="137">
        <v>0</v>
      </c>
      <c r="M38" s="137">
        <v>0</v>
      </c>
      <c r="N38" s="137">
        <v>1</v>
      </c>
      <c r="O38" s="137">
        <v>0</v>
      </c>
      <c r="P38" s="137">
        <v>1</v>
      </c>
      <c r="Q38" s="154">
        <v>1</v>
      </c>
    </row>
    <row r="39" spans="1:17" x14ac:dyDescent="0.25">
      <c r="A39" s="137">
        <v>45</v>
      </c>
      <c r="B39" s="137">
        <v>0</v>
      </c>
      <c r="C39" s="137">
        <v>0</v>
      </c>
      <c r="D39" s="137">
        <v>0</v>
      </c>
      <c r="E39" s="137">
        <v>1</v>
      </c>
      <c r="F39" s="137">
        <v>0</v>
      </c>
      <c r="G39" s="137">
        <v>1</v>
      </c>
      <c r="H39" s="137">
        <v>1</v>
      </c>
      <c r="J39" s="153">
        <v>45</v>
      </c>
      <c r="K39" s="137">
        <v>0</v>
      </c>
      <c r="L39" s="137">
        <v>0</v>
      </c>
      <c r="M39" s="137">
        <v>0</v>
      </c>
      <c r="N39" s="137">
        <v>1</v>
      </c>
      <c r="O39" s="137">
        <v>0</v>
      </c>
      <c r="P39" s="137">
        <v>1</v>
      </c>
      <c r="Q39" s="154">
        <v>1</v>
      </c>
    </row>
    <row r="40" spans="1:17" x14ac:dyDescent="0.25">
      <c r="A40" s="137">
        <v>46</v>
      </c>
      <c r="B40" s="137">
        <v>0</v>
      </c>
      <c r="C40" s="137">
        <v>0</v>
      </c>
      <c r="D40" s="137">
        <v>0</v>
      </c>
      <c r="E40" s="137">
        <v>1</v>
      </c>
      <c r="F40" s="137">
        <v>0</v>
      </c>
      <c r="G40" s="137">
        <v>1</v>
      </c>
      <c r="H40" s="137">
        <v>1</v>
      </c>
      <c r="J40" s="153">
        <v>46</v>
      </c>
      <c r="K40" s="137">
        <v>0</v>
      </c>
      <c r="L40" s="137">
        <v>0</v>
      </c>
      <c r="M40" s="137">
        <v>0</v>
      </c>
      <c r="N40" s="137">
        <v>1</v>
      </c>
      <c r="O40" s="137">
        <v>0</v>
      </c>
      <c r="P40" s="137">
        <v>1</v>
      </c>
      <c r="Q40" s="154">
        <v>1</v>
      </c>
    </row>
    <row r="41" spans="1:17" x14ac:dyDescent="0.25">
      <c r="A41" s="137">
        <v>47</v>
      </c>
      <c r="B41" s="137">
        <v>0</v>
      </c>
      <c r="C41" s="137">
        <v>0</v>
      </c>
      <c r="D41" s="137">
        <v>0</v>
      </c>
      <c r="E41" s="137">
        <v>1</v>
      </c>
      <c r="F41" s="137">
        <v>0</v>
      </c>
      <c r="G41" s="137">
        <v>1</v>
      </c>
      <c r="H41" s="137">
        <v>1</v>
      </c>
      <c r="J41" s="153">
        <v>47</v>
      </c>
      <c r="K41" s="137">
        <v>0</v>
      </c>
      <c r="L41" s="137">
        <v>0</v>
      </c>
      <c r="M41" s="137">
        <v>0</v>
      </c>
      <c r="N41" s="137">
        <v>1</v>
      </c>
      <c r="O41" s="137">
        <v>0</v>
      </c>
      <c r="P41" s="137">
        <v>1</v>
      </c>
      <c r="Q41" s="154">
        <v>1</v>
      </c>
    </row>
    <row r="42" spans="1:17" x14ac:dyDescent="0.25">
      <c r="A42" s="137">
        <v>51</v>
      </c>
      <c r="B42" s="137">
        <v>0</v>
      </c>
      <c r="C42" s="137">
        <v>0</v>
      </c>
      <c r="D42" s="137">
        <v>0</v>
      </c>
      <c r="E42" s="137">
        <v>1</v>
      </c>
      <c r="F42" s="137">
        <v>0</v>
      </c>
      <c r="G42" s="137">
        <v>1</v>
      </c>
      <c r="H42" s="137">
        <v>1</v>
      </c>
      <c r="J42" s="153">
        <v>51</v>
      </c>
      <c r="K42" s="137">
        <v>0</v>
      </c>
      <c r="L42" s="137">
        <v>0</v>
      </c>
      <c r="M42" s="137">
        <v>0</v>
      </c>
      <c r="N42" s="137">
        <v>1</v>
      </c>
      <c r="O42" s="137">
        <v>0</v>
      </c>
      <c r="P42" s="137">
        <v>1</v>
      </c>
      <c r="Q42" s="154">
        <v>1</v>
      </c>
    </row>
    <row r="43" spans="1:17" x14ac:dyDescent="0.25">
      <c r="A43" s="137">
        <v>52</v>
      </c>
      <c r="B43" s="137">
        <v>0</v>
      </c>
      <c r="C43" s="137">
        <v>0</v>
      </c>
      <c r="D43" s="137">
        <v>0</v>
      </c>
      <c r="E43" s="137">
        <v>0</v>
      </c>
      <c r="F43" s="137">
        <v>1</v>
      </c>
      <c r="G43" s="137">
        <v>0</v>
      </c>
      <c r="H43" s="137">
        <v>0</v>
      </c>
      <c r="J43" s="153">
        <v>52</v>
      </c>
      <c r="K43" s="137">
        <v>0</v>
      </c>
      <c r="L43" s="137">
        <v>0</v>
      </c>
      <c r="M43" s="137">
        <v>0</v>
      </c>
      <c r="N43" s="137">
        <v>0</v>
      </c>
      <c r="O43" s="137">
        <v>1</v>
      </c>
      <c r="P43" s="137">
        <v>0</v>
      </c>
      <c r="Q43" s="154">
        <v>0</v>
      </c>
    </row>
    <row r="44" spans="1:17" x14ac:dyDescent="0.25">
      <c r="A44" s="137">
        <v>53</v>
      </c>
      <c r="B44" s="137">
        <v>0</v>
      </c>
      <c r="C44" s="137">
        <v>0</v>
      </c>
      <c r="D44" s="137">
        <v>0</v>
      </c>
      <c r="E44" s="137">
        <v>1</v>
      </c>
      <c r="F44" s="137">
        <v>0</v>
      </c>
      <c r="G44" s="137">
        <v>1</v>
      </c>
      <c r="H44" s="137">
        <v>1</v>
      </c>
      <c r="J44" s="153">
        <v>53</v>
      </c>
      <c r="K44" s="137">
        <v>0</v>
      </c>
      <c r="L44" s="137">
        <v>0</v>
      </c>
      <c r="M44" s="137">
        <v>0</v>
      </c>
      <c r="N44" s="137">
        <v>1</v>
      </c>
      <c r="O44" s="137">
        <v>0</v>
      </c>
      <c r="P44" s="137">
        <v>1</v>
      </c>
      <c r="Q44" s="154">
        <v>1</v>
      </c>
    </row>
    <row r="45" spans="1:17" x14ac:dyDescent="0.25">
      <c r="A45" s="137">
        <v>120</v>
      </c>
      <c r="B45" s="137">
        <v>1</v>
      </c>
      <c r="C45" s="137">
        <v>1</v>
      </c>
      <c r="D45" s="137">
        <v>0</v>
      </c>
      <c r="E45" s="137">
        <v>0</v>
      </c>
      <c r="F45" s="137">
        <v>0</v>
      </c>
      <c r="G45" s="137">
        <v>2</v>
      </c>
      <c r="H45" s="137">
        <v>2</v>
      </c>
      <c r="J45" s="153">
        <v>120</v>
      </c>
      <c r="K45" s="137">
        <v>1</v>
      </c>
      <c r="L45" s="137">
        <v>1</v>
      </c>
      <c r="M45" s="137">
        <v>0</v>
      </c>
      <c r="N45" s="137">
        <v>0</v>
      </c>
      <c r="O45" s="137">
        <v>0</v>
      </c>
      <c r="P45" s="137">
        <v>2</v>
      </c>
      <c r="Q45" s="154">
        <v>2</v>
      </c>
    </row>
    <row r="46" spans="1:17" x14ac:dyDescent="0.25">
      <c r="A46" s="137">
        <v>130</v>
      </c>
      <c r="B46" s="137">
        <v>0</v>
      </c>
      <c r="C46" s="137">
        <v>0</v>
      </c>
      <c r="D46" s="137">
        <v>0</v>
      </c>
      <c r="E46" s="137">
        <v>1</v>
      </c>
      <c r="F46" s="137">
        <v>0</v>
      </c>
      <c r="G46" s="137">
        <v>1</v>
      </c>
      <c r="H46" s="137">
        <v>1</v>
      </c>
      <c r="J46" s="153">
        <v>130</v>
      </c>
      <c r="K46" s="137">
        <v>0</v>
      </c>
      <c r="L46" s="137">
        <v>0</v>
      </c>
      <c r="M46" s="137">
        <v>0</v>
      </c>
      <c r="N46" s="137">
        <v>1</v>
      </c>
      <c r="O46" s="137">
        <v>0</v>
      </c>
      <c r="P46" s="137">
        <v>1</v>
      </c>
      <c r="Q46" s="154">
        <v>1</v>
      </c>
    </row>
    <row r="47" spans="1:17" x14ac:dyDescent="0.25">
      <c r="A47" s="137">
        <v>140</v>
      </c>
      <c r="B47" s="137">
        <v>2</v>
      </c>
      <c r="C47" s="137">
        <v>0</v>
      </c>
      <c r="D47" s="137">
        <v>0</v>
      </c>
      <c r="E47" s="137">
        <v>0</v>
      </c>
      <c r="F47" s="137">
        <v>0</v>
      </c>
      <c r="G47" s="137">
        <v>2</v>
      </c>
      <c r="H47" s="137">
        <v>2</v>
      </c>
      <c r="J47" s="153">
        <v>140</v>
      </c>
      <c r="K47" s="137">
        <v>2</v>
      </c>
      <c r="L47" s="137">
        <v>0</v>
      </c>
      <c r="M47" s="137">
        <v>0</v>
      </c>
      <c r="N47" s="137">
        <v>0</v>
      </c>
      <c r="O47" s="137">
        <v>0</v>
      </c>
      <c r="P47" s="137">
        <v>2</v>
      </c>
      <c r="Q47" s="154">
        <v>2</v>
      </c>
    </row>
    <row r="48" spans="1:17" x14ac:dyDescent="0.25">
      <c r="A48" s="137">
        <v>150</v>
      </c>
      <c r="B48" s="137">
        <v>0</v>
      </c>
      <c r="C48" s="137">
        <v>2</v>
      </c>
      <c r="D48" s="137">
        <v>0</v>
      </c>
      <c r="E48" s="137">
        <v>0</v>
      </c>
      <c r="F48" s="137">
        <v>0</v>
      </c>
      <c r="G48" s="137">
        <v>2</v>
      </c>
      <c r="H48" s="137">
        <v>2</v>
      </c>
      <c r="J48" s="153">
        <v>150</v>
      </c>
      <c r="K48" s="137">
        <v>0</v>
      </c>
      <c r="L48" s="137">
        <v>2</v>
      </c>
      <c r="M48" s="137">
        <v>0</v>
      </c>
      <c r="N48" s="137">
        <v>0</v>
      </c>
      <c r="O48" s="137">
        <v>0</v>
      </c>
      <c r="P48" s="137">
        <v>2</v>
      </c>
      <c r="Q48" s="154">
        <v>2</v>
      </c>
    </row>
    <row r="49" spans="1:17" x14ac:dyDescent="0.25">
      <c r="A49" s="137">
        <v>205</v>
      </c>
      <c r="B49" s="137">
        <v>0</v>
      </c>
      <c r="C49" s="137">
        <v>1</v>
      </c>
      <c r="D49" s="137">
        <v>0</v>
      </c>
      <c r="E49" s="137">
        <v>0</v>
      </c>
      <c r="F49" s="137">
        <v>0</v>
      </c>
      <c r="G49" s="137">
        <v>1</v>
      </c>
      <c r="H49" s="137">
        <v>1</v>
      </c>
      <c r="J49" s="153">
        <v>205</v>
      </c>
      <c r="K49" s="137">
        <v>0</v>
      </c>
      <c r="L49" s="137">
        <v>1</v>
      </c>
      <c r="M49" s="137">
        <v>0</v>
      </c>
      <c r="N49" s="137">
        <v>0</v>
      </c>
      <c r="O49" s="137">
        <v>0</v>
      </c>
      <c r="P49" s="137">
        <v>1</v>
      </c>
      <c r="Q49" s="154">
        <v>1</v>
      </c>
    </row>
    <row r="50" spans="1:17" x14ac:dyDescent="0.25">
      <c r="A50" s="137">
        <v>206</v>
      </c>
      <c r="B50" s="137">
        <v>0</v>
      </c>
      <c r="C50" s="137">
        <v>0</v>
      </c>
      <c r="D50" s="137">
        <v>0</v>
      </c>
      <c r="E50" s="137">
        <v>0</v>
      </c>
      <c r="F50" s="137">
        <v>1</v>
      </c>
      <c r="G50" s="137">
        <v>0</v>
      </c>
      <c r="H50" s="137">
        <v>0</v>
      </c>
      <c r="J50" s="153">
        <v>206</v>
      </c>
      <c r="K50" s="137">
        <v>0</v>
      </c>
      <c r="L50" s="137">
        <v>0</v>
      </c>
      <c r="M50" s="137">
        <v>0</v>
      </c>
      <c r="N50" s="137">
        <v>0</v>
      </c>
      <c r="O50" s="137">
        <v>1</v>
      </c>
      <c r="P50" s="137">
        <v>0</v>
      </c>
      <c r="Q50" s="154">
        <v>0</v>
      </c>
    </row>
    <row r="51" spans="1:17" x14ac:dyDescent="0.25">
      <c r="A51" s="137">
        <v>208</v>
      </c>
      <c r="B51" s="137">
        <v>0</v>
      </c>
      <c r="C51" s="137">
        <v>0</v>
      </c>
      <c r="D51" s="137">
        <v>2</v>
      </c>
      <c r="E51" s="137">
        <v>0</v>
      </c>
      <c r="F51" s="137">
        <v>0</v>
      </c>
      <c r="G51" s="137">
        <v>2</v>
      </c>
      <c r="H51" s="137">
        <v>2</v>
      </c>
      <c r="J51" s="153">
        <v>208</v>
      </c>
      <c r="K51" s="137">
        <v>0</v>
      </c>
      <c r="L51" s="137">
        <v>0</v>
      </c>
      <c r="M51" s="137">
        <v>2</v>
      </c>
      <c r="N51" s="137">
        <v>0</v>
      </c>
      <c r="O51" s="137">
        <v>0</v>
      </c>
      <c r="P51" s="137">
        <v>2</v>
      </c>
      <c r="Q51" s="154">
        <v>2</v>
      </c>
    </row>
    <row r="52" spans="1:17" x14ac:dyDescent="0.25">
      <c r="A52" s="137">
        <v>209</v>
      </c>
      <c r="B52" s="137">
        <v>0</v>
      </c>
      <c r="C52" s="137">
        <v>0</v>
      </c>
      <c r="D52" s="137">
        <v>2</v>
      </c>
      <c r="E52" s="137">
        <v>0</v>
      </c>
      <c r="F52" s="137">
        <v>0</v>
      </c>
      <c r="G52" s="137">
        <v>2</v>
      </c>
      <c r="H52" s="137">
        <v>2</v>
      </c>
      <c r="J52" s="153">
        <v>209</v>
      </c>
      <c r="K52" s="137">
        <v>0</v>
      </c>
      <c r="L52" s="137">
        <v>0</v>
      </c>
      <c r="M52" s="137">
        <v>2</v>
      </c>
      <c r="N52" s="137">
        <v>0</v>
      </c>
      <c r="O52" s="137">
        <v>0</v>
      </c>
      <c r="P52" s="137">
        <v>2</v>
      </c>
      <c r="Q52" s="154">
        <v>2</v>
      </c>
    </row>
    <row r="53" spans="1:17" x14ac:dyDescent="0.25">
      <c r="A53" s="137">
        <v>221</v>
      </c>
      <c r="B53" s="137">
        <v>0</v>
      </c>
      <c r="C53" s="137">
        <v>1</v>
      </c>
      <c r="D53" s="137">
        <v>0</v>
      </c>
      <c r="E53" s="137">
        <v>0</v>
      </c>
      <c r="F53" s="137">
        <v>0</v>
      </c>
      <c r="G53" s="137">
        <v>1</v>
      </c>
      <c r="H53" s="137">
        <v>1</v>
      </c>
      <c r="J53" s="153">
        <v>221</v>
      </c>
      <c r="K53" s="137">
        <v>0</v>
      </c>
      <c r="L53" s="137">
        <v>1</v>
      </c>
      <c r="M53" s="137">
        <v>0</v>
      </c>
      <c r="N53" s="137">
        <v>0</v>
      </c>
      <c r="O53" s="137">
        <v>0</v>
      </c>
      <c r="P53" s="137">
        <v>1</v>
      </c>
      <c r="Q53" s="154">
        <v>1</v>
      </c>
    </row>
    <row r="54" spans="1:17" x14ac:dyDescent="0.25">
      <c r="A54" s="137">
        <v>222</v>
      </c>
      <c r="B54" s="137">
        <v>0</v>
      </c>
      <c r="C54" s="137">
        <v>0</v>
      </c>
      <c r="D54" s="137">
        <v>0</v>
      </c>
      <c r="E54" s="137">
        <v>0</v>
      </c>
      <c r="F54" s="137">
        <v>1</v>
      </c>
      <c r="G54" s="137">
        <v>0</v>
      </c>
      <c r="H54" s="137">
        <v>0</v>
      </c>
      <c r="J54" s="153">
        <v>222</v>
      </c>
      <c r="K54" s="137">
        <v>0</v>
      </c>
      <c r="L54" s="137">
        <v>0</v>
      </c>
      <c r="M54" s="137">
        <v>0</v>
      </c>
      <c r="N54" s="137">
        <v>0</v>
      </c>
      <c r="O54" s="137">
        <v>1</v>
      </c>
      <c r="P54" s="137">
        <v>0</v>
      </c>
      <c r="Q54" s="154">
        <v>0</v>
      </c>
    </row>
    <row r="55" spans="1:17" x14ac:dyDescent="0.25">
      <c r="A55" s="137">
        <v>223</v>
      </c>
      <c r="B55" s="137">
        <v>0</v>
      </c>
      <c r="C55" s="137">
        <v>0</v>
      </c>
      <c r="D55" s="137">
        <v>0</v>
      </c>
      <c r="E55" s="137">
        <v>1</v>
      </c>
      <c r="F55" s="137">
        <v>0</v>
      </c>
      <c r="G55" s="137">
        <v>1</v>
      </c>
      <c r="H55" s="137">
        <v>1</v>
      </c>
      <c r="J55" s="153">
        <v>223</v>
      </c>
      <c r="K55" s="137">
        <v>0</v>
      </c>
      <c r="L55" s="137">
        <v>0</v>
      </c>
      <c r="M55" s="137">
        <v>0</v>
      </c>
      <c r="N55" s="137">
        <v>1</v>
      </c>
      <c r="O55" s="137">
        <v>0</v>
      </c>
      <c r="P55" s="137">
        <v>1</v>
      </c>
      <c r="Q55" s="154">
        <v>1</v>
      </c>
    </row>
    <row r="56" spans="1:17" x14ac:dyDescent="0.25">
      <c r="A56" s="137">
        <v>224</v>
      </c>
      <c r="B56" s="137">
        <v>0</v>
      </c>
      <c r="C56" s="137">
        <v>0</v>
      </c>
      <c r="D56" s="137">
        <v>0</v>
      </c>
      <c r="E56" s="137">
        <v>0</v>
      </c>
      <c r="F56" s="137">
        <v>1</v>
      </c>
      <c r="G56" s="137">
        <v>0</v>
      </c>
      <c r="H56" s="137">
        <v>0</v>
      </c>
      <c r="J56" s="153">
        <v>224</v>
      </c>
      <c r="K56" s="137">
        <v>0</v>
      </c>
      <c r="L56" s="137">
        <v>0</v>
      </c>
      <c r="M56" s="137">
        <v>0</v>
      </c>
      <c r="N56" s="137">
        <v>0</v>
      </c>
      <c r="O56" s="137">
        <v>1</v>
      </c>
      <c r="P56" s="137">
        <v>0</v>
      </c>
      <c r="Q56" s="154">
        <v>0</v>
      </c>
    </row>
    <row r="57" spans="1:17" x14ac:dyDescent="0.25">
      <c r="A57" s="137">
        <v>226</v>
      </c>
      <c r="B57" s="137">
        <v>0</v>
      </c>
      <c r="C57" s="137">
        <v>0</v>
      </c>
      <c r="D57" s="137">
        <v>0</v>
      </c>
      <c r="E57" s="137">
        <v>1</v>
      </c>
      <c r="F57" s="137">
        <v>0</v>
      </c>
      <c r="G57" s="137">
        <v>1</v>
      </c>
      <c r="H57" s="137">
        <v>1</v>
      </c>
      <c r="J57" s="153">
        <v>226</v>
      </c>
      <c r="K57" s="137">
        <v>0</v>
      </c>
      <c r="L57" s="137">
        <v>0</v>
      </c>
      <c r="M57" s="137">
        <v>0</v>
      </c>
      <c r="N57" s="137">
        <v>1</v>
      </c>
      <c r="O57" s="137">
        <v>0</v>
      </c>
      <c r="P57" s="137">
        <v>1</v>
      </c>
      <c r="Q57" s="154">
        <v>1</v>
      </c>
    </row>
    <row r="58" spans="1:17" x14ac:dyDescent="0.25">
      <c r="A58" s="137">
        <v>227</v>
      </c>
      <c r="B58" s="137">
        <v>0</v>
      </c>
      <c r="C58" s="137">
        <v>2</v>
      </c>
      <c r="D58" s="137">
        <v>0</v>
      </c>
      <c r="E58" s="137">
        <v>0</v>
      </c>
      <c r="F58" s="137">
        <v>0</v>
      </c>
      <c r="G58" s="137">
        <v>2</v>
      </c>
      <c r="H58" s="137">
        <v>2</v>
      </c>
      <c r="J58" s="153">
        <v>227</v>
      </c>
      <c r="K58" s="137">
        <v>0</v>
      </c>
      <c r="L58" s="137">
        <v>2</v>
      </c>
      <c r="M58" s="137">
        <v>0</v>
      </c>
      <c r="N58" s="137">
        <v>0</v>
      </c>
      <c r="O58" s="137">
        <v>0</v>
      </c>
      <c r="P58" s="137">
        <v>2</v>
      </c>
      <c r="Q58" s="154">
        <v>2</v>
      </c>
    </row>
    <row r="59" spans="1:17" x14ac:dyDescent="0.25">
      <c r="A59" s="137">
        <v>228</v>
      </c>
      <c r="B59" s="137">
        <v>0</v>
      </c>
      <c r="C59" s="137">
        <v>0</v>
      </c>
      <c r="D59" s="137">
        <v>2</v>
      </c>
      <c r="E59" s="137">
        <v>0</v>
      </c>
      <c r="F59" s="137">
        <v>0</v>
      </c>
      <c r="G59" s="137">
        <v>2</v>
      </c>
      <c r="H59" s="137">
        <v>2</v>
      </c>
      <c r="J59" s="153">
        <v>228</v>
      </c>
      <c r="K59" s="137">
        <v>0</v>
      </c>
      <c r="L59" s="137">
        <v>0</v>
      </c>
      <c r="M59" s="137">
        <v>2</v>
      </c>
      <c r="N59" s="137">
        <v>0</v>
      </c>
      <c r="O59" s="137">
        <v>0</v>
      </c>
      <c r="P59" s="137">
        <v>2</v>
      </c>
      <c r="Q59" s="154">
        <v>2</v>
      </c>
    </row>
    <row r="60" spans="1:17" x14ac:dyDescent="0.25">
      <c r="A60" s="137">
        <v>229</v>
      </c>
      <c r="B60" s="137">
        <v>2</v>
      </c>
      <c r="C60" s="137">
        <v>0</v>
      </c>
      <c r="D60" s="137">
        <v>0</v>
      </c>
      <c r="E60" s="137">
        <v>0</v>
      </c>
      <c r="F60" s="137">
        <v>0</v>
      </c>
      <c r="G60" s="137">
        <v>2</v>
      </c>
      <c r="H60" s="137">
        <v>2</v>
      </c>
      <c r="J60" s="153">
        <v>229</v>
      </c>
      <c r="K60" s="137">
        <v>2</v>
      </c>
      <c r="L60" s="137">
        <v>0</v>
      </c>
      <c r="M60" s="137">
        <v>0</v>
      </c>
      <c r="N60" s="137">
        <v>0</v>
      </c>
      <c r="O60" s="137">
        <v>0</v>
      </c>
      <c r="P60" s="137">
        <v>2</v>
      </c>
      <c r="Q60" s="154">
        <v>2</v>
      </c>
    </row>
    <row r="61" spans="1:17" x14ac:dyDescent="0.25">
      <c r="A61" s="137">
        <v>230</v>
      </c>
      <c r="B61" s="137">
        <v>0</v>
      </c>
      <c r="C61" s="137">
        <v>0</v>
      </c>
      <c r="D61" s="137">
        <v>0</v>
      </c>
      <c r="E61" s="137">
        <v>0</v>
      </c>
      <c r="F61" s="137">
        <v>1</v>
      </c>
      <c r="G61" s="137">
        <v>0</v>
      </c>
      <c r="H61" s="137">
        <v>0</v>
      </c>
      <c r="J61" s="153">
        <v>230</v>
      </c>
      <c r="K61" s="137">
        <v>0</v>
      </c>
      <c r="L61" s="137">
        <v>0</v>
      </c>
      <c r="M61" s="137">
        <v>0</v>
      </c>
      <c r="N61" s="137">
        <v>0</v>
      </c>
      <c r="O61" s="137">
        <v>1</v>
      </c>
      <c r="P61" s="137">
        <v>0</v>
      </c>
      <c r="Q61" s="154">
        <v>0</v>
      </c>
    </row>
    <row r="62" spans="1:17" x14ac:dyDescent="0.25">
      <c r="A62" s="137">
        <v>231</v>
      </c>
      <c r="B62" s="137">
        <v>0</v>
      </c>
      <c r="C62" s="137">
        <v>1</v>
      </c>
      <c r="D62" s="137">
        <v>0</v>
      </c>
      <c r="E62" s="137">
        <v>0</v>
      </c>
      <c r="F62" s="137">
        <v>0</v>
      </c>
      <c r="G62" s="137">
        <v>1</v>
      </c>
      <c r="H62" s="137">
        <v>1</v>
      </c>
      <c r="J62" s="153">
        <v>231</v>
      </c>
      <c r="K62" s="137">
        <v>0</v>
      </c>
      <c r="L62" s="137">
        <v>1</v>
      </c>
      <c r="M62" s="137">
        <v>0</v>
      </c>
      <c r="N62" s="137">
        <v>0</v>
      </c>
      <c r="O62" s="137">
        <v>0</v>
      </c>
      <c r="P62" s="137">
        <v>1</v>
      </c>
      <c r="Q62" s="154">
        <v>1</v>
      </c>
    </row>
    <row r="63" spans="1:17" x14ac:dyDescent="0.25">
      <c r="A63" s="137">
        <v>233</v>
      </c>
      <c r="B63" s="137">
        <v>0</v>
      </c>
      <c r="C63" s="137">
        <v>1</v>
      </c>
      <c r="D63" s="137">
        <v>0</v>
      </c>
      <c r="E63" s="137">
        <v>0</v>
      </c>
      <c r="F63" s="137">
        <v>0</v>
      </c>
      <c r="G63" s="137">
        <v>1</v>
      </c>
      <c r="H63" s="137">
        <v>1</v>
      </c>
      <c r="J63" s="153">
        <v>233</v>
      </c>
      <c r="K63" s="137">
        <v>0</v>
      </c>
      <c r="L63" s="137">
        <v>1</v>
      </c>
      <c r="M63" s="137">
        <v>0</v>
      </c>
      <c r="N63" s="137">
        <v>0</v>
      </c>
      <c r="O63" s="137">
        <v>0</v>
      </c>
      <c r="P63" s="137">
        <v>1</v>
      </c>
      <c r="Q63" s="154">
        <v>1</v>
      </c>
    </row>
    <row r="64" spans="1:17" x14ac:dyDescent="0.25">
      <c r="A64" s="137">
        <v>234</v>
      </c>
      <c r="B64" s="137">
        <v>0</v>
      </c>
      <c r="C64" s="137">
        <v>0</v>
      </c>
      <c r="D64" s="137">
        <v>0</v>
      </c>
      <c r="E64" s="137">
        <v>0</v>
      </c>
      <c r="F64" s="137">
        <v>1</v>
      </c>
      <c r="G64" s="137">
        <v>0</v>
      </c>
      <c r="H64" s="137">
        <v>0</v>
      </c>
      <c r="J64" s="153">
        <v>234</v>
      </c>
      <c r="K64" s="137">
        <v>0</v>
      </c>
      <c r="L64" s="137">
        <v>0</v>
      </c>
      <c r="M64" s="137">
        <v>0</v>
      </c>
      <c r="N64" s="137">
        <v>0</v>
      </c>
      <c r="O64" s="137">
        <v>1</v>
      </c>
      <c r="P64" s="137">
        <v>0</v>
      </c>
      <c r="Q64" s="154">
        <v>0</v>
      </c>
    </row>
    <row r="65" spans="1:17" x14ac:dyDescent="0.25">
      <c r="A65" s="137">
        <v>235</v>
      </c>
      <c r="B65" s="137">
        <v>0</v>
      </c>
      <c r="C65" s="137">
        <v>0</v>
      </c>
      <c r="D65" s="137">
        <v>0</v>
      </c>
      <c r="E65" s="137">
        <v>0</v>
      </c>
      <c r="F65" s="137">
        <v>1</v>
      </c>
      <c r="G65" s="137">
        <v>0</v>
      </c>
      <c r="H65" s="137">
        <v>0</v>
      </c>
      <c r="J65" s="153">
        <v>235</v>
      </c>
      <c r="K65" s="137">
        <v>0</v>
      </c>
      <c r="L65" s="137">
        <v>0</v>
      </c>
      <c r="M65" s="137">
        <v>0</v>
      </c>
      <c r="N65" s="137">
        <v>0</v>
      </c>
      <c r="O65" s="137">
        <v>1</v>
      </c>
      <c r="P65" s="137">
        <v>0</v>
      </c>
      <c r="Q65" s="154">
        <v>0</v>
      </c>
    </row>
    <row r="66" spans="1:17" x14ac:dyDescent="0.25">
      <c r="A66" s="137">
        <v>236</v>
      </c>
      <c r="B66" s="137">
        <v>0</v>
      </c>
      <c r="C66" s="137">
        <v>2</v>
      </c>
      <c r="D66" s="137">
        <v>0</v>
      </c>
      <c r="E66" s="137">
        <v>0</v>
      </c>
      <c r="F66" s="137">
        <v>0</v>
      </c>
      <c r="G66" s="137">
        <v>3</v>
      </c>
      <c r="H66" s="137">
        <v>2</v>
      </c>
      <c r="J66" s="153">
        <v>236</v>
      </c>
      <c r="K66" s="137">
        <v>0</v>
      </c>
      <c r="L66" s="137">
        <v>2</v>
      </c>
      <c r="M66" s="137">
        <v>0</v>
      </c>
      <c r="N66" s="137">
        <v>0</v>
      </c>
      <c r="O66" s="137">
        <v>0</v>
      </c>
      <c r="P66" s="137">
        <v>3</v>
      </c>
      <c r="Q66" s="154">
        <f>SUM(K66:O66)</f>
        <v>2</v>
      </c>
    </row>
    <row r="67" spans="1:17" x14ac:dyDescent="0.25">
      <c r="A67" s="137">
        <v>241</v>
      </c>
      <c r="B67" s="137">
        <v>0</v>
      </c>
      <c r="C67" s="137">
        <v>2</v>
      </c>
      <c r="D67" s="137">
        <v>0</v>
      </c>
      <c r="E67" s="137">
        <v>0</v>
      </c>
      <c r="F67" s="137">
        <v>0</v>
      </c>
      <c r="G67" s="137">
        <v>2</v>
      </c>
      <c r="H67" s="137">
        <v>2</v>
      </c>
      <c r="J67" s="153">
        <v>241</v>
      </c>
      <c r="K67" s="137">
        <v>0</v>
      </c>
      <c r="L67" s="137">
        <v>2</v>
      </c>
      <c r="M67" s="137">
        <v>0</v>
      </c>
      <c r="N67" s="137">
        <v>0</v>
      </c>
      <c r="O67" s="137">
        <v>0</v>
      </c>
      <c r="P67" s="137">
        <v>2</v>
      </c>
      <c r="Q67" s="154">
        <v>2</v>
      </c>
    </row>
    <row r="68" spans="1:17" x14ac:dyDescent="0.25">
      <c r="A68" s="137">
        <v>242</v>
      </c>
      <c r="B68" s="137">
        <v>0</v>
      </c>
      <c r="C68" s="137">
        <v>1</v>
      </c>
      <c r="D68" s="137">
        <v>0</v>
      </c>
      <c r="E68" s="137">
        <v>0</v>
      </c>
      <c r="F68" s="137">
        <v>0</v>
      </c>
      <c r="G68" s="137">
        <v>1</v>
      </c>
      <c r="H68" s="137">
        <v>1</v>
      </c>
      <c r="J68" s="153">
        <v>242</v>
      </c>
      <c r="K68" s="137">
        <v>0</v>
      </c>
      <c r="L68" s="137">
        <v>1</v>
      </c>
      <c r="M68" s="137">
        <v>0</v>
      </c>
      <c r="N68" s="137">
        <v>0</v>
      </c>
      <c r="O68" s="137">
        <v>0</v>
      </c>
      <c r="P68" s="137">
        <v>1</v>
      </c>
      <c r="Q68" s="154">
        <v>1</v>
      </c>
    </row>
    <row r="69" spans="1:17" x14ac:dyDescent="0.25">
      <c r="A69" s="137">
        <v>243</v>
      </c>
      <c r="B69" s="137">
        <v>0</v>
      </c>
      <c r="C69" s="137">
        <v>1</v>
      </c>
      <c r="D69" s="137">
        <v>0</v>
      </c>
      <c r="E69" s="137">
        <v>0</v>
      </c>
      <c r="F69" s="137">
        <v>0</v>
      </c>
      <c r="G69" s="137">
        <v>1</v>
      </c>
      <c r="H69" s="137">
        <v>1</v>
      </c>
      <c r="J69" s="153">
        <v>243</v>
      </c>
      <c r="K69" s="137">
        <v>0</v>
      </c>
      <c r="L69" s="137">
        <v>1</v>
      </c>
      <c r="M69" s="137">
        <v>0</v>
      </c>
      <c r="N69" s="137">
        <v>0</v>
      </c>
      <c r="O69" s="137">
        <v>0</v>
      </c>
      <c r="P69" s="137">
        <v>1</v>
      </c>
      <c r="Q69" s="154">
        <v>1</v>
      </c>
    </row>
    <row r="70" spans="1:17" x14ac:dyDescent="0.25">
      <c r="A70" s="137">
        <v>246</v>
      </c>
      <c r="B70" s="137">
        <v>0</v>
      </c>
      <c r="C70" s="137">
        <v>2</v>
      </c>
      <c r="D70" s="137">
        <v>0</v>
      </c>
      <c r="E70" s="137">
        <v>0</v>
      </c>
      <c r="F70" s="137">
        <v>0</v>
      </c>
      <c r="G70" s="137">
        <v>3</v>
      </c>
      <c r="H70" s="137">
        <v>2</v>
      </c>
      <c r="J70" s="153">
        <v>246</v>
      </c>
      <c r="K70" s="137">
        <v>0</v>
      </c>
      <c r="L70" s="137">
        <v>2</v>
      </c>
      <c r="M70" s="137">
        <v>0</v>
      </c>
      <c r="N70" s="137">
        <v>0</v>
      </c>
      <c r="O70" s="137">
        <v>0</v>
      </c>
      <c r="P70" s="137">
        <v>3</v>
      </c>
      <c r="Q70" s="154">
        <f>SUM(K70:O70)</f>
        <v>2</v>
      </c>
    </row>
    <row r="71" spans="1:17" x14ac:dyDescent="0.25">
      <c r="A71" s="137">
        <v>247</v>
      </c>
      <c r="B71" s="137">
        <v>0</v>
      </c>
      <c r="C71" s="137">
        <v>1</v>
      </c>
      <c r="D71" s="137">
        <v>0</v>
      </c>
      <c r="E71" s="137">
        <v>0</v>
      </c>
      <c r="F71" s="137">
        <v>0</v>
      </c>
      <c r="G71" s="137">
        <v>1</v>
      </c>
      <c r="H71" s="137">
        <v>1</v>
      </c>
      <c r="J71" s="153">
        <v>247</v>
      </c>
      <c r="K71" s="137">
        <v>0</v>
      </c>
      <c r="L71" s="137">
        <v>1</v>
      </c>
      <c r="M71" s="137">
        <v>0</v>
      </c>
      <c r="N71" s="137">
        <v>0</v>
      </c>
      <c r="O71" s="137">
        <v>0</v>
      </c>
      <c r="P71" s="137">
        <v>1</v>
      </c>
      <c r="Q71" s="154">
        <v>1</v>
      </c>
    </row>
    <row r="72" spans="1:17" x14ac:dyDescent="0.25">
      <c r="A72" s="137">
        <v>248</v>
      </c>
      <c r="B72" s="137">
        <v>0</v>
      </c>
      <c r="C72" s="137">
        <v>0</v>
      </c>
      <c r="D72" s="137">
        <v>0</v>
      </c>
      <c r="E72" s="137">
        <v>0</v>
      </c>
      <c r="F72" s="137">
        <v>1</v>
      </c>
      <c r="G72" s="137">
        <v>0</v>
      </c>
      <c r="H72" s="137">
        <v>0</v>
      </c>
      <c r="J72" s="153">
        <v>248</v>
      </c>
      <c r="K72" s="137">
        <v>0</v>
      </c>
      <c r="L72" s="137">
        <v>0</v>
      </c>
      <c r="M72" s="137">
        <v>0</v>
      </c>
      <c r="N72" s="137">
        <v>0</v>
      </c>
      <c r="O72" s="137">
        <v>1</v>
      </c>
      <c r="P72" s="137">
        <v>0</v>
      </c>
      <c r="Q72" s="154">
        <v>0</v>
      </c>
    </row>
    <row r="73" spans="1:17" x14ac:dyDescent="0.25">
      <c r="A73" s="137">
        <v>249</v>
      </c>
      <c r="B73" s="137">
        <v>0</v>
      </c>
      <c r="C73" s="137">
        <v>1</v>
      </c>
      <c r="D73" s="137">
        <v>0</v>
      </c>
      <c r="E73" s="137">
        <v>0</v>
      </c>
      <c r="F73" s="137">
        <v>0</v>
      </c>
      <c r="G73" s="137">
        <v>1</v>
      </c>
      <c r="H73" s="137">
        <v>1</v>
      </c>
      <c r="J73" s="153">
        <v>249</v>
      </c>
      <c r="K73" s="137">
        <v>0</v>
      </c>
      <c r="L73" s="137">
        <v>1</v>
      </c>
      <c r="M73" s="137">
        <v>0</v>
      </c>
      <c r="N73" s="137">
        <v>0</v>
      </c>
      <c r="O73" s="137">
        <v>0</v>
      </c>
      <c r="P73" s="137">
        <v>1</v>
      </c>
      <c r="Q73" s="154">
        <v>1</v>
      </c>
    </row>
    <row r="74" spans="1:17" x14ac:dyDescent="0.25">
      <c r="A74" s="137">
        <v>252</v>
      </c>
      <c r="B74" s="137">
        <v>0</v>
      </c>
      <c r="C74" s="137">
        <v>1</v>
      </c>
      <c r="D74" s="137">
        <v>0</v>
      </c>
      <c r="E74" s="137">
        <v>0</v>
      </c>
      <c r="F74" s="137">
        <v>0</v>
      </c>
      <c r="G74" s="137">
        <v>1</v>
      </c>
      <c r="H74" s="137">
        <v>1</v>
      </c>
      <c r="J74" s="153">
        <v>252</v>
      </c>
      <c r="K74" s="137">
        <v>0</v>
      </c>
      <c r="L74" s="137">
        <v>1</v>
      </c>
      <c r="M74" s="137">
        <v>0</v>
      </c>
      <c r="N74" s="137">
        <v>0</v>
      </c>
      <c r="O74" s="137">
        <v>0</v>
      </c>
      <c r="P74" s="137">
        <v>1</v>
      </c>
      <c r="Q74" s="154">
        <v>1</v>
      </c>
    </row>
    <row r="75" spans="1:17" x14ac:dyDescent="0.25">
      <c r="A75" s="137">
        <v>253</v>
      </c>
      <c r="B75" s="137">
        <v>0</v>
      </c>
      <c r="C75" s="137">
        <v>2</v>
      </c>
      <c r="D75" s="137">
        <v>0</v>
      </c>
      <c r="E75" s="137">
        <v>0</v>
      </c>
      <c r="F75" s="137">
        <v>0</v>
      </c>
      <c r="G75" s="137">
        <v>2</v>
      </c>
      <c r="H75" s="137">
        <v>2</v>
      </c>
      <c r="J75" s="153">
        <v>253</v>
      </c>
      <c r="K75" s="137">
        <v>0</v>
      </c>
      <c r="L75" s="137">
        <v>2</v>
      </c>
      <c r="M75" s="137">
        <v>0</v>
      </c>
      <c r="N75" s="137">
        <v>0</v>
      </c>
      <c r="O75" s="137">
        <v>0</v>
      </c>
      <c r="P75" s="137">
        <v>2</v>
      </c>
      <c r="Q75" s="154">
        <v>2</v>
      </c>
    </row>
    <row r="76" spans="1:17" x14ac:dyDescent="0.25">
      <c r="A76" s="137">
        <v>254</v>
      </c>
      <c r="B76" s="137">
        <v>0</v>
      </c>
      <c r="C76" s="137">
        <v>1</v>
      </c>
      <c r="D76" s="137">
        <v>0</v>
      </c>
      <c r="E76" s="137">
        <v>0</v>
      </c>
      <c r="F76" s="137">
        <v>0</v>
      </c>
      <c r="G76" s="137">
        <v>1</v>
      </c>
      <c r="H76" s="137">
        <v>1</v>
      </c>
      <c r="J76" s="153">
        <v>254</v>
      </c>
      <c r="K76" s="137">
        <v>0</v>
      </c>
      <c r="L76" s="137">
        <v>1</v>
      </c>
      <c r="M76" s="137">
        <v>0</v>
      </c>
      <c r="N76" s="137">
        <v>0</v>
      </c>
      <c r="O76" s="137">
        <v>0</v>
      </c>
      <c r="P76" s="137">
        <v>1</v>
      </c>
      <c r="Q76" s="154">
        <v>1</v>
      </c>
    </row>
    <row r="77" spans="1:17" x14ac:dyDescent="0.25">
      <c r="A77" s="137">
        <v>255</v>
      </c>
      <c r="B77" s="137">
        <v>0</v>
      </c>
      <c r="C77" s="137">
        <v>1</v>
      </c>
      <c r="D77" s="137">
        <v>0</v>
      </c>
      <c r="E77" s="137">
        <v>0</v>
      </c>
      <c r="F77" s="137">
        <v>0</v>
      </c>
      <c r="G77" s="137">
        <v>1</v>
      </c>
      <c r="H77" s="137">
        <v>1</v>
      </c>
      <c r="J77" s="153">
        <v>255</v>
      </c>
      <c r="K77" s="137">
        <v>0</v>
      </c>
      <c r="L77" s="137">
        <v>1</v>
      </c>
      <c r="M77" s="137">
        <v>0</v>
      </c>
      <c r="N77" s="137">
        <v>0</v>
      </c>
      <c r="O77" s="137">
        <v>0</v>
      </c>
      <c r="P77" s="137">
        <v>1</v>
      </c>
      <c r="Q77" s="154">
        <v>1</v>
      </c>
    </row>
    <row r="78" spans="1:17" x14ac:dyDescent="0.25">
      <c r="A78" s="137">
        <v>256</v>
      </c>
      <c r="B78" s="137">
        <v>0</v>
      </c>
      <c r="C78" s="137">
        <v>0</v>
      </c>
      <c r="D78" s="137">
        <v>0</v>
      </c>
      <c r="E78" s="137">
        <v>0</v>
      </c>
      <c r="F78" s="137">
        <v>1</v>
      </c>
      <c r="G78" s="137">
        <v>0</v>
      </c>
      <c r="H78" s="137">
        <v>0</v>
      </c>
      <c r="J78" s="153">
        <v>256</v>
      </c>
      <c r="K78" s="137">
        <v>0</v>
      </c>
      <c r="L78" s="137">
        <v>0</v>
      </c>
      <c r="M78" s="137">
        <v>0</v>
      </c>
      <c r="N78" s="137">
        <v>0</v>
      </c>
      <c r="O78" s="137">
        <v>1</v>
      </c>
      <c r="P78" s="137">
        <v>0</v>
      </c>
      <c r="Q78" s="154">
        <v>0</v>
      </c>
    </row>
    <row r="79" spans="1:17" x14ac:dyDescent="0.25">
      <c r="A79" s="137">
        <v>257</v>
      </c>
      <c r="B79" s="137">
        <v>0</v>
      </c>
      <c r="C79" s="137">
        <v>0</v>
      </c>
      <c r="D79" s="137">
        <v>0</v>
      </c>
      <c r="E79" s="137">
        <v>0</v>
      </c>
      <c r="F79" s="137">
        <v>1</v>
      </c>
      <c r="G79" s="137">
        <v>0</v>
      </c>
      <c r="H79" s="137">
        <v>0</v>
      </c>
      <c r="J79" s="153">
        <v>257</v>
      </c>
      <c r="K79" s="137">
        <v>0</v>
      </c>
      <c r="L79" s="137">
        <v>0</v>
      </c>
      <c r="M79" s="137">
        <v>0</v>
      </c>
      <c r="N79" s="137">
        <v>0</v>
      </c>
      <c r="O79" s="137">
        <v>1</v>
      </c>
      <c r="P79" s="137">
        <v>0</v>
      </c>
      <c r="Q79" s="154">
        <v>0</v>
      </c>
    </row>
    <row r="80" spans="1:17" x14ac:dyDescent="0.25">
      <c r="A80" s="137">
        <v>258</v>
      </c>
      <c r="B80" s="137">
        <v>2</v>
      </c>
      <c r="C80" s="137">
        <v>0</v>
      </c>
      <c r="D80" s="137">
        <v>0</v>
      </c>
      <c r="E80" s="137">
        <v>0</v>
      </c>
      <c r="F80" s="137">
        <v>0</v>
      </c>
      <c r="G80" s="137">
        <v>4</v>
      </c>
      <c r="H80" s="137">
        <v>2</v>
      </c>
      <c r="J80" s="153">
        <v>258</v>
      </c>
      <c r="K80" s="137">
        <v>2</v>
      </c>
      <c r="L80" s="137">
        <v>0</v>
      </c>
      <c r="M80" s="137">
        <v>0</v>
      </c>
      <c r="N80" s="137">
        <v>0</v>
      </c>
      <c r="O80" s="137">
        <v>0</v>
      </c>
      <c r="P80" s="137">
        <v>4</v>
      </c>
      <c r="Q80" s="154">
        <f>SUM(K80:O80)</f>
        <v>2</v>
      </c>
    </row>
    <row r="81" spans="1:17" x14ac:dyDescent="0.25">
      <c r="A81" s="137">
        <v>261</v>
      </c>
      <c r="B81" s="137">
        <v>0</v>
      </c>
      <c r="C81" s="137">
        <v>1</v>
      </c>
      <c r="D81" s="137">
        <v>0</v>
      </c>
      <c r="E81" s="137">
        <v>1</v>
      </c>
      <c r="F81" s="137">
        <v>0</v>
      </c>
      <c r="G81" s="137">
        <v>2</v>
      </c>
      <c r="H81" s="137">
        <v>2</v>
      </c>
      <c r="J81" s="153">
        <v>261</v>
      </c>
      <c r="K81" s="137">
        <v>0</v>
      </c>
      <c r="L81" s="137">
        <v>1</v>
      </c>
      <c r="M81" s="137">
        <v>0</v>
      </c>
      <c r="N81" s="137">
        <v>1</v>
      </c>
      <c r="O81" s="137">
        <v>0</v>
      </c>
      <c r="P81" s="137">
        <v>2</v>
      </c>
      <c r="Q81" s="154">
        <v>2</v>
      </c>
    </row>
    <row r="82" spans="1:17" x14ac:dyDescent="0.25">
      <c r="A82" s="137">
        <v>262</v>
      </c>
      <c r="B82" s="137">
        <v>0</v>
      </c>
      <c r="C82" s="137">
        <v>0</v>
      </c>
      <c r="D82" s="137">
        <v>0</v>
      </c>
      <c r="E82" s="137">
        <v>2</v>
      </c>
      <c r="F82" s="137">
        <v>0</v>
      </c>
      <c r="G82" s="137">
        <v>2</v>
      </c>
      <c r="H82" s="137">
        <v>2</v>
      </c>
      <c r="J82" s="153">
        <v>262</v>
      </c>
      <c r="K82" s="137">
        <v>0</v>
      </c>
      <c r="L82" s="137">
        <v>0</v>
      </c>
      <c r="M82" s="137">
        <v>0</v>
      </c>
      <c r="N82" s="137">
        <v>2</v>
      </c>
      <c r="O82" s="137">
        <v>0</v>
      </c>
      <c r="P82" s="137">
        <v>2</v>
      </c>
      <c r="Q82" s="154">
        <v>2</v>
      </c>
    </row>
    <row r="83" spans="1:17" x14ac:dyDescent="0.25">
      <c r="A83" s="137">
        <v>263</v>
      </c>
      <c r="B83" s="137">
        <v>0</v>
      </c>
      <c r="C83" s="137">
        <v>0</v>
      </c>
      <c r="D83" s="137">
        <v>0</v>
      </c>
      <c r="E83" s="137">
        <v>1</v>
      </c>
      <c r="F83" s="137">
        <v>0</v>
      </c>
      <c r="G83" s="137">
        <v>1</v>
      </c>
      <c r="H83" s="137">
        <v>1</v>
      </c>
      <c r="J83" s="153">
        <v>263</v>
      </c>
      <c r="K83" s="137">
        <v>0</v>
      </c>
      <c r="L83" s="137">
        <v>0</v>
      </c>
      <c r="M83" s="137">
        <v>0</v>
      </c>
      <c r="N83" s="137">
        <v>1</v>
      </c>
      <c r="O83" s="137">
        <v>0</v>
      </c>
      <c r="P83" s="137">
        <v>1</v>
      </c>
      <c r="Q83" s="154">
        <v>1</v>
      </c>
    </row>
    <row r="84" spans="1:17" x14ac:dyDescent="0.25">
      <c r="A84" s="137">
        <v>264</v>
      </c>
      <c r="B84" s="137">
        <v>0</v>
      </c>
      <c r="C84" s="137">
        <v>0</v>
      </c>
      <c r="D84" s="137">
        <v>0</v>
      </c>
      <c r="E84" s="137">
        <v>1</v>
      </c>
      <c r="F84" s="137">
        <v>0</v>
      </c>
      <c r="G84" s="137">
        <v>1</v>
      </c>
      <c r="H84" s="137">
        <v>1</v>
      </c>
      <c r="J84" s="153">
        <v>264</v>
      </c>
      <c r="K84" s="137">
        <v>0</v>
      </c>
      <c r="L84" s="137">
        <v>0</v>
      </c>
      <c r="M84" s="137">
        <v>0</v>
      </c>
      <c r="N84" s="137">
        <v>1</v>
      </c>
      <c r="O84" s="137">
        <v>0</v>
      </c>
      <c r="P84" s="137">
        <v>1</v>
      </c>
      <c r="Q84" s="154">
        <v>1</v>
      </c>
    </row>
    <row r="85" spans="1:17" x14ac:dyDescent="0.25">
      <c r="A85" s="137">
        <v>265</v>
      </c>
      <c r="B85" s="137">
        <v>0</v>
      </c>
      <c r="C85" s="137">
        <v>2</v>
      </c>
      <c r="D85" s="137">
        <v>0</v>
      </c>
      <c r="E85" s="137">
        <v>0</v>
      </c>
      <c r="F85" s="137">
        <v>0</v>
      </c>
      <c r="G85" s="137">
        <v>3</v>
      </c>
      <c r="H85" s="137">
        <v>2</v>
      </c>
      <c r="J85" s="153">
        <v>265</v>
      </c>
      <c r="K85" s="137">
        <v>0</v>
      </c>
      <c r="L85" s="137">
        <v>2</v>
      </c>
      <c r="M85" s="137">
        <v>0</v>
      </c>
      <c r="N85" s="137">
        <v>0</v>
      </c>
      <c r="O85" s="137">
        <v>0</v>
      </c>
      <c r="P85" s="137">
        <v>3</v>
      </c>
      <c r="Q85" s="154">
        <f>SUM(K85:O85)</f>
        <v>2</v>
      </c>
    </row>
    <row r="86" spans="1:17" x14ac:dyDescent="0.25">
      <c r="A86" s="137">
        <v>266</v>
      </c>
      <c r="B86" s="137">
        <v>0</v>
      </c>
      <c r="C86" s="137">
        <v>2</v>
      </c>
      <c r="D86" s="137">
        <v>0</v>
      </c>
      <c r="E86" s="137">
        <v>0</v>
      </c>
      <c r="F86" s="137">
        <v>0</v>
      </c>
      <c r="G86" s="137">
        <v>2</v>
      </c>
      <c r="H86" s="137">
        <v>2</v>
      </c>
      <c r="J86" s="153">
        <v>266</v>
      </c>
      <c r="K86" s="137">
        <v>0</v>
      </c>
      <c r="L86" s="137">
        <v>2</v>
      </c>
      <c r="M86" s="137">
        <v>0</v>
      </c>
      <c r="N86" s="137">
        <v>0</v>
      </c>
      <c r="O86" s="137">
        <v>0</v>
      </c>
      <c r="P86" s="137">
        <v>2</v>
      </c>
      <c r="Q86" s="154">
        <v>2</v>
      </c>
    </row>
    <row r="87" spans="1:17" x14ac:dyDescent="0.25">
      <c r="A87" s="137">
        <v>267</v>
      </c>
      <c r="B87" s="137">
        <v>0</v>
      </c>
      <c r="C87" s="137">
        <v>2</v>
      </c>
      <c r="D87" s="137">
        <v>0</v>
      </c>
      <c r="E87" s="137">
        <v>0</v>
      </c>
      <c r="F87" s="137">
        <v>0</v>
      </c>
      <c r="G87" s="137">
        <v>2</v>
      </c>
      <c r="H87" s="137">
        <v>2</v>
      </c>
      <c r="J87" s="153">
        <v>267</v>
      </c>
      <c r="K87" s="137">
        <v>0</v>
      </c>
      <c r="L87" s="137">
        <v>2</v>
      </c>
      <c r="M87" s="137">
        <v>0</v>
      </c>
      <c r="N87" s="137">
        <v>0</v>
      </c>
      <c r="O87" s="137">
        <v>0</v>
      </c>
      <c r="P87" s="137">
        <v>2</v>
      </c>
      <c r="Q87" s="154">
        <v>2</v>
      </c>
    </row>
    <row r="88" spans="1:17" x14ac:dyDescent="0.25">
      <c r="A88" s="137">
        <v>268</v>
      </c>
      <c r="B88" s="137">
        <v>0</v>
      </c>
      <c r="C88" s="137">
        <v>1</v>
      </c>
      <c r="D88" s="137">
        <v>0</v>
      </c>
      <c r="E88" s="137">
        <v>0</v>
      </c>
      <c r="F88" s="137">
        <v>0</v>
      </c>
      <c r="G88" s="137">
        <v>1</v>
      </c>
      <c r="H88" s="137">
        <v>1</v>
      </c>
      <c r="J88" s="153">
        <v>268</v>
      </c>
      <c r="K88" s="137">
        <v>0</v>
      </c>
      <c r="L88" s="137">
        <v>1</v>
      </c>
      <c r="M88" s="137">
        <v>0</v>
      </c>
      <c r="N88" s="137">
        <v>0</v>
      </c>
      <c r="O88" s="137">
        <v>0</v>
      </c>
      <c r="P88" s="137">
        <v>1</v>
      </c>
      <c r="Q88" s="154">
        <v>1</v>
      </c>
    </row>
    <row r="89" spans="1:17" x14ac:dyDescent="0.25">
      <c r="A89" s="137">
        <v>269</v>
      </c>
      <c r="B89" s="137">
        <v>0</v>
      </c>
      <c r="C89" s="137">
        <v>1</v>
      </c>
      <c r="D89" s="137">
        <v>0</v>
      </c>
      <c r="E89" s="137">
        <v>0</v>
      </c>
      <c r="F89" s="137">
        <v>0</v>
      </c>
      <c r="G89" s="137">
        <v>1</v>
      </c>
      <c r="H89" s="137">
        <v>1</v>
      </c>
      <c r="J89" s="153">
        <v>269</v>
      </c>
      <c r="K89" s="137">
        <v>0</v>
      </c>
      <c r="L89" s="137">
        <v>1</v>
      </c>
      <c r="M89" s="137">
        <v>0</v>
      </c>
      <c r="N89" s="137">
        <v>0</v>
      </c>
      <c r="O89" s="137">
        <v>0</v>
      </c>
      <c r="P89" s="137">
        <v>1</v>
      </c>
      <c r="Q89" s="154">
        <v>1</v>
      </c>
    </row>
    <row r="90" spans="1:17" x14ac:dyDescent="0.25">
      <c r="A90" s="137">
        <v>270</v>
      </c>
      <c r="B90" s="137">
        <v>0</v>
      </c>
      <c r="C90" s="137">
        <v>0</v>
      </c>
      <c r="D90" s="137">
        <v>0</v>
      </c>
      <c r="E90" s="137">
        <v>2</v>
      </c>
      <c r="F90" s="137">
        <v>0</v>
      </c>
      <c r="G90" s="137">
        <v>3</v>
      </c>
      <c r="H90" s="137">
        <v>2</v>
      </c>
      <c r="J90" s="153">
        <v>270</v>
      </c>
      <c r="K90" s="137">
        <v>0</v>
      </c>
      <c r="L90" s="137">
        <v>0</v>
      </c>
      <c r="M90" s="137">
        <v>0</v>
      </c>
      <c r="N90" s="137">
        <v>2</v>
      </c>
      <c r="O90" s="137">
        <v>0</v>
      </c>
      <c r="P90" s="137">
        <v>3</v>
      </c>
      <c r="Q90" s="154">
        <f>SUM(K90:O90)</f>
        <v>2</v>
      </c>
    </row>
    <row r="91" spans="1:17" x14ac:dyDescent="0.25">
      <c r="A91" s="137">
        <v>272</v>
      </c>
      <c r="B91" s="137">
        <v>0</v>
      </c>
      <c r="C91" s="137">
        <v>0</v>
      </c>
      <c r="D91" s="137">
        <v>0</v>
      </c>
      <c r="E91" s="137">
        <v>0</v>
      </c>
      <c r="F91" s="137">
        <v>1</v>
      </c>
      <c r="G91" s="137">
        <v>0</v>
      </c>
      <c r="H91" s="137">
        <v>0</v>
      </c>
      <c r="J91" s="153">
        <v>272</v>
      </c>
      <c r="K91" s="137">
        <v>0</v>
      </c>
      <c r="L91" s="137">
        <v>0</v>
      </c>
      <c r="M91" s="137">
        <v>0</v>
      </c>
      <c r="N91" s="137">
        <v>0</v>
      </c>
      <c r="O91" s="137">
        <v>1</v>
      </c>
      <c r="P91" s="137">
        <v>0</v>
      </c>
      <c r="Q91" s="154">
        <v>0</v>
      </c>
    </row>
    <row r="92" spans="1:17" x14ac:dyDescent="0.25">
      <c r="A92" s="137">
        <v>273</v>
      </c>
      <c r="B92" s="137">
        <v>0</v>
      </c>
      <c r="C92" s="137">
        <v>0</v>
      </c>
      <c r="D92" s="137">
        <v>0</v>
      </c>
      <c r="E92" s="137">
        <v>0</v>
      </c>
      <c r="F92" s="137">
        <v>1</v>
      </c>
      <c r="G92" s="137">
        <v>0</v>
      </c>
      <c r="H92" s="137">
        <v>0</v>
      </c>
      <c r="J92" s="153">
        <v>273</v>
      </c>
      <c r="K92" s="137">
        <v>0</v>
      </c>
      <c r="L92" s="137">
        <v>0</v>
      </c>
      <c r="M92" s="137">
        <v>0</v>
      </c>
      <c r="N92" s="137">
        <v>0</v>
      </c>
      <c r="O92" s="137">
        <v>1</v>
      </c>
      <c r="P92" s="137">
        <v>0</v>
      </c>
      <c r="Q92" s="154">
        <v>0</v>
      </c>
    </row>
    <row r="93" spans="1:17" x14ac:dyDescent="0.25">
      <c r="A93" s="137">
        <v>274</v>
      </c>
      <c r="B93" s="137">
        <v>0</v>
      </c>
      <c r="C93" s="137">
        <v>0</v>
      </c>
      <c r="D93" s="137">
        <v>1</v>
      </c>
      <c r="E93" s="137">
        <v>1</v>
      </c>
      <c r="F93" s="137">
        <v>0</v>
      </c>
      <c r="G93" s="137">
        <v>2</v>
      </c>
      <c r="H93" s="137">
        <v>2</v>
      </c>
      <c r="J93" s="153">
        <v>274</v>
      </c>
      <c r="K93" s="137">
        <v>0</v>
      </c>
      <c r="L93" s="137">
        <v>0</v>
      </c>
      <c r="M93" s="137">
        <v>1</v>
      </c>
      <c r="N93" s="137">
        <v>1</v>
      </c>
      <c r="O93" s="137">
        <v>0</v>
      </c>
      <c r="P93" s="137">
        <v>2</v>
      </c>
      <c r="Q93" s="154">
        <v>2</v>
      </c>
    </row>
    <row r="94" spans="1:17" x14ac:dyDescent="0.25">
      <c r="A94" s="137">
        <v>275</v>
      </c>
      <c r="B94" s="137">
        <v>0</v>
      </c>
      <c r="C94" s="137">
        <v>0</v>
      </c>
      <c r="D94" s="137">
        <v>2</v>
      </c>
      <c r="E94" s="137">
        <v>0</v>
      </c>
      <c r="F94" s="137">
        <v>0</v>
      </c>
      <c r="G94" s="137">
        <v>3</v>
      </c>
      <c r="H94" s="137">
        <v>2</v>
      </c>
      <c r="J94" s="153">
        <v>275</v>
      </c>
      <c r="K94" s="137">
        <v>0</v>
      </c>
      <c r="L94" s="137">
        <v>0</v>
      </c>
      <c r="M94" s="137">
        <v>2</v>
      </c>
      <c r="N94" s="137">
        <v>0</v>
      </c>
      <c r="O94" s="137">
        <v>0</v>
      </c>
      <c r="P94" s="137">
        <v>3</v>
      </c>
      <c r="Q94" s="154">
        <f>SUM(K94:O94)</f>
        <v>2</v>
      </c>
    </row>
    <row r="95" spans="1:17" x14ac:dyDescent="0.25">
      <c r="A95" s="137">
        <v>276</v>
      </c>
      <c r="B95" s="137">
        <v>0</v>
      </c>
      <c r="C95" s="137">
        <v>0</v>
      </c>
      <c r="D95" s="137">
        <v>0</v>
      </c>
      <c r="E95" s="137">
        <v>0</v>
      </c>
      <c r="F95" s="137">
        <v>1</v>
      </c>
      <c r="G95" s="137">
        <v>0</v>
      </c>
      <c r="H95" s="137">
        <v>0</v>
      </c>
      <c r="J95" s="153">
        <v>276</v>
      </c>
      <c r="K95" s="137">
        <v>0</v>
      </c>
      <c r="L95" s="137">
        <v>0</v>
      </c>
      <c r="M95" s="137">
        <v>0</v>
      </c>
      <c r="N95" s="137">
        <v>0</v>
      </c>
      <c r="O95" s="137">
        <v>1</v>
      </c>
      <c r="P95" s="137">
        <v>0</v>
      </c>
      <c r="Q95" s="154">
        <v>0</v>
      </c>
    </row>
    <row r="96" spans="1:17" x14ac:dyDescent="0.25">
      <c r="A96" s="137">
        <v>277</v>
      </c>
      <c r="B96" s="137">
        <v>0</v>
      </c>
      <c r="C96" s="137">
        <v>2</v>
      </c>
      <c r="D96" s="137">
        <v>0</v>
      </c>
      <c r="E96" s="137">
        <v>0</v>
      </c>
      <c r="F96" s="137">
        <v>0</v>
      </c>
      <c r="G96" s="137">
        <v>2</v>
      </c>
      <c r="H96" s="137">
        <v>2</v>
      </c>
      <c r="J96" s="153">
        <v>277</v>
      </c>
      <c r="K96" s="137">
        <v>0</v>
      </c>
      <c r="L96" s="137">
        <v>2</v>
      </c>
      <c r="M96" s="137">
        <v>0</v>
      </c>
      <c r="N96" s="137">
        <v>0</v>
      </c>
      <c r="O96" s="137">
        <v>0</v>
      </c>
      <c r="P96" s="137">
        <v>2</v>
      </c>
      <c r="Q96" s="154">
        <v>2</v>
      </c>
    </row>
    <row r="97" spans="1:17" x14ac:dyDescent="0.25">
      <c r="A97" s="137">
        <v>278</v>
      </c>
      <c r="B97" s="137">
        <v>0</v>
      </c>
      <c r="C97" s="137">
        <v>2</v>
      </c>
      <c r="D97" s="137">
        <v>0</v>
      </c>
      <c r="E97" s="137">
        <v>0</v>
      </c>
      <c r="F97" s="137">
        <v>0</v>
      </c>
      <c r="G97" s="137">
        <v>2</v>
      </c>
      <c r="H97" s="137">
        <v>2</v>
      </c>
      <c r="J97" s="153">
        <v>278</v>
      </c>
      <c r="K97" s="137">
        <v>0</v>
      </c>
      <c r="L97" s="137">
        <v>2</v>
      </c>
      <c r="M97" s="137">
        <v>0</v>
      </c>
      <c r="N97" s="137">
        <v>0</v>
      </c>
      <c r="O97" s="137">
        <v>0</v>
      </c>
      <c r="P97" s="137">
        <v>2</v>
      </c>
      <c r="Q97" s="154">
        <v>2</v>
      </c>
    </row>
    <row r="98" spans="1:17" x14ac:dyDescent="0.25">
      <c r="A98" s="137">
        <v>279</v>
      </c>
      <c r="B98" s="137">
        <v>0</v>
      </c>
      <c r="C98" s="137">
        <v>1</v>
      </c>
      <c r="D98" s="137">
        <v>0</v>
      </c>
      <c r="E98" s="137">
        <v>0</v>
      </c>
      <c r="F98" s="137">
        <v>0</v>
      </c>
      <c r="G98" s="137">
        <v>1</v>
      </c>
      <c r="H98" s="137">
        <v>1</v>
      </c>
      <c r="J98" s="153">
        <v>279</v>
      </c>
      <c r="K98" s="137">
        <v>0</v>
      </c>
      <c r="L98" s="137">
        <v>1</v>
      </c>
      <c r="M98" s="137">
        <v>0</v>
      </c>
      <c r="N98" s="137">
        <v>0</v>
      </c>
      <c r="O98" s="137">
        <v>0</v>
      </c>
      <c r="P98" s="137">
        <v>1</v>
      </c>
      <c r="Q98" s="154">
        <v>1</v>
      </c>
    </row>
    <row r="99" spans="1:17" x14ac:dyDescent="0.25">
      <c r="A99" s="137">
        <v>291</v>
      </c>
      <c r="B99" s="137">
        <v>0</v>
      </c>
      <c r="C99" s="137">
        <v>0</v>
      </c>
      <c r="D99" s="137">
        <v>0</v>
      </c>
      <c r="E99" s="137">
        <v>1</v>
      </c>
      <c r="F99" s="137">
        <v>0</v>
      </c>
      <c r="G99" s="137">
        <v>1</v>
      </c>
      <c r="H99" s="137">
        <v>1</v>
      </c>
      <c r="J99" s="153">
        <v>291</v>
      </c>
      <c r="K99" s="137">
        <v>0</v>
      </c>
      <c r="L99" s="137">
        <v>0</v>
      </c>
      <c r="M99" s="137">
        <v>0</v>
      </c>
      <c r="N99" s="137">
        <v>1</v>
      </c>
      <c r="O99" s="137">
        <v>0</v>
      </c>
      <c r="P99" s="137">
        <v>1</v>
      </c>
      <c r="Q99" s="154">
        <v>1</v>
      </c>
    </row>
    <row r="100" spans="1:17" x14ac:dyDescent="0.25">
      <c r="A100" s="137">
        <v>292</v>
      </c>
      <c r="B100" s="137">
        <v>0</v>
      </c>
      <c r="C100" s="137">
        <v>0</v>
      </c>
      <c r="D100" s="137">
        <v>0</v>
      </c>
      <c r="E100" s="137">
        <v>1</v>
      </c>
      <c r="F100" s="137">
        <v>0</v>
      </c>
      <c r="G100" s="137">
        <v>1</v>
      </c>
      <c r="H100" s="137">
        <v>1</v>
      </c>
      <c r="J100" s="153">
        <v>292</v>
      </c>
      <c r="K100" s="137">
        <v>0</v>
      </c>
      <c r="L100" s="137">
        <v>0</v>
      </c>
      <c r="M100" s="137">
        <v>0</v>
      </c>
      <c r="N100" s="137">
        <v>1</v>
      </c>
      <c r="O100" s="137">
        <v>0</v>
      </c>
      <c r="P100" s="137">
        <v>1</v>
      </c>
      <c r="Q100" s="154">
        <v>1</v>
      </c>
    </row>
    <row r="101" spans="1:17" x14ac:dyDescent="0.25">
      <c r="A101" s="137">
        <v>293</v>
      </c>
      <c r="B101" s="137">
        <v>0</v>
      </c>
      <c r="C101" s="137">
        <v>0</v>
      </c>
      <c r="D101" s="137">
        <v>0</v>
      </c>
      <c r="E101" s="137">
        <v>1</v>
      </c>
      <c r="F101" s="137">
        <v>0</v>
      </c>
      <c r="G101" s="137">
        <v>1</v>
      </c>
      <c r="H101" s="137">
        <v>1</v>
      </c>
      <c r="J101" s="153">
        <v>293</v>
      </c>
      <c r="K101" s="137">
        <v>0</v>
      </c>
      <c r="L101" s="137">
        <v>0</v>
      </c>
      <c r="M101" s="137">
        <v>0</v>
      </c>
      <c r="N101" s="137">
        <v>1</v>
      </c>
      <c r="O101" s="137">
        <v>0</v>
      </c>
      <c r="P101" s="137">
        <v>1</v>
      </c>
      <c r="Q101" s="154">
        <v>1</v>
      </c>
    </row>
    <row r="102" spans="1:17" x14ac:dyDescent="0.25">
      <c r="A102" s="137">
        <v>294</v>
      </c>
      <c r="B102" s="137">
        <v>0</v>
      </c>
      <c r="C102" s="137">
        <v>1</v>
      </c>
      <c r="D102" s="137">
        <v>0</v>
      </c>
      <c r="E102" s="137">
        <v>0</v>
      </c>
      <c r="F102" s="137">
        <v>0</v>
      </c>
      <c r="G102" s="137">
        <v>1</v>
      </c>
      <c r="H102" s="137">
        <v>1</v>
      </c>
      <c r="J102" s="153">
        <v>294</v>
      </c>
      <c r="K102" s="137">
        <v>0</v>
      </c>
      <c r="L102" s="137">
        <v>1</v>
      </c>
      <c r="M102" s="137">
        <v>0</v>
      </c>
      <c r="N102" s="137">
        <v>0</v>
      </c>
      <c r="O102" s="137">
        <v>0</v>
      </c>
      <c r="P102" s="137">
        <v>1</v>
      </c>
      <c r="Q102" s="154">
        <v>1</v>
      </c>
    </row>
    <row r="103" spans="1:17" x14ac:dyDescent="0.25">
      <c r="A103" s="137">
        <v>296</v>
      </c>
      <c r="B103" s="137">
        <v>0</v>
      </c>
      <c r="C103" s="137">
        <v>0</v>
      </c>
      <c r="D103" s="137">
        <v>0</v>
      </c>
      <c r="E103" s="137">
        <v>1</v>
      </c>
      <c r="F103" s="137">
        <v>0</v>
      </c>
      <c r="G103" s="137">
        <v>1</v>
      </c>
      <c r="H103" s="137">
        <v>1</v>
      </c>
      <c r="J103" s="153">
        <v>296</v>
      </c>
      <c r="K103" s="137">
        <v>0</v>
      </c>
      <c r="L103" s="137">
        <v>0</v>
      </c>
      <c r="M103" s="137">
        <v>0</v>
      </c>
      <c r="N103" s="137">
        <v>1</v>
      </c>
      <c r="O103" s="137">
        <v>0</v>
      </c>
      <c r="P103" s="137">
        <v>1</v>
      </c>
      <c r="Q103" s="154">
        <v>1</v>
      </c>
    </row>
    <row r="104" spans="1:17" x14ac:dyDescent="0.25">
      <c r="A104" s="137">
        <v>297</v>
      </c>
      <c r="B104" s="137">
        <v>0</v>
      </c>
      <c r="C104" s="137">
        <v>0</v>
      </c>
      <c r="D104" s="137">
        <v>0</v>
      </c>
      <c r="E104" s="137">
        <v>1</v>
      </c>
      <c r="F104" s="137">
        <v>0</v>
      </c>
      <c r="G104" s="137">
        <v>1</v>
      </c>
      <c r="H104" s="137">
        <v>1</v>
      </c>
      <c r="J104" s="153">
        <v>297</v>
      </c>
      <c r="K104" s="137">
        <v>0</v>
      </c>
      <c r="L104" s="137">
        <v>0</v>
      </c>
      <c r="M104" s="137">
        <v>0</v>
      </c>
      <c r="N104" s="137">
        <v>1</v>
      </c>
      <c r="O104" s="137">
        <v>0</v>
      </c>
      <c r="P104" s="137">
        <v>1</v>
      </c>
      <c r="Q104" s="154">
        <v>1</v>
      </c>
    </row>
    <row r="105" spans="1:17" x14ac:dyDescent="0.25">
      <c r="A105" s="137">
        <v>298</v>
      </c>
      <c r="B105" s="137">
        <v>0</v>
      </c>
      <c r="C105" s="137">
        <v>0</v>
      </c>
      <c r="D105" s="137">
        <v>0</v>
      </c>
      <c r="E105" s="137">
        <v>1</v>
      </c>
      <c r="F105" s="137">
        <v>0</v>
      </c>
      <c r="G105" s="137">
        <v>1</v>
      </c>
      <c r="H105" s="137">
        <v>1</v>
      </c>
      <c r="J105" s="153">
        <v>298</v>
      </c>
      <c r="K105" s="137">
        <v>0</v>
      </c>
      <c r="L105" s="137">
        <v>0</v>
      </c>
      <c r="M105" s="137">
        <v>0</v>
      </c>
      <c r="N105" s="137">
        <v>1</v>
      </c>
      <c r="O105" s="137">
        <v>0</v>
      </c>
      <c r="P105" s="137">
        <v>1</v>
      </c>
      <c r="Q105" s="154">
        <v>1</v>
      </c>
    </row>
    <row r="106" spans="1:17" x14ac:dyDescent="0.25">
      <c r="A106" s="137">
        <v>299</v>
      </c>
      <c r="B106" s="137">
        <v>0</v>
      </c>
      <c r="C106" s="137">
        <v>2</v>
      </c>
      <c r="D106" s="137">
        <v>0</v>
      </c>
      <c r="E106" s="137">
        <v>0</v>
      </c>
      <c r="F106" s="137">
        <v>0</v>
      </c>
      <c r="G106" s="137">
        <v>3</v>
      </c>
      <c r="H106" s="137">
        <v>2</v>
      </c>
      <c r="J106" s="153">
        <v>299</v>
      </c>
      <c r="K106" s="137">
        <v>0</v>
      </c>
      <c r="L106" s="137">
        <v>2</v>
      </c>
      <c r="M106" s="137">
        <v>0</v>
      </c>
      <c r="N106" s="137">
        <v>0</v>
      </c>
      <c r="O106" s="137">
        <v>0</v>
      </c>
      <c r="P106" s="137">
        <v>3</v>
      </c>
      <c r="Q106" s="154">
        <f t="shared" ref="Q106:Q107" si="0">SUM(K106:O106)</f>
        <v>2</v>
      </c>
    </row>
    <row r="107" spans="1:17" x14ac:dyDescent="0.25">
      <c r="A107" s="137">
        <v>301</v>
      </c>
      <c r="B107" s="137">
        <v>0</v>
      </c>
      <c r="C107" s="137">
        <v>0</v>
      </c>
      <c r="D107" s="137">
        <v>2</v>
      </c>
      <c r="E107" s="137">
        <v>0</v>
      </c>
      <c r="F107" s="137">
        <v>0</v>
      </c>
      <c r="G107" s="137">
        <v>3</v>
      </c>
      <c r="H107" s="137">
        <v>2</v>
      </c>
      <c r="J107" s="153">
        <v>301</v>
      </c>
      <c r="K107" s="137">
        <v>0</v>
      </c>
      <c r="L107" s="137">
        <v>0</v>
      </c>
      <c r="M107" s="137">
        <v>2</v>
      </c>
      <c r="N107" s="137">
        <v>0</v>
      </c>
      <c r="O107" s="137">
        <v>0</v>
      </c>
      <c r="P107" s="137">
        <v>3</v>
      </c>
      <c r="Q107" s="154">
        <f t="shared" si="0"/>
        <v>2</v>
      </c>
    </row>
    <row r="108" spans="1:17" x14ac:dyDescent="0.25">
      <c r="A108" s="137">
        <v>305</v>
      </c>
      <c r="B108" s="137">
        <v>0</v>
      </c>
      <c r="C108" s="137">
        <v>0</v>
      </c>
      <c r="D108" s="137">
        <v>0</v>
      </c>
      <c r="E108" s="137">
        <v>0</v>
      </c>
      <c r="F108" s="137">
        <v>1</v>
      </c>
      <c r="G108" s="137">
        <v>0</v>
      </c>
      <c r="H108" s="137">
        <v>0</v>
      </c>
      <c r="J108" s="153">
        <v>305</v>
      </c>
      <c r="K108" s="137">
        <v>0</v>
      </c>
      <c r="L108" s="137">
        <v>0</v>
      </c>
      <c r="M108" s="137">
        <v>0</v>
      </c>
      <c r="N108" s="137">
        <v>0</v>
      </c>
      <c r="O108" s="137">
        <v>1</v>
      </c>
      <c r="P108" s="137">
        <v>0</v>
      </c>
      <c r="Q108" s="154">
        <v>0</v>
      </c>
    </row>
    <row r="109" spans="1:17" x14ac:dyDescent="0.25">
      <c r="A109" s="137">
        <v>306</v>
      </c>
      <c r="B109" s="137">
        <v>0</v>
      </c>
      <c r="C109" s="137">
        <v>0</v>
      </c>
      <c r="D109" s="137">
        <v>0</v>
      </c>
      <c r="E109" s="137">
        <v>1</v>
      </c>
      <c r="F109" s="137">
        <v>0</v>
      </c>
      <c r="G109" s="137">
        <v>1</v>
      </c>
      <c r="H109" s="137">
        <v>1</v>
      </c>
      <c r="J109" s="153">
        <v>306</v>
      </c>
      <c r="K109" s="137">
        <v>0</v>
      </c>
      <c r="L109" s="137">
        <v>0</v>
      </c>
      <c r="M109" s="137">
        <v>0</v>
      </c>
      <c r="N109" s="137">
        <v>1</v>
      </c>
      <c r="O109" s="137">
        <v>0</v>
      </c>
      <c r="P109" s="137">
        <v>1</v>
      </c>
      <c r="Q109" s="154">
        <v>1</v>
      </c>
    </row>
    <row r="110" spans="1:17" x14ac:dyDescent="0.25">
      <c r="A110" s="137">
        <v>308</v>
      </c>
      <c r="B110" s="137">
        <v>0</v>
      </c>
      <c r="C110" s="137">
        <v>2</v>
      </c>
      <c r="D110" s="137">
        <v>0</v>
      </c>
      <c r="E110" s="137">
        <v>0</v>
      </c>
      <c r="F110" s="137">
        <v>0</v>
      </c>
      <c r="G110" s="137">
        <v>3</v>
      </c>
      <c r="H110" s="137">
        <v>2</v>
      </c>
      <c r="J110" s="153">
        <v>308</v>
      </c>
      <c r="K110" s="137">
        <v>0</v>
      </c>
      <c r="L110" s="137">
        <v>2</v>
      </c>
      <c r="M110" s="137">
        <v>0</v>
      </c>
      <c r="N110" s="137">
        <v>0</v>
      </c>
      <c r="O110" s="137">
        <v>0</v>
      </c>
      <c r="P110" s="137">
        <v>3</v>
      </c>
      <c r="Q110" s="154">
        <f>SUM(K110:O110)</f>
        <v>2</v>
      </c>
    </row>
    <row r="111" spans="1:17" x14ac:dyDescent="0.25">
      <c r="A111" s="137">
        <v>309</v>
      </c>
      <c r="B111" s="137">
        <v>0</v>
      </c>
      <c r="C111" s="137">
        <v>2</v>
      </c>
      <c r="D111" s="137">
        <v>0</v>
      </c>
      <c r="E111" s="137">
        <v>0</v>
      </c>
      <c r="F111" s="137">
        <v>0</v>
      </c>
      <c r="G111" s="137">
        <v>2</v>
      </c>
      <c r="H111" s="137">
        <v>2</v>
      </c>
      <c r="J111" s="153">
        <v>309</v>
      </c>
      <c r="K111" s="137">
        <v>0</v>
      </c>
      <c r="L111" s="137">
        <v>2</v>
      </c>
      <c r="M111" s="137">
        <v>0</v>
      </c>
      <c r="N111" s="137">
        <v>0</v>
      </c>
      <c r="O111" s="137">
        <v>0</v>
      </c>
      <c r="P111" s="137">
        <v>2</v>
      </c>
      <c r="Q111" s="154">
        <v>2</v>
      </c>
    </row>
    <row r="112" spans="1:17" x14ac:dyDescent="0.25">
      <c r="A112" s="137">
        <v>311</v>
      </c>
      <c r="B112" s="137">
        <v>0</v>
      </c>
      <c r="C112" s="137">
        <v>1</v>
      </c>
      <c r="D112" s="137">
        <v>0</v>
      </c>
      <c r="E112" s="137">
        <v>0</v>
      </c>
      <c r="F112" s="137">
        <v>0</v>
      </c>
      <c r="G112" s="137">
        <v>1</v>
      </c>
      <c r="H112" s="137">
        <v>1</v>
      </c>
      <c r="J112" s="153">
        <v>311</v>
      </c>
      <c r="K112" s="137">
        <v>0</v>
      </c>
      <c r="L112" s="137">
        <v>1</v>
      </c>
      <c r="M112" s="137">
        <v>0</v>
      </c>
      <c r="N112" s="137">
        <v>0</v>
      </c>
      <c r="O112" s="137">
        <v>0</v>
      </c>
      <c r="P112" s="137">
        <v>1</v>
      </c>
      <c r="Q112" s="154">
        <v>1</v>
      </c>
    </row>
    <row r="113" spans="1:17" x14ac:dyDescent="0.25">
      <c r="A113" s="137">
        <v>312</v>
      </c>
      <c r="B113" s="137">
        <v>0</v>
      </c>
      <c r="C113" s="137">
        <v>1</v>
      </c>
      <c r="D113" s="137">
        <v>0</v>
      </c>
      <c r="E113" s="137">
        <v>0</v>
      </c>
      <c r="F113" s="137">
        <v>0</v>
      </c>
      <c r="G113" s="137">
        <v>1</v>
      </c>
      <c r="H113" s="137">
        <v>1</v>
      </c>
      <c r="J113" s="153">
        <v>312</v>
      </c>
      <c r="K113" s="137">
        <v>0</v>
      </c>
      <c r="L113" s="137">
        <v>1</v>
      </c>
      <c r="M113" s="137">
        <v>0</v>
      </c>
      <c r="N113" s="137">
        <v>0</v>
      </c>
      <c r="O113" s="137">
        <v>0</v>
      </c>
      <c r="P113" s="137">
        <v>1</v>
      </c>
      <c r="Q113" s="154">
        <v>1</v>
      </c>
    </row>
    <row r="114" spans="1:17" x14ac:dyDescent="0.25">
      <c r="A114" s="137">
        <v>314</v>
      </c>
      <c r="B114" s="137">
        <v>1</v>
      </c>
      <c r="C114" s="137">
        <v>0</v>
      </c>
      <c r="D114" s="137">
        <v>0</v>
      </c>
      <c r="E114" s="137">
        <v>0</v>
      </c>
      <c r="F114" s="137">
        <v>0</v>
      </c>
      <c r="G114" s="137">
        <v>1</v>
      </c>
      <c r="H114" s="137">
        <v>1</v>
      </c>
      <c r="J114" s="153">
        <v>314</v>
      </c>
      <c r="K114" s="137">
        <v>1</v>
      </c>
      <c r="L114" s="137">
        <v>0</v>
      </c>
      <c r="M114" s="137">
        <v>0</v>
      </c>
      <c r="N114" s="137">
        <v>0</v>
      </c>
      <c r="O114" s="137">
        <v>0</v>
      </c>
      <c r="P114" s="137">
        <v>1</v>
      </c>
      <c r="Q114" s="154">
        <v>1</v>
      </c>
    </row>
    <row r="115" spans="1:17" x14ac:dyDescent="0.25">
      <c r="A115" s="137">
        <v>315</v>
      </c>
      <c r="B115" s="137">
        <v>0</v>
      </c>
      <c r="C115" s="137">
        <v>0</v>
      </c>
      <c r="D115" s="137">
        <v>1</v>
      </c>
      <c r="E115" s="137">
        <v>1</v>
      </c>
      <c r="F115" s="137">
        <v>0</v>
      </c>
      <c r="G115" s="137">
        <v>2</v>
      </c>
      <c r="H115" s="137">
        <v>2</v>
      </c>
      <c r="J115" s="153">
        <v>315</v>
      </c>
      <c r="K115" s="137">
        <v>0</v>
      </c>
      <c r="L115" s="137">
        <v>0</v>
      </c>
      <c r="M115" s="137">
        <v>1</v>
      </c>
      <c r="N115" s="137">
        <v>1</v>
      </c>
      <c r="O115" s="137">
        <v>0</v>
      </c>
      <c r="P115" s="137">
        <v>2</v>
      </c>
      <c r="Q115" s="154">
        <v>2</v>
      </c>
    </row>
    <row r="116" spans="1:17" x14ac:dyDescent="0.25">
      <c r="A116" s="137">
        <v>316</v>
      </c>
      <c r="B116" s="137">
        <v>0</v>
      </c>
      <c r="C116" s="137">
        <v>1</v>
      </c>
      <c r="D116" s="137">
        <v>0</v>
      </c>
      <c r="E116" s="137">
        <v>0</v>
      </c>
      <c r="F116" s="137">
        <v>0</v>
      </c>
      <c r="G116" s="137">
        <v>1</v>
      </c>
      <c r="H116" s="137">
        <v>1</v>
      </c>
      <c r="J116" s="153">
        <v>316</v>
      </c>
      <c r="K116" s="137">
        <v>0</v>
      </c>
      <c r="L116" s="137">
        <v>1</v>
      </c>
      <c r="M116" s="137">
        <v>0</v>
      </c>
      <c r="N116" s="137">
        <v>0</v>
      </c>
      <c r="O116" s="137">
        <v>0</v>
      </c>
      <c r="P116" s="137">
        <v>1</v>
      </c>
      <c r="Q116" s="154">
        <v>1</v>
      </c>
    </row>
    <row r="117" spans="1:17" x14ac:dyDescent="0.25">
      <c r="A117" s="137">
        <v>317</v>
      </c>
      <c r="B117" s="137">
        <v>0</v>
      </c>
      <c r="C117" s="137">
        <v>0</v>
      </c>
      <c r="D117" s="137">
        <v>0</v>
      </c>
      <c r="E117" s="137">
        <v>2</v>
      </c>
      <c r="F117" s="137">
        <v>0</v>
      </c>
      <c r="G117" s="137">
        <v>2</v>
      </c>
      <c r="H117" s="137">
        <v>2</v>
      </c>
      <c r="J117" s="153">
        <v>317</v>
      </c>
      <c r="K117" s="137">
        <v>0</v>
      </c>
      <c r="L117" s="137">
        <v>0</v>
      </c>
      <c r="M117" s="137">
        <v>0</v>
      </c>
      <c r="N117" s="137">
        <v>2</v>
      </c>
      <c r="O117" s="137">
        <v>0</v>
      </c>
      <c r="P117" s="137">
        <v>2</v>
      </c>
      <c r="Q117" s="154">
        <v>2</v>
      </c>
    </row>
    <row r="118" spans="1:17" x14ac:dyDescent="0.25">
      <c r="A118" s="137">
        <v>318</v>
      </c>
      <c r="B118" s="137">
        <v>0</v>
      </c>
      <c r="C118" s="137">
        <v>0</v>
      </c>
      <c r="D118" s="137">
        <v>2</v>
      </c>
      <c r="E118" s="137">
        <v>0</v>
      </c>
      <c r="F118" s="137">
        <v>0</v>
      </c>
      <c r="G118" s="137">
        <v>3</v>
      </c>
      <c r="H118" s="137">
        <v>2</v>
      </c>
      <c r="J118" s="153">
        <v>318</v>
      </c>
      <c r="K118" s="137">
        <v>0</v>
      </c>
      <c r="L118" s="137">
        <v>0</v>
      </c>
      <c r="M118" s="137">
        <v>2</v>
      </c>
      <c r="N118" s="137">
        <v>0</v>
      </c>
      <c r="O118" s="137">
        <v>0</v>
      </c>
      <c r="P118" s="137">
        <v>3</v>
      </c>
      <c r="Q118" s="154">
        <f>SUM(K118:O118)</f>
        <v>2</v>
      </c>
    </row>
    <row r="119" spans="1:17" x14ac:dyDescent="0.25">
      <c r="A119" s="137">
        <v>321</v>
      </c>
      <c r="B119" s="137">
        <v>0</v>
      </c>
      <c r="C119" s="137">
        <v>2</v>
      </c>
      <c r="D119" s="137">
        <v>0</v>
      </c>
      <c r="E119" s="137">
        <v>0</v>
      </c>
      <c r="F119" s="137">
        <v>0</v>
      </c>
      <c r="G119" s="137">
        <v>2</v>
      </c>
      <c r="H119" s="137">
        <v>2</v>
      </c>
      <c r="J119" s="153">
        <v>321</v>
      </c>
      <c r="K119" s="137">
        <v>0</v>
      </c>
      <c r="L119" s="137">
        <v>2</v>
      </c>
      <c r="M119" s="137">
        <v>0</v>
      </c>
      <c r="N119" s="137">
        <v>0</v>
      </c>
      <c r="O119" s="137">
        <v>0</v>
      </c>
      <c r="P119" s="137">
        <v>2</v>
      </c>
      <c r="Q119" s="154">
        <v>2</v>
      </c>
    </row>
    <row r="120" spans="1:17" x14ac:dyDescent="0.25">
      <c r="A120" s="137">
        <v>322</v>
      </c>
      <c r="B120" s="137">
        <v>0</v>
      </c>
      <c r="C120" s="137">
        <v>1</v>
      </c>
      <c r="D120" s="137">
        <v>0</v>
      </c>
      <c r="E120" s="137">
        <v>0</v>
      </c>
      <c r="F120" s="137">
        <v>0</v>
      </c>
      <c r="G120" s="137">
        <v>1</v>
      </c>
      <c r="H120" s="137">
        <v>1</v>
      </c>
      <c r="J120" s="153">
        <v>322</v>
      </c>
      <c r="K120" s="137">
        <v>0</v>
      </c>
      <c r="L120" s="137">
        <v>1</v>
      </c>
      <c r="M120" s="137">
        <v>0</v>
      </c>
      <c r="N120" s="137">
        <v>0</v>
      </c>
      <c r="O120" s="137">
        <v>0</v>
      </c>
      <c r="P120" s="137">
        <v>1</v>
      </c>
      <c r="Q120" s="154">
        <v>1</v>
      </c>
    </row>
    <row r="121" spans="1:17" x14ac:dyDescent="0.25">
      <c r="A121" s="137">
        <v>324</v>
      </c>
      <c r="B121" s="137">
        <v>0</v>
      </c>
      <c r="C121" s="137">
        <v>0</v>
      </c>
      <c r="D121" s="137">
        <v>2</v>
      </c>
      <c r="E121" s="137">
        <v>0</v>
      </c>
      <c r="F121" s="137">
        <v>0</v>
      </c>
      <c r="G121" s="137">
        <v>2</v>
      </c>
      <c r="H121" s="137">
        <v>2</v>
      </c>
      <c r="J121" s="153">
        <v>324</v>
      </c>
      <c r="K121" s="137">
        <v>0</v>
      </c>
      <c r="L121" s="137">
        <v>0</v>
      </c>
      <c r="M121" s="137">
        <v>2</v>
      </c>
      <c r="N121" s="137">
        <v>0</v>
      </c>
      <c r="O121" s="137">
        <v>0</v>
      </c>
      <c r="P121" s="137">
        <v>2</v>
      </c>
      <c r="Q121" s="154">
        <v>2</v>
      </c>
    </row>
    <row r="122" spans="1:17" x14ac:dyDescent="0.25">
      <c r="A122" s="137">
        <v>325</v>
      </c>
      <c r="B122" s="137">
        <v>0</v>
      </c>
      <c r="C122" s="137">
        <v>0</v>
      </c>
      <c r="D122" s="137">
        <v>2</v>
      </c>
      <c r="E122" s="137">
        <v>0</v>
      </c>
      <c r="F122" s="137">
        <v>0</v>
      </c>
      <c r="G122" s="137">
        <v>2</v>
      </c>
      <c r="H122" s="137">
        <v>2</v>
      </c>
      <c r="J122" s="153">
        <v>325</v>
      </c>
      <c r="K122" s="137">
        <v>0</v>
      </c>
      <c r="L122" s="137">
        <v>0</v>
      </c>
      <c r="M122" s="137">
        <v>2</v>
      </c>
      <c r="N122" s="137">
        <v>0</v>
      </c>
      <c r="O122" s="137">
        <v>0</v>
      </c>
      <c r="P122" s="137">
        <v>2</v>
      </c>
      <c r="Q122" s="154">
        <v>2</v>
      </c>
    </row>
    <row r="123" spans="1:17" x14ac:dyDescent="0.25">
      <c r="A123" s="137">
        <v>326</v>
      </c>
      <c r="B123" s="137">
        <v>0</v>
      </c>
      <c r="C123" s="137">
        <v>0</v>
      </c>
      <c r="D123" s="137">
        <v>0</v>
      </c>
      <c r="E123" s="137">
        <v>0</v>
      </c>
      <c r="F123" s="137">
        <v>1</v>
      </c>
      <c r="G123" s="137">
        <v>0</v>
      </c>
      <c r="H123" s="137">
        <v>0</v>
      </c>
      <c r="J123" s="153">
        <v>326</v>
      </c>
      <c r="K123" s="137">
        <v>0</v>
      </c>
      <c r="L123" s="137">
        <v>0</v>
      </c>
      <c r="M123" s="137">
        <v>0</v>
      </c>
      <c r="N123" s="137">
        <v>0</v>
      </c>
      <c r="O123" s="137">
        <v>1</v>
      </c>
      <c r="P123" s="137">
        <v>0</v>
      </c>
      <c r="Q123" s="154">
        <v>0</v>
      </c>
    </row>
    <row r="124" spans="1:17" x14ac:dyDescent="0.25">
      <c r="A124" s="137">
        <v>327</v>
      </c>
      <c r="B124" s="137">
        <v>0</v>
      </c>
      <c r="C124" s="137">
        <v>0</v>
      </c>
      <c r="D124" s="137">
        <v>0</v>
      </c>
      <c r="E124" s="137">
        <v>0</v>
      </c>
      <c r="F124" s="137">
        <v>1</v>
      </c>
      <c r="G124" s="137">
        <v>0</v>
      </c>
      <c r="H124" s="137">
        <v>0</v>
      </c>
      <c r="J124" s="153">
        <v>327</v>
      </c>
      <c r="K124" s="137">
        <v>0</v>
      </c>
      <c r="L124" s="137">
        <v>0</v>
      </c>
      <c r="M124" s="137">
        <v>0</v>
      </c>
      <c r="N124" s="137">
        <v>0</v>
      </c>
      <c r="O124" s="137">
        <v>1</v>
      </c>
      <c r="P124" s="137">
        <v>0</v>
      </c>
      <c r="Q124" s="154">
        <v>0</v>
      </c>
    </row>
    <row r="125" spans="1:17" x14ac:dyDescent="0.25">
      <c r="A125" s="137">
        <v>328</v>
      </c>
      <c r="B125" s="137">
        <v>0</v>
      </c>
      <c r="C125" s="137">
        <v>0</v>
      </c>
      <c r="D125" s="137">
        <v>0</v>
      </c>
      <c r="E125" s="137">
        <v>0</v>
      </c>
      <c r="F125" s="137">
        <v>1</v>
      </c>
      <c r="G125" s="137">
        <v>0</v>
      </c>
      <c r="H125" s="137">
        <v>0</v>
      </c>
      <c r="J125" s="153">
        <v>328</v>
      </c>
      <c r="K125" s="137">
        <v>0</v>
      </c>
      <c r="L125" s="137">
        <v>0</v>
      </c>
      <c r="M125" s="137">
        <v>0</v>
      </c>
      <c r="N125" s="137">
        <v>0</v>
      </c>
      <c r="O125" s="137">
        <v>1</v>
      </c>
      <c r="P125" s="137">
        <v>0</v>
      </c>
      <c r="Q125" s="154">
        <v>0</v>
      </c>
    </row>
    <row r="126" spans="1:17" x14ac:dyDescent="0.25">
      <c r="A126" s="137">
        <v>329</v>
      </c>
      <c r="B126" s="137">
        <v>2</v>
      </c>
      <c r="C126" s="137">
        <v>0</v>
      </c>
      <c r="D126" s="137">
        <v>0</v>
      </c>
      <c r="E126" s="137">
        <v>0</v>
      </c>
      <c r="F126" s="137">
        <v>0</v>
      </c>
      <c r="G126" s="137">
        <v>2</v>
      </c>
      <c r="H126" s="137">
        <v>2</v>
      </c>
      <c r="J126" s="153">
        <v>329</v>
      </c>
      <c r="K126" s="137">
        <v>2</v>
      </c>
      <c r="L126" s="137">
        <v>0</v>
      </c>
      <c r="M126" s="137">
        <v>0</v>
      </c>
      <c r="N126" s="137">
        <v>0</v>
      </c>
      <c r="O126" s="137">
        <v>0</v>
      </c>
      <c r="P126" s="137">
        <v>2</v>
      </c>
      <c r="Q126" s="154">
        <v>2</v>
      </c>
    </row>
    <row r="127" spans="1:17" x14ac:dyDescent="0.25">
      <c r="A127" s="137">
        <v>330</v>
      </c>
      <c r="B127" s="137">
        <v>1</v>
      </c>
      <c r="C127" s="137">
        <v>0</v>
      </c>
      <c r="D127" s="137">
        <v>0</v>
      </c>
      <c r="E127" s="137">
        <v>0</v>
      </c>
      <c r="F127" s="137">
        <v>0</v>
      </c>
      <c r="G127" s="137">
        <v>1</v>
      </c>
      <c r="H127" s="137">
        <v>1</v>
      </c>
      <c r="J127" s="153">
        <v>330</v>
      </c>
      <c r="K127" s="137">
        <v>1</v>
      </c>
      <c r="L127" s="137">
        <v>0</v>
      </c>
      <c r="M127" s="137">
        <v>0</v>
      </c>
      <c r="N127" s="137">
        <v>0</v>
      </c>
      <c r="O127" s="137">
        <v>0</v>
      </c>
      <c r="P127" s="137">
        <v>1</v>
      </c>
      <c r="Q127" s="154">
        <v>1</v>
      </c>
    </row>
    <row r="128" spans="1:17" x14ac:dyDescent="0.25">
      <c r="A128" s="137">
        <v>333</v>
      </c>
      <c r="B128" s="137">
        <v>1</v>
      </c>
      <c r="C128" s="137">
        <v>0</v>
      </c>
      <c r="D128" s="137">
        <v>0</v>
      </c>
      <c r="E128" s="137">
        <v>0</v>
      </c>
      <c r="F128" s="137">
        <v>0</v>
      </c>
      <c r="G128" s="137">
        <v>1</v>
      </c>
      <c r="H128" s="137">
        <v>1</v>
      </c>
      <c r="J128" s="153">
        <v>333</v>
      </c>
      <c r="K128" s="137">
        <v>1</v>
      </c>
      <c r="L128" s="137">
        <v>0</v>
      </c>
      <c r="M128" s="137">
        <v>0</v>
      </c>
      <c r="N128" s="137">
        <v>0</v>
      </c>
      <c r="O128" s="137">
        <v>0</v>
      </c>
      <c r="P128" s="137">
        <v>1</v>
      </c>
      <c r="Q128" s="154">
        <v>1</v>
      </c>
    </row>
    <row r="129" spans="1:17" x14ac:dyDescent="0.25">
      <c r="A129" s="137">
        <v>335</v>
      </c>
      <c r="B129" s="137">
        <v>0</v>
      </c>
      <c r="C129" s="137">
        <v>0</v>
      </c>
      <c r="D129" s="137">
        <v>0</v>
      </c>
      <c r="E129" s="137">
        <v>0</v>
      </c>
      <c r="F129" s="137">
        <v>1</v>
      </c>
      <c r="G129" s="137">
        <v>0</v>
      </c>
      <c r="H129" s="137">
        <v>0</v>
      </c>
      <c r="J129" s="153">
        <v>335</v>
      </c>
      <c r="K129" s="137">
        <v>0</v>
      </c>
      <c r="L129" s="137">
        <v>0</v>
      </c>
      <c r="M129" s="137">
        <v>0</v>
      </c>
      <c r="N129" s="137">
        <v>0</v>
      </c>
      <c r="O129" s="137">
        <v>1</v>
      </c>
      <c r="P129" s="137">
        <v>0</v>
      </c>
      <c r="Q129" s="154">
        <v>0</v>
      </c>
    </row>
    <row r="130" spans="1:17" x14ac:dyDescent="0.25">
      <c r="A130" s="137">
        <v>336</v>
      </c>
      <c r="B130" s="137">
        <v>0</v>
      </c>
      <c r="C130" s="137">
        <v>0</v>
      </c>
      <c r="D130" s="137">
        <v>0</v>
      </c>
      <c r="E130" s="137">
        <v>0</v>
      </c>
      <c r="F130" s="137">
        <v>1</v>
      </c>
      <c r="G130" s="137">
        <v>0</v>
      </c>
      <c r="H130" s="137">
        <v>0</v>
      </c>
      <c r="J130" s="153">
        <v>336</v>
      </c>
      <c r="K130" s="137">
        <v>0</v>
      </c>
      <c r="L130" s="137">
        <v>0</v>
      </c>
      <c r="M130" s="137">
        <v>0</v>
      </c>
      <c r="N130" s="137">
        <v>0</v>
      </c>
      <c r="O130" s="137">
        <v>1</v>
      </c>
      <c r="P130" s="137">
        <v>0</v>
      </c>
      <c r="Q130" s="154">
        <v>0</v>
      </c>
    </row>
    <row r="131" spans="1:17" x14ac:dyDescent="0.25">
      <c r="A131" s="137">
        <v>337</v>
      </c>
      <c r="B131" s="137">
        <v>0</v>
      </c>
      <c r="C131" s="137">
        <v>0</v>
      </c>
      <c r="D131" s="137">
        <v>0</v>
      </c>
      <c r="E131" s="137">
        <v>0</v>
      </c>
      <c r="F131" s="137">
        <v>1</v>
      </c>
      <c r="G131" s="137">
        <v>0</v>
      </c>
      <c r="H131" s="137">
        <v>0</v>
      </c>
      <c r="J131" s="153">
        <v>337</v>
      </c>
      <c r="K131" s="137">
        <v>0</v>
      </c>
      <c r="L131" s="137">
        <v>0</v>
      </c>
      <c r="M131" s="137">
        <v>0</v>
      </c>
      <c r="N131" s="137">
        <v>0</v>
      </c>
      <c r="O131" s="137">
        <v>1</v>
      </c>
      <c r="P131" s="137">
        <v>0</v>
      </c>
      <c r="Q131" s="154">
        <v>0</v>
      </c>
    </row>
    <row r="132" spans="1:17" x14ac:dyDescent="0.25">
      <c r="A132" s="137">
        <v>338</v>
      </c>
      <c r="B132" s="137">
        <v>1</v>
      </c>
      <c r="C132" s="137">
        <v>0</v>
      </c>
      <c r="D132" s="137">
        <v>0</v>
      </c>
      <c r="E132" s="137">
        <v>0</v>
      </c>
      <c r="F132" s="137">
        <v>0</v>
      </c>
      <c r="G132" s="137">
        <v>1</v>
      </c>
      <c r="H132" s="137">
        <v>1</v>
      </c>
      <c r="J132" s="153">
        <v>338</v>
      </c>
      <c r="K132" s="137">
        <v>1</v>
      </c>
      <c r="L132" s="137">
        <v>0</v>
      </c>
      <c r="M132" s="137">
        <v>0</v>
      </c>
      <c r="N132" s="137">
        <v>0</v>
      </c>
      <c r="O132" s="137">
        <v>0</v>
      </c>
      <c r="P132" s="137">
        <v>1</v>
      </c>
      <c r="Q132" s="154">
        <v>1</v>
      </c>
    </row>
    <row r="133" spans="1:17" x14ac:dyDescent="0.25">
      <c r="A133" s="137">
        <v>339</v>
      </c>
      <c r="B133" s="137">
        <v>0</v>
      </c>
      <c r="C133" s="137">
        <v>0</v>
      </c>
      <c r="D133" s="137">
        <v>0</v>
      </c>
      <c r="E133" s="137">
        <v>1</v>
      </c>
      <c r="F133" s="137">
        <v>0</v>
      </c>
      <c r="G133" s="137">
        <v>1</v>
      </c>
      <c r="H133" s="137">
        <v>1</v>
      </c>
      <c r="J133" s="153">
        <v>339</v>
      </c>
      <c r="K133" s="137">
        <v>0</v>
      </c>
      <c r="L133" s="137">
        <v>0</v>
      </c>
      <c r="M133" s="137">
        <v>0</v>
      </c>
      <c r="N133" s="137">
        <v>1</v>
      </c>
      <c r="O133" s="137">
        <v>0</v>
      </c>
      <c r="P133" s="137">
        <v>1</v>
      </c>
      <c r="Q133" s="154">
        <v>1</v>
      </c>
    </row>
    <row r="134" spans="1:17" x14ac:dyDescent="0.25">
      <c r="A134" s="137">
        <v>341</v>
      </c>
      <c r="B134" s="137">
        <v>0</v>
      </c>
      <c r="C134" s="137">
        <v>0</v>
      </c>
      <c r="D134" s="137">
        <v>0</v>
      </c>
      <c r="E134" s="137">
        <v>0</v>
      </c>
      <c r="F134" s="137">
        <v>1</v>
      </c>
      <c r="G134" s="137">
        <v>0</v>
      </c>
      <c r="H134" s="137">
        <v>0</v>
      </c>
      <c r="J134" s="153">
        <v>341</v>
      </c>
      <c r="K134" s="137">
        <v>0</v>
      </c>
      <c r="L134" s="137">
        <v>0</v>
      </c>
      <c r="M134" s="137">
        <v>0</v>
      </c>
      <c r="N134" s="137">
        <v>0</v>
      </c>
      <c r="O134" s="137">
        <v>1</v>
      </c>
      <c r="P134" s="137">
        <v>0</v>
      </c>
      <c r="Q134" s="154">
        <v>0</v>
      </c>
    </row>
    <row r="135" spans="1:17" x14ac:dyDescent="0.25">
      <c r="A135" s="137">
        <v>343</v>
      </c>
      <c r="B135" s="137">
        <v>2</v>
      </c>
      <c r="C135" s="137">
        <v>0</v>
      </c>
      <c r="D135" s="137">
        <v>0</v>
      </c>
      <c r="E135" s="137">
        <v>0</v>
      </c>
      <c r="F135" s="137">
        <v>0</v>
      </c>
      <c r="G135" s="137">
        <v>2</v>
      </c>
      <c r="H135" s="137">
        <v>2</v>
      </c>
      <c r="J135" s="153">
        <v>343</v>
      </c>
      <c r="K135" s="137">
        <v>2</v>
      </c>
      <c r="L135" s="137">
        <v>0</v>
      </c>
      <c r="M135" s="137">
        <v>0</v>
      </c>
      <c r="N135" s="137">
        <v>0</v>
      </c>
      <c r="O135" s="137">
        <v>0</v>
      </c>
      <c r="P135" s="137">
        <v>2</v>
      </c>
      <c r="Q135" s="154">
        <v>2</v>
      </c>
    </row>
    <row r="136" spans="1:17" x14ac:dyDescent="0.25">
      <c r="A136" s="137">
        <v>344</v>
      </c>
      <c r="B136" s="137">
        <v>1</v>
      </c>
      <c r="C136" s="137">
        <v>0</v>
      </c>
      <c r="D136" s="137">
        <v>0</v>
      </c>
      <c r="E136" s="137">
        <v>0</v>
      </c>
      <c r="F136" s="137">
        <v>0</v>
      </c>
      <c r="G136" s="137">
        <v>1</v>
      </c>
      <c r="H136" s="137">
        <v>1</v>
      </c>
      <c r="J136" s="153">
        <v>344</v>
      </c>
      <c r="K136" s="137">
        <v>1</v>
      </c>
      <c r="L136" s="137">
        <v>0</v>
      </c>
      <c r="M136" s="137">
        <v>0</v>
      </c>
      <c r="N136" s="137">
        <v>0</v>
      </c>
      <c r="O136" s="137">
        <v>0</v>
      </c>
      <c r="P136" s="137">
        <v>1</v>
      </c>
      <c r="Q136" s="154">
        <v>1</v>
      </c>
    </row>
    <row r="137" spans="1:17" x14ac:dyDescent="0.25">
      <c r="A137" s="137">
        <v>346</v>
      </c>
      <c r="B137" s="137">
        <v>0</v>
      </c>
      <c r="C137" s="137">
        <v>0</v>
      </c>
      <c r="D137" s="137">
        <v>1</v>
      </c>
      <c r="E137" s="137">
        <v>0</v>
      </c>
      <c r="F137" s="137">
        <v>0</v>
      </c>
      <c r="G137" s="137">
        <v>1</v>
      </c>
      <c r="H137" s="137">
        <v>1</v>
      </c>
      <c r="J137" s="153">
        <v>346</v>
      </c>
      <c r="K137" s="137">
        <v>0</v>
      </c>
      <c r="L137" s="137">
        <v>0</v>
      </c>
      <c r="M137" s="137">
        <v>1</v>
      </c>
      <c r="N137" s="137">
        <v>0</v>
      </c>
      <c r="O137" s="137">
        <v>0</v>
      </c>
      <c r="P137" s="137">
        <v>1</v>
      </c>
      <c r="Q137" s="154">
        <v>1</v>
      </c>
    </row>
    <row r="138" spans="1:17" x14ac:dyDescent="0.25">
      <c r="A138" s="137">
        <v>347</v>
      </c>
      <c r="B138" s="137">
        <v>0</v>
      </c>
      <c r="C138" s="137">
        <v>2</v>
      </c>
      <c r="D138" s="137">
        <v>0</v>
      </c>
      <c r="E138" s="137">
        <v>0</v>
      </c>
      <c r="F138" s="137">
        <v>0</v>
      </c>
      <c r="G138" s="137">
        <v>2</v>
      </c>
      <c r="H138" s="137">
        <v>2</v>
      </c>
      <c r="J138" s="153">
        <v>347</v>
      </c>
      <c r="K138" s="137">
        <v>0</v>
      </c>
      <c r="L138" s="137">
        <v>2</v>
      </c>
      <c r="M138" s="137">
        <v>0</v>
      </c>
      <c r="N138" s="137">
        <v>0</v>
      </c>
      <c r="O138" s="137">
        <v>0</v>
      </c>
      <c r="P138" s="137">
        <v>2</v>
      </c>
      <c r="Q138" s="154">
        <v>2</v>
      </c>
    </row>
    <row r="139" spans="1:17" x14ac:dyDescent="0.25">
      <c r="A139" s="137">
        <v>348</v>
      </c>
      <c r="B139" s="137">
        <v>0</v>
      </c>
      <c r="C139" s="137">
        <v>1</v>
      </c>
      <c r="D139" s="137">
        <v>0</v>
      </c>
      <c r="E139" s="137">
        <v>0</v>
      </c>
      <c r="F139" s="137">
        <v>0</v>
      </c>
      <c r="G139" s="137">
        <v>1</v>
      </c>
      <c r="H139" s="137">
        <v>1</v>
      </c>
      <c r="J139" s="153">
        <v>348</v>
      </c>
      <c r="K139" s="137">
        <v>0</v>
      </c>
      <c r="L139" s="137">
        <v>1</v>
      </c>
      <c r="M139" s="137">
        <v>0</v>
      </c>
      <c r="N139" s="137">
        <v>0</v>
      </c>
      <c r="O139" s="137">
        <v>0</v>
      </c>
      <c r="P139" s="137">
        <v>1</v>
      </c>
      <c r="Q139" s="154">
        <v>1</v>
      </c>
    </row>
    <row r="140" spans="1:17" x14ac:dyDescent="0.25">
      <c r="A140" s="137">
        <v>351</v>
      </c>
      <c r="B140" s="137">
        <v>0</v>
      </c>
      <c r="C140" s="137">
        <v>2</v>
      </c>
      <c r="D140" s="137">
        <v>0</v>
      </c>
      <c r="E140" s="137">
        <v>0</v>
      </c>
      <c r="F140" s="137">
        <v>0</v>
      </c>
      <c r="G140" s="137">
        <v>2</v>
      </c>
      <c r="H140" s="137">
        <v>2</v>
      </c>
      <c r="J140" s="153">
        <v>351</v>
      </c>
      <c r="K140" s="137">
        <v>0</v>
      </c>
      <c r="L140" s="137">
        <v>2</v>
      </c>
      <c r="M140" s="137">
        <v>0</v>
      </c>
      <c r="N140" s="137">
        <v>0</v>
      </c>
      <c r="O140" s="137">
        <v>0</v>
      </c>
      <c r="P140" s="137">
        <v>2</v>
      </c>
      <c r="Q140" s="154">
        <v>2</v>
      </c>
    </row>
    <row r="141" spans="1:17" x14ac:dyDescent="0.25">
      <c r="A141" s="137">
        <v>352</v>
      </c>
      <c r="B141" s="137">
        <v>0</v>
      </c>
      <c r="C141" s="137">
        <v>0</v>
      </c>
      <c r="D141" s="137">
        <v>0</v>
      </c>
      <c r="E141" s="137">
        <v>0</v>
      </c>
      <c r="F141" s="137">
        <v>1</v>
      </c>
      <c r="G141" s="137">
        <v>0</v>
      </c>
      <c r="H141" s="137">
        <v>0</v>
      </c>
      <c r="J141" s="153">
        <v>352</v>
      </c>
      <c r="K141" s="137">
        <v>0</v>
      </c>
      <c r="L141" s="137">
        <v>0</v>
      </c>
      <c r="M141" s="137">
        <v>0</v>
      </c>
      <c r="N141" s="137">
        <v>0</v>
      </c>
      <c r="O141" s="137">
        <v>1</v>
      </c>
      <c r="P141" s="137">
        <v>0</v>
      </c>
      <c r="Q141" s="154">
        <v>0</v>
      </c>
    </row>
    <row r="142" spans="1:17" x14ac:dyDescent="0.25">
      <c r="A142" s="137">
        <v>353</v>
      </c>
      <c r="B142" s="137">
        <v>0</v>
      </c>
      <c r="C142" s="137">
        <v>0</v>
      </c>
      <c r="D142" s="137">
        <v>0</v>
      </c>
      <c r="E142" s="137">
        <v>1</v>
      </c>
      <c r="F142" s="137">
        <v>0</v>
      </c>
      <c r="G142" s="137">
        <v>1</v>
      </c>
      <c r="H142" s="137">
        <v>1</v>
      </c>
      <c r="J142" s="153">
        <v>353</v>
      </c>
      <c r="K142" s="137">
        <v>0</v>
      </c>
      <c r="L142" s="137">
        <v>0</v>
      </c>
      <c r="M142" s="137">
        <v>0</v>
      </c>
      <c r="N142" s="137">
        <v>1</v>
      </c>
      <c r="O142" s="137">
        <v>0</v>
      </c>
      <c r="P142" s="137">
        <v>1</v>
      </c>
      <c r="Q142" s="154">
        <v>1</v>
      </c>
    </row>
    <row r="143" spans="1:17" x14ac:dyDescent="0.25">
      <c r="A143" s="137">
        <v>354</v>
      </c>
      <c r="B143" s="137">
        <v>0</v>
      </c>
      <c r="C143" s="137">
        <v>0</v>
      </c>
      <c r="D143" s="137">
        <v>2</v>
      </c>
      <c r="E143" s="137">
        <v>0</v>
      </c>
      <c r="F143" s="137">
        <v>0</v>
      </c>
      <c r="G143" s="137">
        <v>2</v>
      </c>
      <c r="H143" s="137">
        <v>2</v>
      </c>
      <c r="J143" s="153">
        <v>354</v>
      </c>
      <c r="K143" s="137">
        <v>0</v>
      </c>
      <c r="L143" s="137">
        <v>0</v>
      </c>
      <c r="M143" s="137">
        <v>2</v>
      </c>
      <c r="N143" s="137">
        <v>0</v>
      </c>
      <c r="O143" s="137">
        <v>0</v>
      </c>
      <c r="P143" s="137">
        <v>2</v>
      </c>
      <c r="Q143" s="154">
        <v>2</v>
      </c>
    </row>
    <row r="144" spans="1:17" x14ac:dyDescent="0.25">
      <c r="A144" s="137">
        <v>355</v>
      </c>
      <c r="B144" s="137">
        <v>0</v>
      </c>
      <c r="C144" s="137">
        <v>0</v>
      </c>
      <c r="D144" s="137">
        <v>0</v>
      </c>
      <c r="E144" s="137">
        <v>0</v>
      </c>
      <c r="F144" s="137">
        <v>1</v>
      </c>
      <c r="G144" s="137">
        <v>0</v>
      </c>
      <c r="H144" s="137">
        <v>0</v>
      </c>
      <c r="J144" s="153">
        <v>355</v>
      </c>
      <c r="K144" s="137">
        <v>0</v>
      </c>
      <c r="L144" s="137">
        <v>0</v>
      </c>
      <c r="M144" s="137">
        <v>0</v>
      </c>
      <c r="N144" s="137">
        <v>0</v>
      </c>
      <c r="O144" s="137">
        <v>1</v>
      </c>
      <c r="P144" s="137">
        <v>0</v>
      </c>
      <c r="Q144" s="154">
        <v>0</v>
      </c>
    </row>
    <row r="145" spans="1:17" x14ac:dyDescent="0.25">
      <c r="A145" s="137">
        <v>356</v>
      </c>
      <c r="B145" s="137">
        <v>0</v>
      </c>
      <c r="C145" s="137">
        <v>0</v>
      </c>
      <c r="D145" s="137">
        <v>0</v>
      </c>
      <c r="E145" s="137">
        <v>0</v>
      </c>
      <c r="F145" s="137">
        <v>1</v>
      </c>
      <c r="G145" s="137">
        <v>0</v>
      </c>
      <c r="H145" s="137">
        <v>0</v>
      </c>
      <c r="J145" s="153">
        <v>356</v>
      </c>
      <c r="K145" s="137">
        <v>0</v>
      </c>
      <c r="L145" s="137">
        <v>0</v>
      </c>
      <c r="M145" s="137">
        <v>0</v>
      </c>
      <c r="N145" s="137">
        <v>0</v>
      </c>
      <c r="O145" s="137">
        <v>1</v>
      </c>
      <c r="P145" s="137">
        <v>0</v>
      </c>
      <c r="Q145" s="154">
        <v>0</v>
      </c>
    </row>
    <row r="146" spans="1:17" x14ac:dyDescent="0.25">
      <c r="A146" s="137">
        <v>357</v>
      </c>
      <c r="B146" s="137">
        <v>0</v>
      </c>
      <c r="C146" s="137">
        <v>1</v>
      </c>
      <c r="D146" s="137">
        <v>0</v>
      </c>
      <c r="E146" s="137">
        <v>0</v>
      </c>
      <c r="F146" s="137">
        <v>0</v>
      </c>
      <c r="G146" s="137">
        <v>1</v>
      </c>
      <c r="H146" s="137">
        <v>1</v>
      </c>
      <c r="J146" s="153">
        <v>357</v>
      </c>
      <c r="K146" s="137">
        <v>0</v>
      </c>
      <c r="L146" s="137">
        <v>1</v>
      </c>
      <c r="M146" s="137">
        <v>0</v>
      </c>
      <c r="N146" s="137">
        <v>0</v>
      </c>
      <c r="O146" s="137">
        <v>0</v>
      </c>
      <c r="P146" s="137">
        <v>1</v>
      </c>
      <c r="Q146" s="154">
        <v>1</v>
      </c>
    </row>
    <row r="147" spans="1:17" x14ac:dyDescent="0.25">
      <c r="A147" s="137">
        <v>361</v>
      </c>
      <c r="B147" s="137">
        <v>0</v>
      </c>
      <c r="C147" s="137">
        <v>0</v>
      </c>
      <c r="D147" s="137">
        <v>0</v>
      </c>
      <c r="E147" s="137">
        <v>1</v>
      </c>
      <c r="F147" s="137">
        <v>0</v>
      </c>
      <c r="G147" s="137">
        <v>1</v>
      </c>
      <c r="H147" s="137">
        <v>1</v>
      </c>
      <c r="J147" s="153">
        <v>361</v>
      </c>
      <c r="K147" s="137">
        <v>0</v>
      </c>
      <c r="L147" s="137">
        <v>0</v>
      </c>
      <c r="M147" s="137">
        <v>0</v>
      </c>
      <c r="N147" s="137">
        <v>1</v>
      </c>
      <c r="O147" s="137">
        <v>0</v>
      </c>
      <c r="P147" s="137">
        <v>1</v>
      </c>
      <c r="Q147" s="154">
        <v>1</v>
      </c>
    </row>
    <row r="148" spans="1:17" x14ac:dyDescent="0.25">
      <c r="A148" s="137">
        <v>362</v>
      </c>
      <c r="B148" s="137">
        <v>0</v>
      </c>
      <c r="C148" s="137">
        <v>0</v>
      </c>
      <c r="D148" s="137">
        <v>0</v>
      </c>
      <c r="E148" s="137">
        <v>0</v>
      </c>
      <c r="F148" s="137">
        <v>1</v>
      </c>
      <c r="G148" s="137">
        <v>0</v>
      </c>
      <c r="H148" s="137">
        <v>0</v>
      </c>
      <c r="J148" s="153">
        <v>362</v>
      </c>
      <c r="K148" s="137">
        <v>0</v>
      </c>
      <c r="L148" s="137">
        <v>0</v>
      </c>
      <c r="M148" s="137">
        <v>0</v>
      </c>
      <c r="N148" s="137">
        <v>0</v>
      </c>
      <c r="O148" s="137">
        <v>1</v>
      </c>
      <c r="P148" s="137">
        <v>0</v>
      </c>
      <c r="Q148" s="154">
        <v>0</v>
      </c>
    </row>
    <row r="149" spans="1:17" x14ac:dyDescent="0.25">
      <c r="A149" s="137">
        <v>363</v>
      </c>
      <c r="B149" s="137">
        <v>0</v>
      </c>
      <c r="C149" s="137">
        <v>0</v>
      </c>
      <c r="D149" s="137">
        <v>0</v>
      </c>
      <c r="E149" s="137">
        <v>0</v>
      </c>
      <c r="F149" s="137">
        <v>1</v>
      </c>
      <c r="G149" s="137">
        <v>0</v>
      </c>
      <c r="H149" s="137">
        <v>0</v>
      </c>
      <c r="J149" s="153">
        <v>363</v>
      </c>
      <c r="K149" s="137">
        <v>0</v>
      </c>
      <c r="L149" s="137">
        <v>0</v>
      </c>
      <c r="M149" s="137">
        <v>0</v>
      </c>
      <c r="N149" s="137">
        <v>0</v>
      </c>
      <c r="O149" s="137">
        <v>1</v>
      </c>
      <c r="P149" s="137">
        <v>0</v>
      </c>
      <c r="Q149" s="154">
        <v>0</v>
      </c>
    </row>
    <row r="150" spans="1:17" x14ac:dyDescent="0.25">
      <c r="A150" s="137">
        <v>364</v>
      </c>
      <c r="B150" s="137">
        <v>0</v>
      </c>
      <c r="C150" s="137">
        <v>0</v>
      </c>
      <c r="D150" s="137">
        <v>0</v>
      </c>
      <c r="E150" s="137">
        <v>1</v>
      </c>
      <c r="F150" s="137">
        <v>0</v>
      </c>
      <c r="G150" s="137">
        <v>1</v>
      </c>
      <c r="H150" s="137">
        <v>1</v>
      </c>
      <c r="J150" s="153">
        <v>364</v>
      </c>
      <c r="K150" s="137">
        <v>0</v>
      </c>
      <c r="L150" s="137">
        <v>0</v>
      </c>
      <c r="M150" s="137">
        <v>0</v>
      </c>
      <c r="N150" s="137">
        <v>1</v>
      </c>
      <c r="O150" s="137">
        <v>0</v>
      </c>
      <c r="P150" s="137">
        <v>1</v>
      </c>
      <c r="Q150" s="154">
        <v>1</v>
      </c>
    </row>
    <row r="151" spans="1:17" x14ac:dyDescent="0.25">
      <c r="A151" s="137">
        <v>365</v>
      </c>
      <c r="B151" s="137">
        <v>0</v>
      </c>
      <c r="C151" s="137">
        <v>1</v>
      </c>
      <c r="D151" s="137">
        <v>0</v>
      </c>
      <c r="E151" s="137">
        <v>0</v>
      </c>
      <c r="F151" s="137">
        <v>0</v>
      </c>
      <c r="G151" s="137">
        <v>1</v>
      </c>
      <c r="H151" s="137">
        <v>1</v>
      </c>
      <c r="J151" s="153">
        <v>365</v>
      </c>
      <c r="K151" s="137">
        <v>0</v>
      </c>
      <c r="L151" s="137">
        <v>1</v>
      </c>
      <c r="M151" s="137">
        <v>0</v>
      </c>
      <c r="N151" s="137">
        <v>0</v>
      </c>
      <c r="O151" s="137">
        <v>0</v>
      </c>
      <c r="P151" s="137">
        <v>1</v>
      </c>
      <c r="Q151" s="154">
        <v>1</v>
      </c>
    </row>
    <row r="152" spans="1:17" x14ac:dyDescent="0.25">
      <c r="A152" s="137">
        <v>366</v>
      </c>
      <c r="B152" s="137">
        <v>0</v>
      </c>
      <c r="C152" s="137">
        <v>0</v>
      </c>
      <c r="D152" s="137">
        <v>0</v>
      </c>
      <c r="E152" s="137">
        <v>1</v>
      </c>
      <c r="F152" s="137">
        <v>0</v>
      </c>
      <c r="G152" s="137">
        <v>1</v>
      </c>
      <c r="H152" s="137">
        <v>1</v>
      </c>
      <c r="J152" s="153">
        <v>366</v>
      </c>
      <c r="K152" s="137">
        <v>0</v>
      </c>
      <c r="L152" s="137">
        <v>0</v>
      </c>
      <c r="M152" s="137">
        <v>0</v>
      </c>
      <c r="N152" s="137">
        <v>1</v>
      </c>
      <c r="O152" s="137">
        <v>0</v>
      </c>
      <c r="P152" s="137">
        <v>1</v>
      </c>
      <c r="Q152" s="154">
        <v>1</v>
      </c>
    </row>
    <row r="153" spans="1:17" x14ac:dyDescent="0.25">
      <c r="A153" s="137">
        <v>367</v>
      </c>
      <c r="B153" s="137">
        <v>0</v>
      </c>
      <c r="C153" s="137">
        <v>1</v>
      </c>
      <c r="D153" s="137">
        <v>0</v>
      </c>
      <c r="E153" s="137">
        <v>0</v>
      </c>
      <c r="F153" s="137">
        <v>0</v>
      </c>
      <c r="G153" s="137">
        <v>1</v>
      </c>
      <c r="H153" s="137">
        <v>1</v>
      </c>
      <c r="J153" s="153">
        <v>367</v>
      </c>
      <c r="K153" s="137">
        <v>0</v>
      </c>
      <c r="L153" s="137">
        <v>1</v>
      </c>
      <c r="M153" s="137">
        <v>0</v>
      </c>
      <c r="N153" s="137">
        <v>0</v>
      </c>
      <c r="O153" s="137">
        <v>0</v>
      </c>
      <c r="P153" s="137">
        <v>1</v>
      </c>
      <c r="Q153" s="154">
        <v>1</v>
      </c>
    </row>
    <row r="154" spans="1:17" x14ac:dyDescent="0.25">
      <c r="A154" s="137">
        <v>368</v>
      </c>
      <c r="B154" s="137">
        <v>0</v>
      </c>
      <c r="C154" s="137">
        <v>1</v>
      </c>
      <c r="D154" s="137">
        <v>0</v>
      </c>
      <c r="E154" s="137">
        <v>0</v>
      </c>
      <c r="F154" s="137">
        <v>0</v>
      </c>
      <c r="G154" s="137">
        <v>1</v>
      </c>
      <c r="H154" s="137">
        <v>1</v>
      </c>
      <c r="J154" s="153">
        <v>368</v>
      </c>
      <c r="K154" s="137">
        <v>0</v>
      </c>
      <c r="L154" s="137">
        <v>1</v>
      </c>
      <c r="M154" s="137">
        <v>0</v>
      </c>
      <c r="N154" s="137">
        <v>0</v>
      </c>
      <c r="O154" s="137">
        <v>0</v>
      </c>
      <c r="P154" s="137">
        <v>1</v>
      </c>
      <c r="Q154" s="154">
        <v>1</v>
      </c>
    </row>
    <row r="155" spans="1:17" x14ac:dyDescent="0.25">
      <c r="A155" s="137">
        <v>369</v>
      </c>
      <c r="B155" s="137">
        <v>0</v>
      </c>
      <c r="C155" s="137">
        <v>2</v>
      </c>
      <c r="D155" s="137">
        <v>0</v>
      </c>
      <c r="E155" s="137">
        <v>0</v>
      </c>
      <c r="F155" s="137">
        <v>0</v>
      </c>
      <c r="G155" s="137">
        <v>2</v>
      </c>
      <c r="H155" s="137">
        <v>2</v>
      </c>
      <c r="J155" s="153">
        <v>369</v>
      </c>
      <c r="K155" s="137">
        <v>0</v>
      </c>
      <c r="L155" s="137">
        <v>2</v>
      </c>
      <c r="M155" s="137">
        <v>0</v>
      </c>
      <c r="N155" s="137">
        <v>0</v>
      </c>
      <c r="O155" s="137">
        <v>0</v>
      </c>
      <c r="P155" s="137">
        <v>2</v>
      </c>
      <c r="Q155" s="154">
        <v>2</v>
      </c>
    </row>
    <row r="156" spans="1:17" x14ac:dyDescent="0.25">
      <c r="A156" s="137">
        <v>375</v>
      </c>
      <c r="B156" s="137">
        <v>0</v>
      </c>
      <c r="C156" s="137">
        <v>1</v>
      </c>
      <c r="D156" s="137">
        <v>0</v>
      </c>
      <c r="E156" s="137">
        <v>0</v>
      </c>
      <c r="F156" s="137">
        <v>0</v>
      </c>
      <c r="G156" s="137">
        <v>1</v>
      </c>
      <c r="H156" s="137">
        <v>1</v>
      </c>
      <c r="J156" s="153">
        <v>375</v>
      </c>
      <c r="K156" s="137">
        <v>0</v>
      </c>
      <c r="L156" s="137">
        <v>1</v>
      </c>
      <c r="M156" s="137">
        <v>0</v>
      </c>
      <c r="N156" s="137">
        <v>0</v>
      </c>
      <c r="O156" s="137">
        <v>0</v>
      </c>
      <c r="P156" s="137">
        <v>1</v>
      </c>
      <c r="Q156" s="154">
        <v>1</v>
      </c>
    </row>
    <row r="157" spans="1:17" x14ac:dyDescent="0.25">
      <c r="A157" s="137">
        <v>386</v>
      </c>
      <c r="B157" s="137">
        <v>0</v>
      </c>
      <c r="C157" s="137">
        <v>0</v>
      </c>
      <c r="D157" s="137">
        <v>2</v>
      </c>
      <c r="E157" s="137">
        <v>0</v>
      </c>
      <c r="F157" s="137">
        <v>0</v>
      </c>
      <c r="G157" s="137">
        <v>3</v>
      </c>
      <c r="H157" s="137">
        <v>2</v>
      </c>
      <c r="J157" s="153">
        <v>386</v>
      </c>
      <c r="K157" s="137">
        <v>0</v>
      </c>
      <c r="L157" s="137">
        <v>0</v>
      </c>
      <c r="M157" s="137">
        <v>2</v>
      </c>
      <c r="N157" s="137">
        <v>0</v>
      </c>
      <c r="O157" s="137">
        <v>0</v>
      </c>
      <c r="P157" s="137">
        <v>3</v>
      </c>
      <c r="Q157" s="154">
        <f>SUM(K157:O157)</f>
        <v>2</v>
      </c>
    </row>
    <row r="158" spans="1:17" x14ac:dyDescent="0.25">
      <c r="A158" s="137">
        <v>387</v>
      </c>
      <c r="B158" s="137">
        <v>0</v>
      </c>
      <c r="C158" s="137">
        <v>0</v>
      </c>
      <c r="D158" s="137">
        <v>2</v>
      </c>
      <c r="E158" s="137">
        <v>0</v>
      </c>
      <c r="F158" s="137">
        <v>0</v>
      </c>
      <c r="G158" s="137">
        <v>2</v>
      </c>
      <c r="H158" s="137">
        <v>2</v>
      </c>
      <c r="J158" s="153">
        <v>387</v>
      </c>
      <c r="K158" s="137">
        <v>0</v>
      </c>
      <c r="L158" s="137">
        <v>0</v>
      </c>
      <c r="M158" s="137">
        <v>2</v>
      </c>
      <c r="N158" s="137">
        <v>0</v>
      </c>
      <c r="O158" s="137">
        <v>0</v>
      </c>
      <c r="P158" s="137">
        <v>2</v>
      </c>
      <c r="Q158" s="154">
        <v>2</v>
      </c>
    </row>
    <row r="159" spans="1:17" x14ac:dyDescent="0.25">
      <c r="A159" s="137">
        <v>388</v>
      </c>
      <c r="B159" s="137">
        <v>0</v>
      </c>
      <c r="C159" s="137">
        <v>0</v>
      </c>
      <c r="D159" s="137">
        <v>0</v>
      </c>
      <c r="E159" s="137">
        <v>0</v>
      </c>
      <c r="F159" s="137">
        <v>1</v>
      </c>
      <c r="G159" s="137">
        <v>0</v>
      </c>
      <c r="H159" s="137">
        <v>0</v>
      </c>
      <c r="J159" s="153">
        <v>388</v>
      </c>
      <c r="K159" s="137">
        <v>0</v>
      </c>
      <c r="L159" s="137">
        <v>0</v>
      </c>
      <c r="M159" s="137">
        <v>0</v>
      </c>
      <c r="N159" s="137">
        <v>0</v>
      </c>
      <c r="O159" s="137">
        <v>1</v>
      </c>
      <c r="P159" s="137">
        <v>0</v>
      </c>
      <c r="Q159" s="154">
        <v>0</v>
      </c>
    </row>
    <row r="160" spans="1:17" x14ac:dyDescent="0.25">
      <c r="A160" s="137">
        <v>389</v>
      </c>
      <c r="B160" s="137">
        <v>0</v>
      </c>
      <c r="C160" s="137">
        <v>0</v>
      </c>
      <c r="D160" s="137">
        <v>0</v>
      </c>
      <c r="E160" s="137">
        <v>1</v>
      </c>
      <c r="F160" s="137">
        <v>0</v>
      </c>
      <c r="G160" s="137">
        <v>1</v>
      </c>
      <c r="H160" s="137">
        <v>1</v>
      </c>
      <c r="J160" s="153">
        <v>389</v>
      </c>
      <c r="K160" s="137">
        <v>0</v>
      </c>
      <c r="L160" s="137">
        <v>0</v>
      </c>
      <c r="M160" s="137">
        <v>0</v>
      </c>
      <c r="N160" s="137">
        <v>1</v>
      </c>
      <c r="O160" s="137">
        <v>0</v>
      </c>
      <c r="P160" s="137">
        <v>1</v>
      </c>
      <c r="Q160" s="154">
        <v>1</v>
      </c>
    </row>
    <row r="161" spans="1:17" x14ac:dyDescent="0.25">
      <c r="A161" s="137">
        <v>391</v>
      </c>
      <c r="B161" s="137">
        <v>0</v>
      </c>
      <c r="C161" s="137">
        <v>0</v>
      </c>
      <c r="D161" s="137">
        <v>0</v>
      </c>
      <c r="E161" s="137">
        <v>1</v>
      </c>
      <c r="F161" s="137">
        <v>0</v>
      </c>
      <c r="G161" s="137">
        <v>1</v>
      </c>
      <c r="H161" s="137">
        <v>1</v>
      </c>
      <c r="J161" s="153">
        <v>391</v>
      </c>
      <c r="K161" s="137">
        <v>0</v>
      </c>
      <c r="L161" s="137">
        <v>0</v>
      </c>
      <c r="M161" s="137">
        <v>0</v>
      </c>
      <c r="N161" s="137">
        <v>1</v>
      </c>
      <c r="O161" s="137">
        <v>0</v>
      </c>
      <c r="P161" s="137">
        <v>1</v>
      </c>
      <c r="Q161" s="154">
        <v>1</v>
      </c>
    </row>
    <row r="162" spans="1:17" x14ac:dyDescent="0.25">
      <c r="A162" s="137">
        <v>392</v>
      </c>
      <c r="B162" s="137">
        <v>0</v>
      </c>
      <c r="C162" s="137">
        <v>1</v>
      </c>
      <c r="D162" s="137">
        <v>0</v>
      </c>
      <c r="E162" s="137">
        <v>0</v>
      </c>
      <c r="F162" s="137">
        <v>0</v>
      </c>
      <c r="G162" s="137">
        <v>1</v>
      </c>
      <c r="H162" s="137">
        <v>1</v>
      </c>
      <c r="J162" s="153">
        <v>392</v>
      </c>
      <c r="K162" s="137">
        <v>0</v>
      </c>
      <c r="L162" s="137">
        <v>1</v>
      </c>
      <c r="M162" s="137">
        <v>0</v>
      </c>
      <c r="N162" s="137">
        <v>0</v>
      </c>
      <c r="O162" s="137">
        <v>0</v>
      </c>
      <c r="P162" s="137">
        <v>1</v>
      </c>
      <c r="Q162" s="154">
        <v>1</v>
      </c>
    </row>
    <row r="163" spans="1:17" x14ac:dyDescent="0.25">
      <c r="A163" s="137">
        <v>393</v>
      </c>
      <c r="B163" s="137">
        <v>0</v>
      </c>
      <c r="C163" s="137">
        <v>1</v>
      </c>
      <c r="D163" s="137">
        <v>0</v>
      </c>
      <c r="E163" s="137">
        <v>0</v>
      </c>
      <c r="F163" s="137">
        <v>0</v>
      </c>
      <c r="G163" s="137">
        <v>1</v>
      </c>
      <c r="H163" s="137">
        <v>1</v>
      </c>
      <c r="J163" s="153">
        <v>393</v>
      </c>
      <c r="K163" s="137">
        <v>0</v>
      </c>
      <c r="L163" s="137">
        <v>1</v>
      </c>
      <c r="M163" s="137">
        <v>0</v>
      </c>
      <c r="N163" s="137">
        <v>0</v>
      </c>
      <c r="O163" s="137">
        <v>0</v>
      </c>
      <c r="P163" s="137">
        <v>1</v>
      </c>
      <c r="Q163" s="154">
        <v>1</v>
      </c>
    </row>
    <row r="164" spans="1:17" x14ac:dyDescent="0.25">
      <c r="A164" s="137">
        <v>394</v>
      </c>
      <c r="B164" s="137">
        <v>0</v>
      </c>
      <c r="C164" s="137">
        <v>0</v>
      </c>
      <c r="D164" s="137">
        <v>0</v>
      </c>
      <c r="E164" s="137">
        <v>0</v>
      </c>
      <c r="F164" s="137">
        <v>1</v>
      </c>
      <c r="G164" s="137">
        <v>0</v>
      </c>
      <c r="H164" s="137">
        <v>0</v>
      </c>
      <c r="J164" s="153">
        <v>394</v>
      </c>
      <c r="K164" s="137">
        <v>0</v>
      </c>
      <c r="L164" s="137">
        <v>0</v>
      </c>
      <c r="M164" s="137">
        <v>0</v>
      </c>
      <c r="N164" s="137">
        <v>0</v>
      </c>
      <c r="O164" s="137">
        <v>1</v>
      </c>
      <c r="P164" s="137">
        <v>0</v>
      </c>
      <c r="Q164" s="154">
        <v>0</v>
      </c>
    </row>
    <row r="165" spans="1:17" x14ac:dyDescent="0.25">
      <c r="A165" s="137">
        <v>395</v>
      </c>
      <c r="B165" s="137">
        <v>0</v>
      </c>
      <c r="C165" s="137">
        <v>0</v>
      </c>
      <c r="D165" s="137">
        <v>0</v>
      </c>
      <c r="E165" s="137">
        <v>2</v>
      </c>
      <c r="F165" s="137">
        <v>0</v>
      </c>
      <c r="G165" s="137">
        <v>2</v>
      </c>
      <c r="H165" s="137">
        <v>2</v>
      </c>
      <c r="J165" s="153">
        <v>395</v>
      </c>
      <c r="K165" s="137">
        <v>0</v>
      </c>
      <c r="L165" s="137">
        <v>0</v>
      </c>
      <c r="M165" s="137">
        <v>0</v>
      </c>
      <c r="N165" s="137">
        <v>2</v>
      </c>
      <c r="O165" s="137">
        <v>0</v>
      </c>
      <c r="P165" s="137">
        <v>2</v>
      </c>
      <c r="Q165" s="154">
        <v>2</v>
      </c>
    </row>
    <row r="166" spans="1:17" x14ac:dyDescent="0.25">
      <c r="A166" s="137">
        <v>396</v>
      </c>
      <c r="B166" s="137">
        <v>0</v>
      </c>
      <c r="C166" s="137">
        <v>0</v>
      </c>
      <c r="D166" s="137">
        <v>0</v>
      </c>
      <c r="E166" s="137">
        <v>1</v>
      </c>
      <c r="F166" s="137">
        <v>0</v>
      </c>
      <c r="G166" s="137">
        <v>1</v>
      </c>
      <c r="H166" s="137">
        <v>1</v>
      </c>
      <c r="J166" s="153">
        <v>396</v>
      </c>
      <c r="K166" s="137">
        <v>0</v>
      </c>
      <c r="L166" s="137">
        <v>0</v>
      </c>
      <c r="M166" s="137">
        <v>0</v>
      </c>
      <c r="N166" s="137">
        <v>1</v>
      </c>
      <c r="O166" s="137">
        <v>0</v>
      </c>
      <c r="P166" s="137">
        <v>1</v>
      </c>
      <c r="Q166" s="154">
        <v>1</v>
      </c>
    </row>
    <row r="167" spans="1:17" x14ac:dyDescent="0.25">
      <c r="A167" s="137">
        <v>397</v>
      </c>
      <c r="B167" s="137">
        <v>0</v>
      </c>
      <c r="C167" s="137">
        <v>0</v>
      </c>
      <c r="D167" s="137">
        <v>0</v>
      </c>
      <c r="E167" s="137">
        <v>1</v>
      </c>
      <c r="F167" s="137">
        <v>0</v>
      </c>
      <c r="G167" s="137">
        <v>1</v>
      </c>
      <c r="H167" s="137">
        <v>1</v>
      </c>
      <c r="J167" s="153">
        <v>397</v>
      </c>
      <c r="K167" s="137">
        <v>0</v>
      </c>
      <c r="L167" s="137">
        <v>0</v>
      </c>
      <c r="M167" s="137">
        <v>0</v>
      </c>
      <c r="N167" s="137">
        <v>1</v>
      </c>
      <c r="O167" s="137">
        <v>0</v>
      </c>
      <c r="P167" s="137">
        <v>1</v>
      </c>
      <c r="Q167" s="154">
        <v>1</v>
      </c>
    </row>
    <row r="168" spans="1:17" x14ac:dyDescent="0.25">
      <c r="A168" s="137">
        <v>398</v>
      </c>
      <c r="B168" s="137">
        <v>0</v>
      </c>
      <c r="C168" s="137">
        <v>0</v>
      </c>
      <c r="D168" s="137">
        <v>0</v>
      </c>
      <c r="E168" s="137">
        <v>0</v>
      </c>
      <c r="F168" s="137">
        <v>1</v>
      </c>
      <c r="G168" s="137">
        <v>0</v>
      </c>
      <c r="H168" s="137">
        <v>0</v>
      </c>
      <c r="J168" s="153">
        <v>398</v>
      </c>
      <c r="K168" s="137">
        <v>0</v>
      </c>
      <c r="L168" s="137">
        <v>0</v>
      </c>
      <c r="M168" s="137">
        <v>0</v>
      </c>
      <c r="N168" s="137">
        <v>0</v>
      </c>
      <c r="O168" s="137">
        <v>1</v>
      </c>
      <c r="P168" s="137">
        <v>0</v>
      </c>
      <c r="Q168" s="154">
        <v>0</v>
      </c>
    </row>
    <row r="169" spans="1:17" x14ac:dyDescent="0.25">
      <c r="A169" s="137">
        <v>399</v>
      </c>
      <c r="B169" s="137">
        <v>0</v>
      </c>
      <c r="C169" s="137">
        <v>2</v>
      </c>
      <c r="D169" s="137">
        <v>0</v>
      </c>
      <c r="E169" s="137">
        <v>0</v>
      </c>
      <c r="F169" s="137">
        <v>0</v>
      </c>
      <c r="G169" s="137">
        <v>3</v>
      </c>
      <c r="H169" s="137">
        <v>2</v>
      </c>
      <c r="J169" s="153">
        <v>399</v>
      </c>
      <c r="K169" s="137">
        <v>0</v>
      </c>
      <c r="L169" s="137">
        <v>2</v>
      </c>
      <c r="M169" s="137">
        <v>0</v>
      </c>
      <c r="N169" s="137">
        <v>0</v>
      </c>
      <c r="O169" s="137">
        <v>0</v>
      </c>
      <c r="P169" s="137">
        <v>3</v>
      </c>
      <c r="Q169" s="154">
        <f>SUM(K169:O169)</f>
        <v>2</v>
      </c>
    </row>
    <row r="170" spans="1:17" x14ac:dyDescent="0.25">
      <c r="A170" s="137">
        <v>401</v>
      </c>
      <c r="B170" s="137">
        <v>0</v>
      </c>
      <c r="C170" s="137">
        <v>2</v>
      </c>
      <c r="D170" s="137">
        <v>0</v>
      </c>
      <c r="E170" s="137">
        <v>0</v>
      </c>
      <c r="F170" s="137">
        <v>0</v>
      </c>
      <c r="G170" s="137">
        <v>2</v>
      </c>
      <c r="H170" s="137">
        <v>2</v>
      </c>
      <c r="J170" s="153">
        <v>401</v>
      </c>
      <c r="K170" s="137">
        <v>0</v>
      </c>
      <c r="L170" s="137">
        <v>2</v>
      </c>
      <c r="M170" s="137">
        <v>0</v>
      </c>
      <c r="N170" s="137">
        <v>0</v>
      </c>
      <c r="O170" s="137">
        <v>0</v>
      </c>
      <c r="P170" s="137">
        <v>2</v>
      </c>
      <c r="Q170" s="154">
        <v>2</v>
      </c>
    </row>
    <row r="171" spans="1:17" x14ac:dyDescent="0.25">
      <c r="A171" s="137">
        <v>402</v>
      </c>
      <c r="B171" s="137">
        <v>0</v>
      </c>
      <c r="C171" s="137">
        <v>1</v>
      </c>
      <c r="D171" s="137">
        <v>0</v>
      </c>
      <c r="E171" s="137">
        <v>0</v>
      </c>
      <c r="F171" s="137">
        <v>0</v>
      </c>
      <c r="G171" s="137">
        <v>1</v>
      </c>
      <c r="H171" s="137">
        <v>1</v>
      </c>
      <c r="J171" s="153">
        <v>402</v>
      </c>
      <c r="K171" s="137">
        <v>0</v>
      </c>
      <c r="L171" s="137">
        <v>1</v>
      </c>
      <c r="M171" s="137">
        <v>0</v>
      </c>
      <c r="N171" s="137">
        <v>0</v>
      </c>
      <c r="O171" s="137">
        <v>0</v>
      </c>
      <c r="P171" s="137">
        <v>1</v>
      </c>
      <c r="Q171" s="154">
        <v>1</v>
      </c>
    </row>
    <row r="172" spans="1:17" x14ac:dyDescent="0.25">
      <c r="A172" s="137">
        <v>430</v>
      </c>
      <c r="B172" s="137">
        <v>0</v>
      </c>
      <c r="C172" s="137">
        <v>2</v>
      </c>
      <c r="D172" s="137">
        <v>0</v>
      </c>
      <c r="E172" s="137">
        <v>0</v>
      </c>
      <c r="F172" s="137">
        <v>0</v>
      </c>
      <c r="G172" s="137">
        <v>2</v>
      </c>
      <c r="H172" s="137">
        <v>2</v>
      </c>
      <c r="J172" s="153">
        <v>430</v>
      </c>
      <c r="K172" s="137">
        <v>0</v>
      </c>
      <c r="L172" s="137">
        <v>2</v>
      </c>
      <c r="M172" s="137">
        <v>0</v>
      </c>
      <c r="N172" s="137">
        <v>0</v>
      </c>
      <c r="O172" s="137">
        <v>0</v>
      </c>
      <c r="P172" s="137">
        <v>2</v>
      </c>
      <c r="Q172" s="154">
        <v>2</v>
      </c>
    </row>
    <row r="173" spans="1:17" x14ac:dyDescent="0.25">
      <c r="A173" s="137">
        <v>432</v>
      </c>
      <c r="B173" s="137">
        <v>0</v>
      </c>
      <c r="C173" s="137">
        <v>2</v>
      </c>
      <c r="D173" s="137">
        <v>0</v>
      </c>
      <c r="E173" s="137">
        <v>0</v>
      </c>
      <c r="F173" s="137">
        <v>0</v>
      </c>
      <c r="G173" s="137">
        <v>2</v>
      </c>
      <c r="H173" s="137">
        <v>2</v>
      </c>
      <c r="J173" s="153">
        <v>432</v>
      </c>
      <c r="K173" s="137">
        <v>0</v>
      </c>
      <c r="L173" s="137">
        <v>2</v>
      </c>
      <c r="M173" s="137">
        <v>0</v>
      </c>
      <c r="N173" s="137">
        <v>0</v>
      </c>
      <c r="O173" s="137">
        <v>0</v>
      </c>
      <c r="P173" s="137">
        <v>2</v>
      </c>
      <c r="Q173" s="154">
        <v>2</v>
      </c>
    </row>
    <row r="174" spans="1:17" x14ac:dyDescent="0.25">
      <c r="A174" s="137">
        <v>441</v>
      </c>
      <c r="B174" s="137">
        <v>0</v>
      </c>
      <c r="C174" s="137">
        <v>1</v>
      </c>
      <c r="D174" s="137">
        <v>0</v>
      </c>
      <c r="E174" s="137">
        <v>0</v>
      </c>
      <c r="F174" s="137">
        <v>0</v>
      </c>
      <c r="G174" s="137">
        <v>1</v>
      </c>
      <c r="H174" s="137">
        <v>1</v>
      </c>
      <c r="J174" s="153">
        <v>441</v>
      </c>
      <c r="K174" s="137">
        <v>0</v>
      </c>
      <c r="L174" s="137">
        <v>1</v>
      </c>
      <c r="M174" s="137">
        <v>0</v>
      </c>
      <c r="N174" s="137">
        <v>0</v>
      </c>
      <c r="O174" s="137">
        <v>0</v>
      </c>
      <c r="P174" s="137">
        <v>1</v>
      </c>
      <c r="Q174" s="154">
        <v>1</v>
      </c>
    </row>
    <row r="175" spans="1:17" x14ac:dyDescent="0.25">
      <c r="A175" s="137">
        <v>451</v>
      </c>
      <c r="B175" s="137">
        <v>0</v>
      </c>
      <c r="C175" s="137">
        <v>0</v>
      </c>
      <c r="D175" s="137">
        <v>0</v>
      </c>
      <c r="E175" s="137">
        <v>2</v>
      </c>
      <c r="F175" s="137">
        <v>0</v>
      </c>
      <c r="G175" s="137">
        <v>2</v>
      </c>
      <c r="H175" s="137">
        <v>2</v>
      </c>
      <c r="J175" s="153">
        <v>451</v>
      </c>
      <c r="K175" s="137">
        <v>0</v>
      </c>
      <c r="L175" s="137">
        <v>0</v>
      </c>
      <c r="M175" s="137">
        <v>0</v>
      </c>
      <c r="N175" s="137">
        <v>2</v>
      </c>
      <c r="O175" s="137">
        <v>0</v>
      </c>
      <c r="P175" s="137">
        <v>2</v>
      </c>
      <c r="Q175" s="154">
        <v>2</v>
      </c>
    </row>
    <row r="176" spans="1:17" x14ac:dyDescent="0.25">
      <c r="A176" s="137">
        <v>452</v>
      </c>
      <c r="B176" s="137">
        <v>0</v>
      </c>
      <c r="C176" s="137">
        <v>2</v>
      </c>
      <c r="D176" s="137">
        <v>0</v>
      </c>
      <c r="E176" s="137">
        <v>0</v>
      </c>
      <c r="F176" s="137">
        <v>0</v>
      </c>
      <c r="G176" s="137">
        <v>2</v>
      </c>
      <c r="H176" s="137">
        <v>2</v>
      </c>
      <c r="J176" s="153">
        <v>452</v>
      </c>
      <c r="K176" s="137">
        <v>0</v>
      </c>
      <c r="L176" s="137">
        <v>2</v>
      </c>
      <c r="M176" s="137">
        <v>0</v>
      </c>
      <c r="N176" s="137">
        <v>0</v>
      </c>
      <c r="O176" s="137">
        <v>0</v>
      </c>
      <c r="P176" s="137">
        <v>2</v>
      </c>
      <c r="Q176" s="154">
        <v>2</v>
      </c>
    </row>
    <row r="177" spans="1:17" x14ac:dyDescent="0.25">
      <c r="A177" s="137">
        <v>458</v>
      </c>
      <c r="B177" s="137">
        <v>0</v>
      </c>
      <c r="C177" s="137">
        <v>0</v>
      </c>
      <c r="D177" s="137">
        <v>2</v>
      </c>
      <c r="E177" s="137">
        <v>0</v>
      </c>
      <c r="F177" s="137">
        <v>0</v>
      </c>
      <c r="G177" s="137">
        <v>3</v>
      </c>
      <c r="H177" s="137">
        <v>2</v>
      </c>
      <c r="J177" s="153">
        <v>458</v>
      </c>
      <c r="K177" s="137">
        <v>0</v>
      </c>
      <c r="L177" s="137">
        <v>0</v>
      </c>
      <c r="M177" s="137">
        <v>2</v>
      </c>
      <c r="N177" s="137">
        <v>0</v>
      </c>
      <c r="O177" s="137">
        <v>0</v>
      </c>
      <c r="P177" s="137">
        <v>3</v>
      </c>
      <c r="Q177" s="154">
        <f>SUM(K177:O177)</f>
        <v>2</v>
      </c>
    </row>
    <row r="178" spans="1:17" x14ac:dyDescent="0.25">
      <c r="A178" s="137">
        <v>459</v>
      </c>
      <c r="B178" s="137">
        <v>0</v>
      </c>
      <c r="C178" s="137">
        <v>0</v>
      </c>
      <c r="D178" s="137">
        <v>0</v>
      </c>
      <c r="E178" s="137">
        <v>0</v>
      </c>
      <c r="F178" s="137">
        <v>1</v>
      </c>
      <c r="G178" s="137">
        <v>0</v>
      </c>
      <c r="H178" s="137">
        <v>0</v>
      </c>
      <c r="J178" s="153">
        <v>459</v>
      </c>
      <c r="K178" s="137">
        <v>0</v>
      </c>
      <c r="L178" s="137">
        <v>0</v>
      </c>
      <c r="M178" s="137">
        <v>0</v>
      </c>
      <c r="N178" s="137">
        <v>0</v>
      </c>
      <c r="O178" s="137">
        <v>1</v>
      </c>
      <c r="P178" s="137">
        <v>0</v>
      </c>
      <c r="Q178" s="154">
        <v>0</v>
      </c>
    </row>
    <row r="179" spans="1:17" x14ac:dyDescent="0.25">
      <c r="A179" s="137">
        <v>461</v>
      </c>
      <c r="B179" s="137">
        <v>0</v>
      </c>
      <c r="C179" s="137">
        <v>0</v>
      </c>
      <c r="D179" s="137">
        <v>0</v>
      </c>
      <c r="E179" s="137">
        <v>0</v>
      </c>
      <c r="F179" s="137">
        <v>1</v>
      </c>
      <c r="G179" s="137">
        <v>0</v>
      </c>
      <c r="H179" s="137">
        <v>0</v>
      </c>
      <c r="J179" s="153">
        <v>461</v>
      </c>
      <c r="K179" s="137">
        <v>0</v>
      </c>
      <c r="L179" s="137">
        <v>0</v>
      </c>
      <c r="M179" s="137">
        <v>0</v>
      </c>
      <c r="N179" s="137">
        <v>0</v>
      </c>
      <c r="O179" s="137">
        <v>1</v>
      </c>
      <c r="P179" s="137">
        <v>0</v>
      </c>
      <c r="Q179" s="154">
        <v>0</v>
      </c>
    </row>
    <row r="180" spans="1:17" x14ac:dyDescent="0.25">
      <c r="A180" s="137">
        <v>462</v>
      </c>
      <c r="B180" s="137">
        <v>0</v>
      </c>
      <c r="C180" s="137">
        <v>0</v>
      </c>
      <c r="D180" s="137">
        <v>0</v>
      </c>
      <c r="E180" s="137">
        <v>1</v>
      </c>
      <c r="F180" s="137">
        <v>0</v>
      </c>
      <c r="G180" s="137">
        <v>1</v>
      </c>
      <c r="H180" s="137">
        <v>1</v>
      </c>
      <c r="J180" s="153">
        <v>462</v>
      </c>
      <c r="K180" s="137">
        <v>0</v>
      </c>
      <c r="L180" s="137">
        <v>0</v>
      </c>
      <c r="M180" s="137">
        <v>0</v>
      </c>
      <c r="N180" s="137">
        <v>1</v>
      </c>
      <c r="O180" s="137">
        <v>0</v>
      </c>
      <c r="P180" s="137">
        <v>1</v>
      </c>
      <c r="Q180" s="154">
        <v>1</v>
      </c>
    </row>
    <row r="181" spans="1:17" x14ac:dyDescent="0.25">
      <c r="A181" s="137">
        <v>463</v>
      </c>
      <c r="B181" s="137">
        <v>0</v>
      </c>
      <c r="C181" s="137">
        <v>2</v>
      </c>
      <c r="D181" s="137">
        <v>0</v>
      </c>
      <c r="E181" s="137">
        <v>0</v>
      </c>
      <c r="F181" s="137">
        <v>0</v>
      </c>
      <c r="G181" s="137">
        <v>3</v>
      </c>
      <c r="H181" s="137">
        <v>2</v>
      </c>
      <c r="J181" s="153">
        <v>463</v>
      </c>
      <c r="K181" s="137">
        <v>0</v>
      </c>
      <c r="L181" s="137">
        <v>2</v>
      </c>
      <c r="M181" s="137">
        <v>0</v>
      </c>
      <c r="N181" s="137">
        <v>0</v>
      </c>
      <c r="O181" s="137">
        <v>0</v>
      </c>
      <c r="P181" s="137">
        <v>3</v>
      </c>
      <c r="Q181" s="154">
        <f>SUM(K181:O181)</f>
        <v>2</v>
      </c>
    </row>
    <row r="182" spans="1:17" x14ac:dyDescent="0.25">
      <c r="A182" s="137">
        <v>464</v>
      </c>
      <c r="B182" s="137">
        <v>0</v>
      </c>
      <c r="C182" s="137">
        <v>1</v>
      </c>
      <c r="D182" s="137">
        <v>0</v>
      </c>
      <c r="E182" s="137">
        <v>0</v>
      </c>
      <c r="F182" s="137">
        <v>0</v>
      </c>
      <c r="G182" s="137">
        <v>1</v>
      </c>
      <c r="H182" s="137">
        <v>1</v>
      </c>
      <c r="J182" s="153">
        <v>464</v>
      </c>
      <c r="K182" s="137">
        <v>0</v>
      </c>
      <c r="L182" s="137">
        <v>1</v>
      </c>
      <c r="M182" s="137">
        <v>0</v>
      </c>
      <c r="N182" s="137">
        <v>0</v>
      </c>
      <c r="O182" s="137">
        <v>0</v>
      </c>
      <c r="P182" s="137">
        <v>1</v>
      </c>
      <c r="Q182" s="154">
        <v>1</v>
      </c>
    </row>
    <row r="183" spans="1:17" x14ac:dyDescent="0.25">
      <c r="A183" s="137">
        <v>465</v>
      </c>
      <c r="B183" s="137">
        <v>0</v>
      </c>
      <c r="C183" s="137">
        <v>0</v>
      </c>
      <c r="D183" s="137">
        <v>0</v>
      </c>
      <c r="E183" s="137">
        <v>1</v>
      </c>
      <c r="F183" s="137">
        <v>0</v>
      </c>
      <c r="G183" s="137">
        <v>1</v>
      </c>
      <c r="H183" s="137">
        <v>1</v>
      </c>
      <c r="J183" s="153">
        <v>465</v>
      </c>
      <c r="K183" s="137">
        <v>0</v>
      </c>
      <c r="L183" s="137">
        <v>0</v>
      </c>
      <c r="M183" s="137">
        <v>0</v>
      </c>
      <c r="N183" s="137">
        <v>1</v>
      </c>
      <c r="O183" s="137">
        <v>0</v>
      </c>
      <c r="P183" s="137">
        <v>1</v>
      </c>
      <c r="Q183" s="154">
        <v>1</v>
      </c>
    </row>
    <row r="184" spans="1:17" x14ac:dyDescent="0.25">
      <c r="A184" s="137">
        <v>466</v>
      </c>
      <c r="B184" s="137">
        <v>0</v>
      </c>
      <c r="C184" s="137">
        <v>0</v>
      </c>
      <c r="D184" s="137">
        <v>0</v>
      </c>
      <c r="E184" s="137">
        <v>0</v>
      </c>
      <c r="F184" s="137">
        <v>1</v>
      </c>
      <c r="G184" s="137">
        <v>0</v>
      </c>
      <c r="H184" s="137">
        <v>0</v>
      </c>
      <c r="J184" s="153">
        <v>466</v>
      </c>
      <c r="K184" s="137">
        <v>0</v>
      </c>
      <c r="L184" s="137">
        <v>0</v>
      </c>
      <c r="M184" s="137">
        <v>0</v>
      </c>
      <c r="N184" s="137">
        <v>0</v>
      </c>
      <c r="O184" s="137">
        <v>1</v>
      </c>
      <c r="P184" s="137">
        <v>0</v>
      </c>
      <c r="Q184" s="154">
        <v>0</v>
      </c>
    </row>
    <row r="185" spans="1:17" x14ac:dyDescent="0.25">
      <c r="A185" s="137">
        <v>467</v>
      </c>
      <c r="B185" s="137">
        <v>0</v>
      </c>
      <c r="C185" s="137">
        <v>0</v>
      </c>
      <c r="D185" s="137">
        <v>0</v>
      </c>
      <c r="E185" s="137">
        <v>0</v>
      </c>
      <c r="F185" s="137">
        <v>1</v>
      </c>
      <c r="G185" s="137">
        <v>0</v>
      </c>
      <c r="H185" s="137">
        <v>0</v>
      </c>
      <c r="J185" s="153">
        <v>467</v>
      </c>
      <c r="K185" s="137">
        <v>0</v>
      </c>
      <c r="L185" s="137">
        <v>0</v>
      </c>
      <c r="M185" s="137">
        <v>0</v>
      </c>
      <c r="N185" s="137">
        <v>0</v>
      </c>
      <c r="O185" s="137">
        <v>1</v>
      </c>
      <c r="P185" s="137">
        <v>0</v>
      </c>
      <c r="Q185" s="154">
        <v>0</v>
      </c>
    </row>
    <row r="186" spans="1:17" x14ac:dyDescent="0.25">
      <c r="A186" s="137">
        <v>468</v>
      </c>
      <c r="B186" s="137">
        <v>0</v>
      </c>
      <c r="C186" s="137">
        <v>0</v>
      </c>
      <c r="D186" s="137">
        <v>0</v>
      </c>
      <c r="E186" s="137">
        <v>0</v>
      </c>
      <c r="F186" s="137">
        <v>1</v>
      </c>
      <c r="G186" s="137">
        <v>0</v>
      </c>
      <c r="H186" s="137">
        <v>0</v>
      </c>
      <c r="J186" s="153">
        <v>468</v>
      </c>
      <c r="K186" s="137">
        <v>0</v>
      </c>
      <c r="L186" s="137">
        <v>0</v>
      </c>
      <c r="M186" s="137">
        <v>0</v>
      </c>
      <c r="N186" s="137">
        <v>0</v>
      </c>
      <c r="O186" s="137">
        <v>1</v>
      </c>
      <c r="P186" s="137">
        <v>0</v>
      </c>
      <c r="Q186" s="154">
        <v>0</v>
      </c>
    </row>
    <row r="187" spans="1:17" x14ac:dyDescent="0.25">
      <c r="A187" s="137">
        <v>469</v>
      </c>
      <c r="B187" s="137">
        <v>0</v>
      </c>
      <c r="C187" s="137">
        <v>0</v>
      </c>
      <c r="D187" s="137">
        <v>0</v>
      </c>
      <c r="E187" s="137">
        <v>0</v>
      </c>
      <c r="F187" s="137">
        <v>1</v>
      </c>
      <c r="G187" s="137">
        <v>0</v>
      </c>
      <c r="H187" s="137">
        <v>0</v>
      </c>
      <c r="J187" s="153">
        <v>469</v>
      </c>
      <c r="K187" s="137">
        <v>0</v>
      </c>
      <c r="L187" s="137">
        <v>0</v>
      </c>
      <c r="M187" s="137">
        <v>0</v>
      </c>
      <c r="N187" s="137">
        <v>0</v>
      </c>
      <c r="O187" s="137">
        <v>1</v>
      </c>
      <c r="P187" s="137">
        <v>0</v>
      </c>
      <c r="Q187" s="154">
        <v>0</v>
      </c>
    </row>
    <row r="188" spans="1:17" x14ac:dyDescent="0.25">
      <c r="A188" s="137">
        <v>470</v>
      </c>
      <c r="B188" s="137">
        <v>0</v>
      </c>
      <c r="C188" s="137">
        <v>0</v>
      </c>
      <c r="D188" s="137">
        <v>0</v>
      </c>
      <c r="E188" s="137">
        <v>0</v>
      </c>
      <c r="F188" s="137">
        <v>1</v>
      </c>
      <c r="G188" s="137">
        <v>0</v>
      </c>
      <c r="H188" s="137">
        <v>0</v>
      </c>
      <c r="J188" s="153">
        <v>470</v>
      </c>
      <c r="K188" s="137">
        <v>0</v>
      </c>
      <c r="L188" s="137">
        <v>0</v>
      </c>
      <c r="M188" s="137">
        <v>0</v>
      </c>
      <c r="N188" s="137">
        <v>0</v>
      </c>
      <c r="O188" s="137">
        <v>1</v>
      </c>
      <c r="P188" s="137">
        <v>0</v>
      </c>
      <c r="Q188" s="154">
        <v>0</v>
      </c>
    </row>
    <row r="189" spans="1:17" x14ac:dyDescent="0.25">
      <c r="A189" s="137">
        <v>471</v>
      </c>
      <c r="B189" s="137">
        <v>0</v>
      </c>
      <c r="C189" s="137">
        <v>0</v>
      </c>
      <c r="D189" s="137">
        <v>0</v>
      </c>
      <c r="E189" s="137">
        <v>1</v>
      </c>
      <c r="F189" s="137">
        <v>0</v>
      </c>
      <c r="G189" s="137">
        <v>1</v>
      </c>
      <c r="H189" s="137">
        <v>1</v>
      </c>
      <c r="J189" s="153">
        <v>471</v>
      </c>
      <c r="K189" s="137">
        <v>0</v>
      </c>
      <c r="L189" s="137">
        <v>0</v>
      </c>
      <c r="M189" s="137">
        <v>0</v>
      </c>
      <c r="N189" s="137">
        <v>1</v>
      </c>
      <c r="O189" s="137">
        <v>0</v>
      </c>
      <c r="P189" s="137">
        <v>1</v>
      </c>
      <c r="Q189" s="154">
        <v>1</v>
      </c>
    </row>
    <row r="190" spans="1:17" x14ac:dyDescent="0.25">
      <c r="A190" s="137">
        <v>473</v>
      </c>
      <c r="B190" s="137">
        <v>0</v>
      </c>
      <c r="C190" s="137">
        <v>0</v>
      </c>
      <c r="D190" s="137">
        <v>0</v>
      </c>
      <c r="E190" s="137">
        <v>0</v>
      </c>
      <c r="F190" s="137">
        <v>1</v>
      </c>
      <c r="G190" s="137">
        <v>0</v>
      </c>
      <c r="H190" s="137">
        <v>0</v>
      </c>
      <c r="J190" s="153">
        <v>473</v>
      </c>
      <c r="K190" s="137">
        <v>0</v>
      </c>
      <c r="L190" s="137">
        <v>0</v>
      </c>
      <c r="M190" s="137">
        <v>0</v>
      </c>
      <c r="N190" s="137">
        <v>0</v>
      </c>
      <c r="O190" s="137">
        <v>1</v>
      </c>
      <c r="P190" s="137">
        <v>0</v>
      </c>
      <c r="Q190" s="154">
        <v>0</v>
      </c>
    </row>
    <row r="191" spans="1:17" x14ac:dyDescent="0.25">
      <c r="A191" s="137">
        <v>474</v>
      </c>
      <c r="B191" s="137">
        <v>0</v>
      </c>
      <c r="C191" s="137">
        <v>0</v>
      </c>
      <c r="D191" s="137">
        <v>2</v>
      </c>
      <c r="E191" s="137">
        <v>0</v>
      </c>
      <c r="F191" s="137">
        <v>0</v>
      </c>
      <c r="G191" s="137">
        <v>2</v>
      </c>
      <c r="H191" s="137">
        <v>2</v>
      </c>
      <c r="J191" s="153">
        <v>474</v>
      </c>
      <c r="K191" s="137">
        <v>0</v>
      </c>
      <c r="L191" s="137">
        <v>0</v>
      </c>
      <c r="M191" s="137">
        <v>2</v>
      </c>
      <c r="N191" s="137">
        <v>0</v>
      </c>
      <c r="O191" s="137">
        <v>0</v>
      </c>
      <c r="P191" s="137">
        <v>2</v>
      </c>
      <c r="Q191" s="154">
        <v>2</v>
      </c>
    </row>
    <row r="192" spans="1:17" x14ac:dyDescent="0.25">
      <c r="A192" s="137">
        <v>475</v>
      </c>
      <c r="B192" s="137">
        <v>0</v>
      </c>
      <c r="C192" s="137">
        <v>0</v>
      </c>
      <c r="D192" s="137">
        <v>0</v>
      </c>
      <c r="E192" s="137">
        <v>0</v>
      </c>
      <c r="F192" s="137">
        <v>1</v>
      </c>
      <c r="G192" s="137">
        <v>0</v>
      </c>
      <c r="H192" s="137">
        <v>0</v>
      </c>
      <c r="J192" s="153">
        <v>475</v>
      </c>
      <c r="K192" s="137">
        <v>0</v>
      </c>
      <c r="L192" s="137">
        <v>0</v>
      </c>
      <c r="M192" s="137">
        <v>0</v>
      </c>
      <c r="N192" s="137">
        <v>0</v>
      </c>
      <c r="O192" s="137">
        <v>1</v>
      </c>
      <c r="P192" s="137">
        <v>0</v>
      </c>
      <c r="Q192" s="154">
        <v>0</v>
      </c>
    </row>
    <row r="193" spans="1:17" x14ac:dyDescent="0.25">
      <c r="A193" s="137">
        <v>476</v>
      </c>
      <c r="B193" s="137">
        <v>0</v>
      </c>
      <c r="C193" s="137">
        <v>2</v>
      </c>
      <c r="D193" s="137">
        <v>0</v>
      </c>
      <c r="E193" s="137">
        <v>0</v>
      </c>
      <c r="F193" s="137">
        <v>0</v>
      </c>
      <c r="G193" s="137">
        <v>2</v>
      </c>
      <c r="H193" s="137">
        <v>2</v>
      </c>
      <c r="J193" s="153">
        <v>476</v>
      </c>
      <c r="K193" s="137">
        <v>0</v>
      </c>
      <c r="L193" s="137">
        <v>2</v>
      </c>
      <c r="M193" s="137">
        <v>0</v>
      </c>
      <c r="N193" s="137">
        <v>0</v>
      </c>
      <c r="O193" s="137">
        <v>0</v>
      </c>
      <c r="P193" s="137">
        <v>2</v>
      </c>
      <c r="Q193" s="154">
        <v>2</v>
      </c>
    </row>
    <row r="194" spans="1:17" x14ac:dyDescent="0.25">
      <c r="A194" s="137">
        <v>477</v>
      </c>
      <c r="B194" s="137">
        <v>0</v>
      </c>
      <c r="C194" s="137">
        <v>2</v>
      </c>
      <c r="D194" s="137">
        <v>0</v>
      </c>
      <c r="E194" s="137">
        <v>0</v>
      </c>
      <c r="F194" s="137">
        <v>0</v>
      </c>
      <c r="G194" s="137">
        <v>2</v>
      </c>
      <c r="H194" s="137">
        <v>2</v>
      </c>
      <c r="J194" s="153">
        <v>477</v>
      </c>
      <c r="K194" s="137">
        <v>0</v>
      </c>
      <c r="L194" s="137">
        <v>2</v>
      </c>
      <c r="M194" s="137">
        <v>0</v>
      </c>
      <c r="N194" s="137">
        <v>0</v>
      </c>
      <c r="O194" s="137">
        <v>0</v>
      </c>
      <c r="P194" s="137">
        <v>2</v>
      </c>
      <c r="Q194" s="154">
        <v>2</v>
      </c>
    </row>
    <row r="195" spans="1:17" x14ac:dyDescent="0.25">
      <c r="A195" s="137">
        <v>479</v>
      </c>
      <c r="B195" s="137">
        <v>0</v>
      </c>
      <c r="C195" s="137">
        <v>1</v>
      </c>
      <c r="D195" s="137">
        <v>0</v>
      </c>
      <c r="E195" s="137">
        <v>0</v>
      </c>
      <c r="F195" s="137">
        <v>0</v>
      </c>
      <c r="G195" s="137">
        <v>1</v>
      </c>
      <c r="H195" s="137">
        <v>1</v>
      </c>
      <c r="J195" s="153">
        <v>479</v>
      </c>
      <c r="K195" s="137">
        <v>0</v>
      </c>
      <c r="L195" s="137">
        <v>1</v>
      </c>
      <c r="M195" s="137">
        <v>0</v>
      </c>
      <c r="N195" s="137">
        <v>0</v>
      </c>
      <c r="O195" s="137">
        <v>0</v>
      </c>
      <c r="P195" s="137">
        <v>1</v>
      </c>
      <c r="Q195" s="154">
        <v>1</v>
      </c>
    </row>
    <row r="196" spans="1:17" x14ac:dyDescent="0.25">
      <c r="A196" s="137">
        <v>481</v>
      </c>
      <c r="B196" s="137">
        <v>0</v>
      </c>
      <c r="C196" s="137">
        <v>0</v>
      </c>
      <c r="D196" s="137">
        <v>0</v>
      </c>
      <c r="E196" s="137">
        <v>1</v>
      </c>
      <c r="F196" s="137">
        <v>0</v>
      </c>
      <c r="G196" s="137">
        <v>1</v>
      </c>
      <c r="H196" s="137">
        <v>1</v>
      </c>
      <c r="J196" s="153">
        <v>481</v>
      </c>
      <c r="K196" s="137">
        <v>0</v>
      </c>
      <c r="L196" s="137">
        <v>0</v>
      </c>
      <c r="M196" s="137">
        <v>0</v>
      </c>
      <c r="N196" s="137">
        <v>1</v>
      </c>
      <c r="O196" s="137">
        <v>0</v>
      </c>
      <c r="P196" s="137">
        <v>1</v>
      </c>
      <c r="Q196" s="154">
        <v>1</v>
      </c>
    </row>
    <row r="197" spans="1:17" x14ac:dyDescent="0.25">
      <c r="A197" s="137">
        <v>482</v>
      </c>
      <c r="B197" s="137">
        <v>0</v>
      </c>
      <c r="C197" s="137">
        <v>0</v>
      </c>
      <c r="D197" s="137">
        <v>0</v>
      </c>
      <c r="E197" s="137">
        <v>0</v>
      </c>
      <c r="F197" s="137">
        <v>1</v>
      </c>
      <c r="G197" s="137">
        <v>0</v>
      </c>
      <c r="H197" s="137">
        <v>0</v>
      </c>
      <c r="J197" s="153">
        <v>482</v>
      </c>
      <c r="K197" s="137">
        <v>0</v>
      </c>
      <c r="L197" s="137">
        <v>0</v>
      </c>
      <c r="M197" s="137">
        <v>0</v>
      </c>
      <c r="N197" s="137">
        <v>0</v>
      </c>
      <c r="O197" s="137">
        <v>1</v>
      </c>
      <c r="P197" s="137">
        <v>0</v>
      </c>
      <c r="Q197" s="154">
        <v>0</v>
      </c>
    </row>
    <row r="198" spans="1:17" x14ac:dyDescent="0.25">
      <c r="A198" s="137">
        <v>483</v>
      </c>
      <c r="B198" s="137">
        <v>0</v>
      </c>
      <c r="C198" s="137">
        <v>0</v>
      </c>
      <c r="D198" s="137">
        <v>0</v>
      </c>
      <c r="E198" s="137">
        <v>1</v>
      </c>
      <c r="F198" s="137">
        <v>0</v>
      </c>
      <c r="G198" s="137">
        <v>1</v>
      </c>
      <c r="H198" s="137">
        <v>1</v>
      </c>
      <c r="J198" s="153">
        <v>483</v>
      </c>
      <c r="K198" s="137">
        <v>0</v>
      </c>
      <c r="L198" s="137">
        <v>0</v>
      </c>
      <c r="M198" s="137">
        <v>0</v>
      </c>
      <c r="N198" s="137">
        <v>1</v>
      </c>
      <c r="O198" s="137">
        <v>0</v>
      </c>
      <c r="P198" s="137">
        <v>1</v>
      </c>
      <c r="Q198" s="154">
        <v>1</v>
      </c>
    </row>
    <row r="199" spans="1:17" x14ac:dyDescent="0.25">
      <c r="A199" s="137">
        <v>484</v>
      </c>
      <c r="B199" s="137">
        <v>0</v>
      </c>
      <c r="C199" s="137">
        <v>0</v>
      </c>
      <c r="D199" s="137">
        <v>0</v>
      </c>
      <c r="E199" s="137">
        <v>1</v>
      </c>
      <c r="F199" s="137">
        <v>0</v>
      </c>
      <c r="G199" s="137">
        <v>1</v>
      </c>
      <c r="H199" s="137">
        <v>1</v>
      </c>
      <c r="J199" s="153">
        <v>484</v>
      </c>
      <c r="K199" s="137">
        <v>0</v>
      </c>
      <c r="L199" s="137">
        <v>0</v>
      </c>
      <c r="M199" s="137">
        <v>0</v>
      </c>
      <c r="N199" s="137">
        <v>1</v>
      </c>
      <c r="O199" s="137">
        <v>0</v>
      </c>
      <c r="P199" s="137">
        <v>1</v>
      </c>
      <c r="Q199" s="154">
        <v>1</v>
      </c>
    </row>
    <row r="200" spans="1:17" x14ac:dyDescent="0.25">
      <c r="A200" s="137">
        <v>485</v>
      </c>
      <c r="B200" s="137">
        <v>0</v>
      </c>
      <c r="C200" s="137">
        <v>0</v>
      </c>
      <c r="D200" s="137">
        <v>0</v>
      </c>
      <c r="E200" s="137">
        <v>2</v>
      </c>
      <c r="F200" s="137">
        <v>0</v>
      </c>
      <c r="G200" s="137">
        <v>2</v>
      </c>
      <c r="H200" s="137">
        <v>2</v>
      </c>
      <c r="J200" s="153">
        <v>485</v>
      </c>
      <c r="K200" s="137">
        <v>0</v>
      </c>
      <c r="L200" s="137">
        <v>0</v>
      </c>
      <c r="M200" s="137">
        <v>0</v>
      </c>
      <c r="N200" s="137">
        <v>2</v>
      </c>
      <c r="O200" s="137">
        <v>0</v>
      </c>
      <c r="P200" s="137">
        <v>2</v>
      </c>
      <c r="Q200" s="154">
        <v>2</v>
      </c>
    </row>
    <row r="201" spans="1:17" x14ac:dyDescent="0.25">
      <c r="A201" s="137">
        <v>486</v>
      </c>
      <c r="B201" s="137">
        <v>0</v>
      </c>
      <c r="C201" s="137">
        <v>0</v>
      </c>
      <c r="D201" s="137">
        <v>0</v>
      </c>
      <c r="E201" s="137">
        <v>1</v>
      </c>
      <c r="F201" s="137">
        <v>0</v>
      </c>
      <c r="G201" s="137">
        <v>1</v>
      </c>
      <c r="H201" s="137">
        <v>1</v>
      </c>
      <c r="J201" s="153">
        <v>486</v>
      </c>
      <c r="K201" s="137">
        <v>0</v>
      </c>
      <c r="L201" s="137">
        <v>0</v>
      </c>
      <c r="M201" s="137">
        <v>0</v>
      </c>
      <c r="N201" s="137">
        <v>1</v>
      </c>
      <c r="O201" s="137">
        <v>0</v>
      </c>
      <c r="P201" s="137">
        <v>1</v>
      </c>
      <c r="Q201" s="154">
        <v>1</v>
      </c>
    </row>
    <row r="202" spans="1:17" x14ac:dyDescent="0.25">
      <c r="A202" s="137">
        <v>487</v>
      </c>
      <c r="B202" s="137">
        <v>0</v>
      </c>
      <c r="C202" s="137">
        <v>0</v>
      </c>
      <c r="D202" s="137">
        <v>0</v>
      </c>
      <c r="E202" s="137">
        <v>1</v>
      </c>
      <c r="F202" s="137">
        <v>0</v>
      </c>
      <c r="G202" s="137">
        <v>1</v>
      </c>
      <c r="H202" s="137">
        <v>1</v>
      </c>
      <c r="J202" s="153">
        <v>487</v>
      </c>
      <c r="K202" s="137">
        <v>0</v>
      </c>
      <c r="L202" s="137">
        <v>0</v>
      </c>
      <c r="M202" s="137">
        <v>0</v>
      </c>
      <c r="N202" s="137">
        <v>1</v>
      </c>
      <c r="O202" s="137">
        <v>0</v>
      </c>
      <c r="P202" s="137">
        <v>1</v>
      </c>
      <c r="Q202" s="154">
        <v>1</v>
      </c>
    </row>
    <row r="203" spans="1:17" x14ac:dyDescent="0.25">
      <c r="A203" s="137">
        <v>488</v>
      </c>
      <c r="B203" s="137">
        <v>0</v>
      </c>
      <c r="C203" s="137">
        <v>0</v>
      </c>
      <c r="D203" s="137">
        <v>0</v>
      </c>
      <c r="E203" s="137">
        <v>1</v>
      </c>
      <c r="F203" s="137">
        <v>0</v>
      </c>
      <c r="G203" s="137">
        <v>1</v>
      </c>
      <c r="H203" s="137">
        <v>1</v>
      </c>
      <c r="J203" s="153">
        <v>488</v>
      </c>
      <c r="K203" s="137">
        <v>0</v>
      </c>
      <c r="L203" s="137">
        <v>0</v>
      </c>
      <c r="M203" s="137">
        <v>0</v>
      </c>
      <c r="N203" s="137">
        <v>1</v>
      </c>
      <c r="O203" s="137">
        <v>0</v>
      </c>
      <c r="P203" s="137">
        <v>1</v>
      </c>
      <c r="Q203" s="154">
        <v>1</v>
      </c>
    </row>
    <row r="204" spans="1:17" x14ac:dyDescent="0.25">
      <c r="A204" s="137">
        <v>489</v>
      </c>
      <c r="B204" s="137">
        <v>0</v>
      </c>
      <c r="C204" s="137">
        <v>0</v>
      </c>
      <c r="D204" s="137">
        <v>0</v>
      </c>
      <c r="E204" s="137">
        <v>1</v>
      </c>
      <c r="F204" s="137">
        <v>0</v>
      </c>
      <c r="G204" s="137">
        <v>1</v>
      </c>
      <c r="H204" s="137">
        <v>1</v>
      </c>
      <c r="J204" s="153">
        <v>489</v>
      </c>
      <c r="K204" s="137">
        <v>0</v>
      </c>
      <c r="L204" s="137">
        <v>0</v>
      </c>
      <c r="M204" s="137">
        <v>0</v>
      </c>
      <c r="N204" s="137">
        <v>1</v>
      </c>
      <c r="O204" s="137">
        <v>0</v>
      </c>
      <c r="P204" s="137">
        <v>1</v>
      </c>
      <c r="Q204" s="154">
        <v>1</v>
      </c>
    </row>
    <row r="205" spans="1:17" x14ac:dyDescent="0.25">
      <c r="A205" s="137">
        <v>492</v>
      </c>
      <c r="B205" s="137">
        <v>0</v>
      </c>
      <c r="C205" s="137">
        <v>0</v>
      </c>
      <c r="D205" s="137">
        <v>0</v>
      </c>
      <c r="E205" s="137">
        <v>0</v>
      </c>
      <c r="F205" s="137">
        <v>1</v>
      </c>
      <c r="G205" s="137">
        <v>0</v>
      </c>
      <c r="H205" s="137">
        <v>0</v>
      </c>
      <c r="J205" s="153">
        <v>492</v>
      </c>
      <c r="K205" s="137">
        <v>0</v>
      </c>
      <c r="L205" s="137">
        <v>0</v>
      </c>
      <c r="M205" s="137">
        <v>0</v>
      </c>
      <c r="N205" s="137">
        <v>0</v>
      </c>
      <c r="O205" s="137">
        <v>1</v>
      </c>
      <c r="P205" s="137">
        <v>0</v>
      </c>
      <c r="Q205" s="154">
        <v>0</v>
      </c>
    </row>
    <row r="206" spans="1:17" x14ac:dyDescent="0.25">
      <c r="A206" s="137">
        <v>493</v>
      </c>
      <c r="B206" s="137">
        <v>0</v>
      </c>
      <c r="C206" s="137">
        <v>0</v>
      </c>
      <c r="D206" s="137">
        <v>0</v>
      </c>
      <c r="E206" s="137">
        <v>0</v>
      </c>
      <c r="F206" s="137">
        <v>1</v>
      </c>
      <c r="G206" s="137">
        <v>0</v>
      </c>
      <c r="H206" s="137">
        <v>0</v>
      </c>
      <c r="J206" s="153">
        <v>493</v>
      </c>
      <c r="K206" s="137">
        <v>0</v>
      </c>
      <c r="L206" s="137">
        <v>0</v>
      </c>
      <c r="M206" s="137">
        <v>0</v>
      </c>
      <c r="N206" s="137">
        <v>0</v>
      </c>
      <c r="O206" s="137">
        <v>1</v>
      </c>
      <c r="P206" s="137">
        <v>0</v>
      </c>
      <c r="Q206" s="154">
        <v>0</v>
      </c>
    </row>
    <row r="207" spans="1:17" x14ac:dyDescent="0.25">
      <c r="A207" s="137">
        <v>494</v>
      </c>
      <c r="B207" s="137">
        <v>0</v>
      </c>
      <c r="C207" s="137">
        <v>1</v>
      </c>
      <c r="D207" s="137">
        <v>0</v>
      </c>
      <c r="E207" s="137">
        <v>0</v>
      </c>
      <c r="F207" s="137">
        <v>0</v>
      </c>
      <c r="G207" s="137">
        <v>1</v>
      </c>
      <c r="H207" s="137">
        <v>1</v>
      </c>
      <c r="J207" s="153">
        <v>494</v>
      </c>
      <c r="K207" s="137">
        <v>0</v>
      </c>
      <c r="L207" s="137">
        <v>1</v>
      </c>
      <c r="M207" s="137">
        <v>0</v>
      </c>
      <c r="N207" s="137">
        <v>0</v>
      </c>
      <c r="O207" s="137">
        <v>0</v>
      </c>
      <c r="P207" s="137">
        <v>1</v>
      </c>
      <c r="Q207" s="154">
        <v>1</v>
      </c>
    </row>
    <row r="208" spans="1:17" x14ac:dyDescent="0.25">
      <c r="A208" s="137">
        <v>495</v>
      </c>
      <c r="B208" s="137">
        <v>0</v>
      </c>
      <c r="C208" s="137">
        <v>1</v>
      </c>
      <c r="D208" s="137">
        <v>0</v>
      </c>
      <c r="E208" s="137">
        <v>0</v>
      </c>
      <c r="F208" s="137">
        <v>0</v>
      </c>
      <c r="G208" s="137">
        <v>1</v>
      </c>
      <c r="H208" s="137">
        <v>1</v>
      </c>
      <c r="J208" s="153">
        <v>495</v>
      </c>
      <c r="K208" s="137">
        <v>0</v>
      </c>
      <c r="L208" s="137">
        <v>1</v>
      </c>
      <c r="M208" s="137">
        <v>0</v>
      </c>
      <c r="N208" s="137">
        <v>0</v>
      </c>
      <c r="O208" s="137">
        <v>0</v>
      </c>
      <c r="P208" s="137">
        <v>1</v>
      </c>
      <c r="Q208" s="154">
        <v>1</v>
      </c>
    </row>
    <row r="209" spans="1:17" x14ac:dyDescent="0.25">
      <c r="A209" s="137">
        <v>501</v>
      </c>
      <c r="B209" s="137">
        <v>0</v>
      </c>
      <c r="C209" s="137">
        <v>2</v>
      </c>
      <c r="D209" s="137">
        <v>0</v>
      </c>
      <c r="E209" s="137">
        <v>0</v>
      </c>
      <c r="F209" s="137">
        <v>0</v>
      </c>
      <c r="G209" s="137">
        <v>2</v>
      </c>
      <c r="H209" s="137">
        <v>2</v>
      </c>
      <c r="J209" s="153">
        <v>501</v>
      </c>
      <c r="K209" s="137">
        <v>0</v>
      </c>
      <c r="L209" s="137">
        <v>2</v>
      </c>
      <c r="M209" s="137">
        <v>0</v>
      </c>
      <c r="N209" s="137">
        <v>0</v>
      </c>
      <c r="O209" s="137">
        <v>0</v>
      </c>
      <c r="P209" s="137">
        <v>2</v>
      </c>
      <c r="Q209" s="154">
        <v>2</v>
      </c>
    </row>
    <row r="210" spans="1:17" x14ac:dyDescent="0.25">
      <c r="A210" s="137">
        <v>502</v>
      </c>
      <c r="B210" s="137">
        <v>0</v>
      </c>
      <c r="C210" s="137">
        <v>1</v>
      </c>
      <c r="D210" s="137">
        <v>0</v>
      </c>
      <c r="E210" s="137">
        <v>0</v>
      </c>
      <c r="F210" s="137">
        <v>0</v>
      </c>
      <c r="G210" s="137">
        <v>1</v>
      </c>
      <c r="H210" s="137">
        <v>1</v>
      </c>
      <c r="J210" s="153">
        <v>502</v>
      </c>
      <c r="K210" s="137">
        <v>0</v>
      </c>
      <c r="L210" s="137">
        <v>1</v>
      </c>
      <c r="M210" s="137">
        <v>0</v>
      </c>
      <c r="N210" s="137">
        <v>0</v>
      </c>
      <c r="O210" s="137">
        <v>0</v>
      </c>
      <c r="P210" s="137">
        <v>1</v>
      </c>
      <c r="Q210" s="154">
        <v>1</v>
      </c>
    </row>
    <row r="211" spans="1:17" x14ac:dyDescent="0.25">
      <c r="A211" s="137">
        <v>505</v>
      </c>
      <c r="B211" s="137">
        <v>0</v>
      </c>
      <c r="C211" s="137">
        <v>2</v>
      </c>
      <c r="D211" s="137">
        <v>0</v>
      </c>
      <c r="E211" s="137">
        <v>0</v>
      </c>
      <c r="F211" s="137">
        <v>0</v>
      </c>
      <c r="G211" s="137">
        <v>2</v>
      </c>
      <c r="H211" s="137">
        <v>2</v>
      </c>
      <c r="J211" s="153">
        <v>505</v>
      </c>
      <c r="K211" s="137">
        <v>0</v>
      </c>
      <c r="L211" s="137">
        <v>2</v>
      </c>
      <c r="M211" s="137">
        <v>0</v>
      </c>
      <c r="N211" s="137">
        <v>0</v>
      </c>
      <c r="O211" s="137">
        <v>0</v>
      </c>
      <c r="P211" s="137">
        <v>2</v>
      </c>
      <c r="Q211" s="154">
        <v>2</v>
      </c>
    </row>
    <row r="212" spans="1:17" x14ac:dyDescent="0.25">
      <c r="A212" s="137">
        <v>506</v>
      </c>
      <c r="B212" s="137">
        <v>0</v>
      </c>
      <c r="C212" s="137">
        <v>1</v>
      </c>
      <c r="D212" s="137">
        <v>0</v>
      </c>
      <c r="E212" s="137">
        <v>0</v>
      </c>
      <c r="F212" s="137">
        <v>0</v>
      </c>
      <c r="G212" s="137">
        <v>1</v>
      </c>
      <c r="H212" s="137">
        <v>1</v>
      </c>
      <c r="J212" s="153">
        <v>506</v>
      </c>
      <c r="K212" s="137">
        <v>0</v>
      </c>
      <c r="L212" s="137">
        <v>1</v>
      </c>
      <c r="M212" s="137">
        <v>0</v>
      </c>
      <c r="N212" s="137">
        <v>0</v>
      </c>
      <c r="O212" s="137">
        <v>0</v>
      </c>
      <c r="P212" s="137">
        <v>1</v>
      </c>
      <c r="Q212" s="154">
        <v>1</v>
      </c>
    </row>
    <row r="213" spans="1:17" x14ac:dyDescent="0.25">
      <c r="A213" s="137">
        <v>507</v>
      </c>
      <c r="B213" s="137">
        <v>0</v>
      </c>
      <c r="C213" s="137">
        <v>1</v>
      </c>
      <c r="D213" s="137">
        <v>0</v>
      </c>
      <c r="E213" s="137">
        <v>0</v>
      </c>
      <c r="F213" s="137">
        <v>0</v>
      </c>
      <c r="G213" s="137">
        <v>1</v>
      </c>
      <c r="H213" s="137">
        <v>1</v>
      </c>
      <c r="J213" s="153">
        <v>507</v>
      </c>
      <c r="K213" s="137">
        <v>0</v>
      </c>
      <c r="L213" s="137">
        <v>1</v>
      </c>
      <c r="M213" s="137">
        <v>0</v>
      </c>
      <c r="N213" s="137">
        <v>0</v>
      </c>
      <c r="O213" s="137">
        <v>0</v>
      </c>
      <c r="P213" s="137">
        <v>1</v>
      </c>
      <c r="Q213" s="154">
        <v>1</v>
      </c>
    </row>
    <row r="214" spans="1:17" x14ac:dyDescent="0.25">
      <c r="A214" s="137">
        <v>508</v>
      </c>
      <c r="B214" s="137">
        <v>0</v>
      </c>
      <c r="C214" s="137">
        <v>0</v>
      </c>
      <c r="D214" s="137">
        <v>0</v>
      </c>
      <c r="E214" s="137">
        <v>1</v>
      </c>
      <c r="F214" s="137">
        <v>0</v>
      </c>
      <c r="G214" s="137">
        <v>1</v>
      </c>
      <c r="H214" s="137">
        <v>1</v>
      </c>
      <c r="J214" s="153">
        <v>508</v>
      </c>
      <c r="K214" s="137">
        <v>0</v>
      </c>
      <c r="L214" s="137">
        <v>0</v>
      </c>
      <c r="M214" s="137">
        <v>0</v>
      </c>
      <c r="N214" s="137">
        <v>1</v>
      </c>
      <c r="O214" s="137">
        <v>0</v>
      </c>
      <c r="P214" s="137">
        <v>1</v>
      </c>
      <c r="Q214" s="154">
        <v>1</v>
      </c>
    </row>
    <row r="215" spans="1:17" x14ac:dyDescent="0.25">
      <c r="A215" s="137">
        <v>511</v>
      </c>
      <c r="B215" s="137">
        <v>0</v>
      </c>
      <c r="C215" s="137">
        <v>0</v>
      </c>
      <c r="D215" s="137">
        <v>0</v>
      </c>
      <c r="E215" s="137">
        <v>1</v>
      </c>
      <c r="F215" s="137">
        <v>0</v>
      </c>
      <c r="G215" s="137">
        <v>1</v>
      </c>
      <c r="H215" s="137">
        <v>1</v>
      </c>
      <c r="J215" s="153">
        <v>511</v>
      </c>
      <c r="K215" s="137">
        <v>0</v>
      </c>
      <c r="L215" s="137">
        <v>0</v>
      </c>
      <c r="M215" s="137">
        <v>0</v>
      </c>
      <c r="N215" s="137">
        <v>1</v>
      </c>
      <c r="O215" s="137">
        <v>0</v>
      </c>
      <c r="P215" s="137">
        <v>1</v>
      </c>
      <c r="Q215" s="154">
        <v>1</v>
      </c>
    </row>
    <row r="216" spans="1:17" x14ac:dyDescent="0.25">
      <c r="A216" s="137">
        <v>512</v>
      </c>
      <c r="B216" s="137">
        <v>0</v>
      </c>
      <c r="C216" s="137">
        <v>0</v>
      </c>
      <c r="D216" s="137">
        <v>2</v>
      </c>
      <c r="E216" s="137">
        <v>0</v>
      </c>
      <c r="F216" s="137">
        <v>0</v>
      </c>
      <c r="G216" s="137">
        <v>2</v>
      </c>
      <c r="H216" s="137">
        <v>2</v>
      </c>
      <c r="J216" s="153">
        <v>512</v>
      </c>
      <c r="K216" s="137">
        <v>0</v>
      </c>
      <c r="L216" s="137">
        <v>0</v>
      </c>
      <c r="M216" s="137">
        <v>2</v>
      </c>
      <c r="N216" s="137">
        <v>0</v>
      </c>
      <c r="O216" s="137">
        <v>0</v>
      </c>
      <c r="P216" s="137">
        <v>2</v>
      </c>
      <c r="Q216" s="154">
        <v>2</v>
      </c>
    </row>
    <row r="217" spans="1:17" x14ac:dyDescent="0.25">
      <c r="A217" s="137">
        <v>520</v>
      </c>
      <c r="B217" s="137">
        <v>0</v>
      </c>
      <c r="C217" s="137">
        <v>1</v>
      </c>
      <c r="D217" s="137">
        <v>0</v>
      </c>
      <c r="E217" s="137">
        <v>1</v>
      </c>
      <c r="F217" s="137">
        <v>0</v>
      </c>
      <c r="G217" s="137">
        <v>2</v>
      </c>
      <c r="H217" s="137">
        <v>2</v>
      </c>
      <c r="J217" s="153">
        <v>520</v>
      </c>
      <c r="K217" s="137">
        <v>0</v>
      </c>
      <c r="L217" s="137">
        <v>1</v>
      </c>
      <c r="M217" s="137">
        <v>0</v>
      </c>
      <c r="N217" s="137">
        <v>1</v>
      </c>
      <c r="O217" s="137">
        <v>0</v>
      </c>
      <c r="P217" s="137">
        <v>2</v>
      </c>
      <c r="Q217" s="154">
        <v>2</v>
      </c>
    </row>
    <row r="218" spans="1:17" x14ac:dyDescent="0.25">
      <c r="A218" s="137">
        <v>521</v>
      </c>
      <c r="B218" s="137">
        <v>0</v>
      </c>
      <c r="C218" s="137">
        <v>2</v>
      </c>
      <c r="D218" s="137">
        <v>0</v>
      </c>
      <c r="E218" s="137">
        <v>0</v>
      </c>
      <c r="F218" s="137">
        <v>0</v>
      </c>
      <c r="G218" s="137">
        <v>2</v>
      </c>
      <c r="H218" s="137">
        <v>2</v>
      </c>
      <c r="J218" s="153">
        <v>521</v>
      </c>
      <c r="K218" s="137">
        <v>0</v>
      </c>
      <c r="L218" s="137">
        <v>2</v>
      </c>
      <c r="M218" s="137">
        <v>0</v>
      </c>
      <c r="N218" s="137">
        <v>0</v>
      </c>
      <c r="O218" s="137">
        <v>0</v>
      </c>
      <c r="P218" s="137">
        <v>2</v>
      </c>
      <c r="Q218" s="154">
        <v>2</v>
      </c>
    </row>
    <row r="219" spans="1:17" x14ac:dyDescent="0.25">
      <c r="A219" s="137">
        <v>522</v>
      </c>
      <c r="B219" s="137">
        <v>0</v>
      </c>
      <c r="C219" s="137">
        <v>2</v>
      </c>
      <c r="D219" s="137">
        <v>0</v>
      </c>
      <c r="E219" s="137">
        <v>0</v>
      </c>
      <c r="F219" s="137">
        <v>0</v>
      </c>
      <c r="G219" s="137">
        <v>2</v>
      </c>
      <c r="H219" s="137">
        <v>2</v>
      </c>
      <c r="J219" s="153">
        <v>522</v>
      </c>
      <c r="K219" s="137">
        <v>0</v>
      </c>
      <c r="L219" s="137">
        <v>2</v>
      </c>
      <c r="M219" s="137">
        <v>0</v>
      </c>
      <c r="N219" s="137">
        <v>0</v>
      </c>
      <c r="O219" s="137">
        <v>0</v>
      </c>
      <c r="P219" s="137">
        <v>2</v>
      </c>
      <c r="Q219" s="154">
        <v>2</v>
      </c>
    </row>
    <row r="220" spans="1:17" x14ac:dyDescent="0.25">
      <c r="A220" s="137">
        <v>523</v>
      </c>
      <c r="B220" s="137">
        <v>0</v>
      </c>
      <c r="C220" s="137">
        <v>1</v>
      </c>
      <c r="D220" s="137">
        <v>0</v>
      </c>
      <c r="E220" s="137">
        <v>0</v>
      </c>
      <c r="F220" s="137">
        <v>0</v>
      </c>
      <c r="G220" s="137">
        <v>1</v>
      </c>
      <c r="H220" s="137">
        <v>1</v>
      </c>
      <c r="J220" s="153">
        <v>523</v>
      </c>
      <c r="K220" s="137">
        <v>0</v>
      </c>
      <c r="L220" s="137">
        <v>1</v>
      </c>
      <c r="M220" s="137">
        <v>0</v>
      </c>
      <c r="N220" s="137">
        <v>0</v>
      </c>
      <c r="O220" s="137">
        <v>0</v>
      </c>
      <c r="P220" s="137">
        <v>1</v>
      </c>
      <c r="Q220" s="154">
        <v>1</v>
      </c>
    </row>
    <row r="221" spans="1:17" x14ac:dyDescent="0.25">
      <c r="A221" s="137">
        <v>524</v>
      </c>
      <c r="B221" s="137">
        <v>0</v>
      </c>
      <c r="C221" s="137">
        <v>0</v>
      </c>
      <c r="D221" s="137">
        <v>0</v>
      </c>
      <c r="E221" s="137">
        <v>1</v>
      </c>
      <c r="F221" s="137">
        <v>0</v>
      </c>
      <c r="G221" s="137">
        <v>1</v>
      </c>
      <c r="H221" s="137">
        <v>1</v>
      </c>
      <c r="J221" s="153">
        <v>524</v>
      </c>
      <c r="K221" s="137">
        <v>0</v>
      </c>
      <c r="L221" s="137">
        <v>0</v>
      </c>
      <c r="M221" s="137">
        <v>0</v>
      </c>
      <c r="N221" s="137">
        <v>1</v>
      </c>
      <c r="O221" s="137">
        <v>0</v>
      </c>
      <c r="P221" s="137">
        <v>1</v>
      </c>
      <c r="Q221" s="154">
        <v>1</v>
      </c>
    </row>
    <row r="222" spans="1:17" x14ac:dyDescent="0.25">
      <c r="A222" s="137">
        <v>525</v>
      </c>
      <c r="B222" s="137">
        <v>1</v>
      </c>
      <c r="C222" s="137">
        <v>0</v>
      </c>
      <c r="D222" s="137">
        <v>0</v>
      </c>
      <c r="E222" s="137">
        <v>0</v>
      </c>
      <c r="F222" s="137">
        <v>0</v>
      </c>
      <c r="G222" s="137">
        <v>1</v>
      </c>
      <c r="H222" s="137">
        <v>1</v>
      </c>
      <c r="J222" s="153">
        <v>525</v>
      </c>
      <c r="K222" s="137">
        <v>1</v>
      </c>
      <c r="L222" s="137">
        <v>0</v>
      </c>
      <c r="M222" s="137">
        <v>0</v>
      </c>
      <c r="N222" s="137">
        <v>0</v>
      </c>
      <c r="O222" s="137">
        <v>0</v>
      </c>
      <c r="P222" s="137">
        <v>1</v>
      </c>
      <c r="Q222" s="154">
        <v>1</v>
      </c>
    </row>
    <row r="223" spans="1:17" x14ac:dyDescent="0.25">
      <c r="A223" s="137">
        <v>526</v>
      </c>
      <c r="B223" s="137">
        <v>0</v>
      </c>
      <c r="C223" s="137">
        <v>2</v>
      </c>
      <c r="D223" s="137">
        <v>0</v>
      </c>
      <c r="E223" s="137">
        <v>0</v>
      </c>
      <c r="F223" s="137">
        <v>0</v>
      </c>
      <c r="G223" s="137">
        <v>2</v>
      </c>
      <c r="H223" s="137">
        <v>2</v>
      </c>
      <c r="J223" s="153">
        <v>526</v>
      </c>
      <c r="K223" s="137">
        <v>0</v>
      </c>
      <c r="L223" s="137">
        <v>2</v>
      </c>
      <c r="M223" s="137">
        <v>0</v>
      </c>
      <c r="N223" s="137">
        <v>0</v>
      </c>
      <c r="O223" s="137">
        <v>0</v>
      </c>
      <c r="P223" s="137">
        <v>2</v>
      </c>
      <c r="Q223" s="154">
        <v>2</v>
      </c>
    </row>
    <row r="224" spans="1:17" x14ac:dyDescent="0.25">
      <c r="A224" s="137">
        <v>527</v>
      </c>
      <c r="B224" s="137">
        <v>0</v>
      </c>
      <c r="C224" s="137">
        <v>0</v>
      </c>
      <c r="D224" s="137">
        <v>0</v>
      </c>
      <c r="E224" s="137">
        <v>1</v>
      </c>
      <c r="F224" s="137">
        <v>0</v>
      </c>
      <c r="G224" s="137">
        <v>1</v>
      </c>
      <c r="H224" s="137">
        <v>1</v>
      </c>
      <c r="J224" s="153">
        <v>527</v>
      </c>
      <c r="K224" s="137">
        <v>0</v>
      </c>
      <c r="L224" s="137">
        <v>0</v>
      </c>
      <c r="M224" s="137">
        <v>0</v>
      </c>
      <c r="N224" s="137">
        <v>1</v>
      </c>
      <c r="O224" s="137">
        <v>0</v>
      </c>
      <c r="P224" s="137">
        <v>1</v>
      </c>
      <c r="Q224" s="154">
        <v>1</v>
      </c>
    </row>
    <row r="225" spans="1:17" x14ac:dyDescent="0.25">
      <c r="A225" s="137">
        <v>528</v>
      </c>
      <c r="B225" s="137">
        <v>0</v>
      </c>
      <c r="C225" s="137">
        <v>1</v>
      </c>
      <c r="D225" s="137">
        <v>0</v>
      </c>
      <c r="E225" s="137">
        <v>0</v>
      </c>
      <c r="F225" s="137">
        <v>0</v>
      </c>
      <c r="G225" s="137">
        <v>1</v>
      </c>
      <c r="H225" s="137">
        <v>1</v>
      </c>
      <c r="J225" s="153">
        <v>528</v>
      </c>
      <c r="K225" s="137">
        <v>0</v>
      </c>
      <c r="L225" s="137">
        <v>1</v>
      </c>
      <c r="M225" s="137">
        <v>0</v>
      </c>
      <c r="N225" s="137">
        <v>0</v>
      </c>
      <c r="O225" s="137">
        <v>0</v>
      </c>
      <c r="P225" s="137">
        <v>1</v>
      </c>
      <c r="Q225" s="154">
        <v>1</v>
      </c>
    </row>
    <row r="226" spans="1:17" x14ac:dyDescent="0.25">
      <c r="A226" s="137">
        <v>529</v>
      </c>
      <c r="B226" s="137">
        <v>0</v>
      </c>
      <c r="C226" s="137">
        <v>2</v>
      </c>
      <c r="D226" s="137">
        <v>0</v>
      </c>
      <c r="E226" s="137">
        <v>0</v>
      </c>
      <c r="F226" s="137">
        <v>0</v>
      </c>
      <c r="G226" s="137">
        <v>2</v>
      </c>
      <c r="H226" s="137">
        <v>2</v>
      </c>
      <c r="J226" s="153">
        <v>529</v>
      </c>
      <c r="K226" s="137">
        <v>0</v>
      </c>
      <c r="L226" s="137">
        <v>2</v>
      </c>
      <c r="M226" s="137">
        <v>0</v>
      </c>
      <c r="N226" s="137">
        <v>0</v>
      </c>
      <c r="O226" s="137">
        <v>0</v>
      </c>
      <c r="P226" s="137">
        <v>2</v>
      </c>
      <c r="Q226" s="154">
        <v>2</v>
      </c>
    </row>
    <row r="227" spans="1:17" x14ac:dyDescent="0.25">
      <c r="A227" s="137">
        <v>530</v>
      </c>
      <c r="B227" s="137">
        <v>0</v>
      </c>
      <c r="C227" s="137">
        <v>1</v>
      </c>
      <c r="D227" s="137">
        <v>0</v>
      </c>
      <c r="E227" s="137">
        <v>0</v>
      </c>
      <c r="F227" s="137">
        <v>0</v>
      </c>
      <c r="G227" s="137">
        <v>1</v>
      </c>
      <c r="H227" s="137">
        <v>1</v>
      </c>
      <c r="J227" s="153">
        <v>530</v>
      </c>
      <c r="K227" s="137">
        <v>0</v>
      </c>
      <c r="L227" s="137">
        <v>1</v>
      </c>
      <c r="M227" s="137">
        <v>0</v>
      </c>
      <c r="N227" s="137">
        <v>0</v>
      </c>
      <c r="O227" s="137">
        <v>0</v>
      </c>
      <c r="P227" s="137">
        <v>1</v>
      </c>
      <c r="Q227" s="154">
        <v>1</v>
      </c>
    </row>
    <row r="228" spans="1:17" x14ac:dyDescent="0.25">
      <c r="A228" s="137">
        <v>531</v>
      </c>
      <c r="B228" s="137">
        <v>0</v>
      </c>
      <c r="C228" s="137">
        <v>2</v>
      </c>
      <c r="D228" s="137">
        <v>0</v>
      </c>
      <c r="E228" s="137">
        <v>0</v>
      </c>
      <c r="F228" s="137">
        <v>0</v>
      </c>
      <c r="G228" s="137">
        <v>2</v>
      </c>
      <c r="H228" s="137">
        <v>2</v>
      </c>
      <c r="J228" s="153">
        <v>531</v>
      </c>
      <c r="K228" s="137">
        <v>0</v>
      </c>
      <c r="L228" s="137">
        <v>2</v>
      </c>
      <c r="M228" s="137">
        <v>0</v>
      </c>
      <c r="N228" s="137">
        <v>0</v>
      </c>
      <c r="O228" s="137">
        <v>0</v>
      </c>
      <c r="P228" s="137">
        <v>2</v>
      </c>
      <c r="Q228" s="154">
        <v>2</v>
      </c>
    </row>
    <row r="229" spans="1:17" x14ac:dyDescent="0.25">
      <c r="A229" s="137">
        <v>533</v>
      </c>
      <c r="B229" s="137">
        <v>0</v>
      </c>
      <c r="C229" s="137">
        <v>2</v>
      </c>
      <c r="D229" s="137">
        <v>0</v>
      </c>
      <c r="E229" s="137">
        <v>0</v>
      </c>
      <c r="F229" s="137">
        <v>0</v>
      </c>
      <c r="G229" s="137">
        <v>2</v>
      </c>
      <c r="H229" s="137">
        <v>2</v>
      </c>
      <c r="J229" s="153">
        <v>533</v>
      </c>
      <c r="K229" s="137">
        <v>0</v>
      </c>
      <c r="L229" s="137">
        <v>2</v>
      </c>
      <c r="M229" s="137">
        <v>0</v>
      </c>
      <c r="N229" s="137">
        <v>0</v>
      </c>
      <c r="O229" s="137">
        <v>0</v>
      </c>
      <c r="P229" s="137">
        <v>2</v>
      </c>
      <c r="Q229" s="154">
        <v>2</v>
      </c>
    </row>
    <row r="230" spans="1:17" x14ac:dyDescent="0.25">
      <c r="A230" s="137">
        <v>535</v>
      </c>
      <c r="B230" s="137">
        <v>0</v>
      </c>
      <c r="C230" s="137">
        <v>2</v>
      </c>
      <c r="D230" s="137">
        <v>0</v>
      </c>
      <c r="E230" s="137">
        <v>0</v>
      </c>
      <c r="F230" s="137">
        <v>0</v>
      </c>
      <c r="G230" s="137">
        <v>2</v>
      </c>
      <c r="H230" s="137">
        <v>2</v>
      </c>
      <c r="J230" s="153">
        <v>535</v>
      </c>
      <c r="K230" s="137">
        <v>0</v>
      </c>
      <c r="L230" s="137">
        <v>2</v>
      </c>
      <c r="M230" s="137">
        <v>0</v>
      </c>
      <c r="N230" s="137">
        <v>0</v>
      </c>
      <c r="O230" s="137">
        <v>0</v>
      </c>
      <c r="P230" s="137">
        <v>2</v>
      </c>
      <c r="Q230" s="154">
        <v>2</v>
      </c>
    </row>
    <row r="231" spans="1:17" x14ac:dyDescent="0.25">
      <c r="A231" s="137">
        <v>536</v>
      </c>
      <c r="B231" s="137">
        <v>0</v>
      </c>
      <c r="C231" s="137">
        <v>1</v>
      </c>
      <c r="D231" s="137">
        <v>0</v>
      </c>
      <c r="E231" s="137">
        <v>0</v>
      </c>
      <c r="F231" s="137">
        <v>0</v>
      </c>
      <c r="G231" s="137">
        <v>1</v>
      </c>
      <c r="H231" s="137">
        <v>1</v>
      </c>
      <c r="J231" s="153">
        <v>536</v>
      </c>
      <c r="K231" s="137">
        <v>0</v>
      </c>
      <c r="L231" s="137">
        <v>1</v>
      </c>
      <c r="M231" s="137">
        <v>0</v>
      </c>
      <c r="N231" s="137">
        <v>0</v>
      </c>
      <c r="O231" s="137">
        <v>0</v>
      </c>
      <c r="P231" s="137">
        <v>1</v>
      </c>
      <c r="Q231" s="154">
        <v>1</v>
      </c>
    </row>
    <row r="232" spans="1:17" x14ac:dyDescent="0.25">
      <c r="A232" s="137">
        <v>571</v>
      </c>
      <c r="B232" s="137">
        <v>0</v>
      </c>
      <c r="C232" s="137">
        <v>2</v>
      </c>
      <c r="D232" s="137">
        <v>0</v>
      </c>
      <c r="E232" s="137">
        <v>0</v>
      </c>
      <c r="F232" s="137">
        <v>0</v>
      </c>
      <c r="G232" s="137">
        <v>2</v>
      </c>
      <c r="H232" s="137">
        <v>2</v>
      </c>
      <c r="J232" s="153">
        <v>571</v>
      </c>
      <c r="K232" s="137">
        <v>0</v>
      </c>
      <c r="L232" s="137">
        <v>2</v>
      </c>
      <c r="M232" s="137">
        <v>0</v>
      </c>
      <c r="N232" s="137">
        <v>0</v>
      </c>
      <c r="O232" s="137">
        <v>0</v>
      </c>
      <c r="P232" s="137">
        <v>2</v>
      </c>
      <c r="Q232" s="154">
        <v>2</v>
      </c>
    </row>
    <row r="233" spans="1:17" x14ac:dyDescent="0.25">
      <c r="A233" s="137">
        <v>572</v>
      </c>
      <c r="B233" s="137">
        <v>0</v>
      </c>
      <c r="C233" s="137">
        <v>2</v>
      </c>
      <c r="D233" s="137">
        <v>0</v>
      </c>
      <c r="E233" s="137">
        <v>0</v>
      </c>
      <c r="F233" s="137">
        <v>0</v>
      </c>
      <c r="G233" s="137">
        <v>2</v>
      </c>
      <c r="H233" s="137">
        <v>2</v>
      </c>
      <c r="J233" s="153">
        <v>572</v>
      </c>
      <c r="K233" s="137">
        <v>0</v>
      </c>
      <c r="L233" s="137">
        <v>2</v>
      </c>
      <c r="M233" s="137">
        <v>0</v>
      </c>
      <c r="N233" s="137">
        <v>0</v>
      </c>
      <c r="O233" s="137">
        <v>0</v>
      </c>
      <c r="P233" s="137">
        <v>2</v>
      </c>
      <c r="Q233" s="154">
        <v>2</v>
      </c>
    </row>
    <row r="234" spans="1:17" x14ac:dyDescent="0.25">
      <c r="A234" s="137">
        <v>573</v>
      </c>
      <c r="B234" s="137">
        <v>0</v>
      </c>
      <c r="C234" s="137">
        <v>2</v>
      </c>
      <c r="D234" s="137">
        <v>0</v>
      </c>
      <c r="E234" s="137">
        <v>0</v>
      </c>
      <c r="F234" s="137">
        <v>0</v>
      </c>
      <c r="G234" s="137">
        <v>2</v>
      </c>
      <c r="H234" s="137">
        <v>2</v>
      </c>
      <c r="J234" s="153">
        <v>573</v>
      </c>
      <c r="K234" s="137">
        <v>0</v>
      </c>
      <c r="L234" s="137">
        <v>2</v>
      </c>
      <c r="M234" s="137">
        <v>0</v>
      </c>
      <c r="N234" s="137">
        <v>0</v>
      </c>
      <c r="O234" s="137">
        <v>0</v>
      </c>
      <c r="P234" s="137">
        <v>2</v>
      </c>
      <c r="Q234" s="154">
        <v>2</v>
      </c>
    </row>
    <row r="235" spans="1:17" x14ac:dyDescent="0.25">
      <c r="A235" s="137">
        <v>574</v>
      </c>
      <c r="B235" s="137">
        <v>0</v>
      </c>
      <c r="C235" s="137">
        <v>1</v>
      </c>
      <c r="D235" s="137">
        <v>0</v>
      </c>
      <c r="E235" s="137">
        <v>0</v>
      </c>
      <c r="F235" s="137">
        <v>0</v>
      </c>
      <c r="G235" s="137">
        <v>1</v>
      </c>
      <c r="H235" s="137">
        <v>1</v>
      </c>
      <c r="J235" s="153">
        <v>574</v>
      </c>
      <c r="K235" s="137">
        <v>0</v>
      </c>
      <c r="L235" s="137">
        <v>1</v>
      </c>
      <c r="M235" s="137">
        <v>0</v>
      </c>
      <c r="N235" s="137">
        <v>0</v>
      </c>
      <c r="O235" s="137">
        <v>0</v>
      </c>
      <c r="P235" s="137">
        <v>1</v>
      </c>
      <c r="Q235" s="154">
        <v>1</v>
      </c>
    </row>
    <row r="236" spans="1:17" x14ac:dyDescent="0.25">
      <c r="A236" s="137">
        <v>575</v>
      </c>
      <c r="B236" s="137">
        <v>0</v>
      </c>
      <c r="C236" s="137">
        <v>2</v>
      </c>
      <c r="D236" s="137">
        <v>0</v>
      </c>
      <c r="E236" s="137">
        <v>0</v>
      </c>
      <c r="F236" s="137">
        <v>0</v>
      </c>
      <c r="G236" s="137">
        <v>2</v>
      </c>
      <c r="H236" s="137">
        <v>2</v>
      </c>
      <c r="J236" s="153">
        <v>575</v>
      </c>
      <c r="K236" s="137">
        <v>0</v>
      </c>
      <c r="L236" s="137">
        <v>2</v>
      </c>
      <c r="M236" s="137">
        <v>0</v>
      </c>
      <c r="N236" s="137">
        <v>0</v>
      </c>
      <c r="O236" s="137">
        <v>0</v>
      </c>
      <c r="P236" s="137">
        <v>2</v>
      </c>
      <c r="Q236" s="154">
        <v>2</v>
      </c>
    </row>
    <row r="237" spans="1:17" x14ac:dyDescent="0.25">
      <c r="A237" s="137">
        <v>577</v>
      </c>
      <c r="B237" s="137">
        <v>0</v>
      </c>
      <c r="C237" s="137">
        <v>2</v>
      </c>
      <c r="D237" s="137">
        <v>0</v>
      </c>
      <c r="E237" s="137">
        <v>0</v>
      </c>
      <c r="F237" s="137">
        <v>0</v>
      </c>
      <c r="G237" s="137">
        <v>2</v>
      </c>
      <c r="H237" s="137">
        <v>2</v>
      </c>
      <c r="J237" s="153">
        <v>577</v>
      </c>
      <c r="K237" s="137">
        <v>0</v>
      </c>
      <c r="L237" s="137">
        <v>2</v>
      </c>
      <c r="M237" s="137">
        <v>0</v>
      </c>
      <c r="N237" s="137">
        <v>0</v>
      </c>
      <c r="O237" s="137">
        <v>0</v>
      </c>
      <c r="P237" s="137">
        <v>2</v>
      </c>
      <c r="Q237" s="154">
        <v>2</v>
      </c>
    </row>
    <row r="238" spans="1:17" x14ac:dyDescent="0.25">
      <c r="A238" s="137">
        <v>578</v>
      </c>
      <c r="B238" s="137">
        <v>0</v>
      </c>
      <c r="C238" s="137">
        <v>1</v>
      </c>
      <c r="D238" s="137">
        <v>0</v>
      </c>
      <c r="E238" s="137">
        <v>0</v>
      </c>
      <c r="F238" s="137">
        <v>0</v>
      </c>
      <c r="G238" s="137">
        <v>1</v>
      </c>
      <c r="H238" s="137">
        <v>1</v>
      </c>
      <c r="J238" s="153">
        <v>578</v>
      </c>
      <c r="K238" s="137">
        <v>0</v>
      </c>
      <c r="L238" s="137">
        <v>1</v>
      </c>
      <c r="M238" s="137">
        <v>0</v>
      </c>
      <c r="N238" s="137">
        <v>0</v>
      </c>
      <c r="O238" s="137">
        <v>0</v>
      </c>
      <c r="P238" s="137">
        <v>1</v>
      </c>
      <c r="Q238" s="154">
        <v>1</v>
      </c>
    </row>
    <row r="239" spans="1:17" x14ac:dyDescent="0.25">
      <c r="A239" s="137">
        <v>579</v>
      </c>
      <c r="B239" s="137">
        <v>0</v>
      </c>
      <c r="C239" s="137">
        <v>2</v>
      </c>
      <c r="D239" s="137">
        <v>0</v>
      </c>
      <c r="E239" s="137">
        <v>0</v>
      </c>
      <c r="F239" s="137">
        <v>0</v>
      </c>
      <c r="G239" s="137">
        <v>2</v>
      </c>
      <c r="H239" s="137">
        <v>2</v>
      </c>
      <c r="J239" s="153">
        <v>579</v>
      </c>
      <c r="K239" s="137">
        <v>0</v>
      </c>
      <c r="L239" s="137">
        <v>2</v>
      </c>
      <c r="M239" s="137">
        <v>0</v>
      </c>
      <c r="N239" s="137">
        <v>0</v>
      </c>
      <c r="O239" s="137">
        <v>0</v>
      </c>
      <c r="P239" s="137">
        <v>2</v>
      </c>
      <c r="Q239" s="154">
        <v>2</v>
      </c>
    </row>
    <row r="240" spans="1:17" x14ac:dyDescent="0.25">
      <c r="A240" s="137">
        <v>580</v>
      </c>
      <c r="B240" s="137">
        <v>2</v>
      </c>
      <c r="C240" s="137">
        <v>0</v>
      </c>
      <c r="D240" s="137">
        <v>0</v>
      </c>
      <c r="E240" s="137">
        <v>0</v>
      </c>
      <c r="F240" s="137">
        <v>0</v>
      </c>
      <c r="G240" s="137">
        <v>3</v>
      </c>
      <c r="H240" s="137">
        <v>2</v>
      </c>
      <c r="J240" s="153">
        <v>580</v>
      </c>
      <c r="K240" s="137">
        <v>2</v>
      </c>
      <c r="L240" s="137">
        <v>0</v>
      </c>
      <c r="M240" s="137">
        <v>0</v>
      </c>
      <c r="N240" s="137">
        <v>0</v>
      </c>
      <c r="O240" s="137">
        <v>0</v>
      </c>
      <c r="P240" s="137">
        <v>3</v>
      </c>
      <c r="Q240" s="154">
        <f t="shared" ref="Q240:Q243" si="1">SUM(K240:O240)</f>
        <v>2</v>
      </c>
    </row>
    <row r="241" spans="1:17" x14ac:dyDescent="0.25">
      <c r="A241" s="137">
        <v>581</v>
      </c>
      <c r="B241" s="137">
        <v>0</v>
      </c>
      <c r="C241" s="137">
        <v>2</v>
      </c>
      <c r="D241" s="137">
        <v>0</v>
      </c>
      <c r="E241" s="137">
        <v>0</v>
      </c>
      <c r="F241" s="137">
        <v>0</v>
      </c>
      <c r="G241" s="137">
        <v>3</v>
      </c>
      <c r="H241" s="137">
        <v>2</v>
      </c>
      <c r="J241" s="153">
        <v>581</v>
      </c>
      <c r="K241" s="137">
        <v>0</v>
      </c>
      <c r="L241" s="137">
        <v>2</v>
      </c>
      <c r="M241" s="137">
        <v>0</v>
      </c>
      <c r="N241" s="137">
        <v>0</v>
      </c>
      <c r="O241" s="137">
        <v>0</v>
      </c>
      <c r="P241" s="137">
        <v>3</v>
      </c>
      <c r="Q241" s="154">
        <f t="shared" si="1"/>
        <v>2</v>
      </c>
    </row>
    <row r="242" spans="1:17" x14ac:dyDescent="0.25">
      <c r="A242" s="137">
        <v>582</v>
      </c>
      <c r="B242" s="137">
        <v>2</v>
      </c>
      <c r="C242" s="137">
        <v>0</v>
      </c>
      <c r="D242" s="137">
        <v>0</v>
      </c>
      <c r="E242" s="137">
        <v>0</v>
      </c>
      <c r="F242" s="137">
        <v>0</v>
      </c>
      <c r="G242" s="137">
        <v>3</v>
      </c>
      <c r="H242" s="137">
        <v>2</v>
      </c>
      <c r="J242" s="153">
        <v>582</v>
      </c>
      <c r="K242" s="137">
        <v>2</v>
      </c>
      <c r="L242" s="137">
        <v>0</v>
      </c>
      <c r="M242" s="137">
        <v>0</v>
      </c>
      <c r="N242" s="137">
        <v>0</v>
      </c>
      <c r="O242" s="137">
        <v>0</v>
      </c>
      <c r="P242" s="137">
        <v>3</v>
      </c>
      <c r="Q242" s="154">
        <f t="shared" si="1"/>
        <v>2</v>
      </c>
    </row>
    <row r="243" spans="1:17" x14ac:dyDescent="0.25">
      <c r="A243" s="137">
        <v>583</v>
      </c>
      <c r="B243" s="137">
        <v>0</v>
      </c>
      <c r="C243" s="137">
        <v>2</v>
      </c>
      <c r="D243" s="137">
        <v>0</v>
      </c>
      <c r="E243" s="137">
        <v>0</v>
      </c>
      <c r="F243" s="137">
        <v>0</v>
      </c>
      <c r="G243" s="137">
        <v>3</v>
      </c>
      <c r="H243" s="137">
        <v>2</v>
      </c>
      <c r="J243" s="153">
        <v>583</v>
      </c>
      <c r="K243" s="137">
        <v>0</v>
      </c>
      <c r="L243" s="137">
        <v>2</v>
      </c>
      <c r="M243" s="137">
        <v>0</v>
      </c>
      <c r="N243" s="137">
        <v>0</v>
      </c>
      <c r="O243" s="137">
        <v>0</v>
      </c>
      <c r="P243" s="137">
        <v>3</v>
      </c>
      <c r="Q243" s="154">
        <f t="shared" si="1"/>
        <v>2</v>
      </c>
    </row>
    <row r="244" spans="1:17" x14ac:dyDescent="0.25">
      <c r="A244" s="137">
        <v>601</v>
      </c>
      <c r="B244" s="137">
        <v>0</v>
      </c>
      <c r="C244" s="137">
        <v>1</v>
      </c>
      <c r="D244" s="137">
        <v>0</v>
      </c>
      <c r="E244" s="137">
        <v>0</v>
      </c>
      <c r="F244" s="137">
        <v>0</v>
      </c>
      <c r="G244" s="137">
        <v>1</v>
      </c>
      <c r="H244" s="137">
        <v>1</v>
      </c>
      <c r="J244" s="153">
        <v>601</v>
      </c>
      <c r="K244" s="137">
        <v>0</v>
      </c>
      <c r="L244" s="137">
        <v>1</v>
      </c>
      <c r="M244" s="137">
        <v>0</v>
      </c>
      <c r="N244" s="137">
        <v>0</v>
      </c>
      <c r="O244" s="137">
        <v>0</v>
      </c>
      <c r="P244" s="137">
        <v>1</v>
      </c>
      <c r="Q244" s="154">
        <v>1</v>
      </c>
    </row>
    <row r="245" spans="1:17" x14ac:dyDescent="0.25">
      <c r="A245" s="137">
        <v>602</v>
      </c>
      <c r="B245" s="137">
        <v>0</v>
      </c>
      <c r="C245" s="137">
        <v>0</v>
      </c>
      <c r="D245" s="137">
        <v>0</v>
      </c>
      <c r="E245" s="137">
        <v>1</v>
      </c>
      <c r="F245" s="137">
        <v>0</v>
      </c>
      <c r="G245" s="137">
        <v>1</v>
      </c>
      <c r="H245" s="137">
        <v>1</v>
      </c>
      <c r="J245" s="153">
        <v>602</v>
      </c>
      <c r="K245" s="137">
        <v>0</v>
      </c>
      <c r="L245" s="137">
        <v>0</v>
      </c>
      <c r="M245" s="137">
        <v>0</v>
      </c>
      <c r="N245" s="137">
        <v>1</v>
      </c>
      <c r="O245" s="137">
        <v>0</v>
      </c>
      <c r="P245" s="137">
        <v>1</v>
      </c>
      <c r="Q245" s="154">
        <v>1</v>
      </c>
    </row>
    <row r="246" spans="1:17" x14ac:dyDescent="0.25">
      <c r="A246" s="137">
        <v>605</v>
      </c>
      <c r="B246" s="137">
        <v>0</v>
      </c>
      <c r="C246" s="137">
        <v>0</v>
      </c>
      <c r="D246" s="137">
        <v>0</v>
      </c>
      <c r="E246" s="137">
        <v>1</v>
      </c>
      <c r="F246" s="137">
        <v>0</v>
      </c>
      <c r="G246" s="137">
        <v>1</v>
      </c>
      <c r="H246" s="137">
        <v>1</v>
      </c>
      <c r="J246" s="153">
        <v>605</v>
      </c>
      <c r="K246" s="137">
        <v>0</v>
      </c>
      <c r="L246" s="137">
        <v>0</v>
      </c>
      <c r="M246" s="137">
        <v>0</v>
      </c>
      <c r="N246" s="137">
        <v>1</v>
      </c>
      <c r="O246" s="137">
        <v>0</v>
      </c>
      <c r="P246" s="137">
        <v>1</v>
      </c>
      <c r="Q246" s="154">
        <v>1</v>
      </c>
    </row>
    <row r="247" spans="1:17" x14ac:dyDescent="0.25">
      <c r="A247" s="137">
        <v>606</v>
      </c>
      <c r="B247" s="137">
        <v>0</v>
      </c>
      <c r="C247" s="137">
        <v>0</v>
      </c>
      <c r="D247" s="137">
        <v>0</v>
      </c>
      <c r="E247" s="137">
        <v>1</v>
      </c>
      <c r="F247" s="137">
        <v>0</v>
      </c>
      <c r="G247" s="137">
        <v>1</v>
      </c>
      <c r="H247" s="137">
        <v>1</v>
      </c>
      <c r="J247" s="153">
        <v>606</v>
      </c>
      <c r="K247" s="137">
        <v>0</v>
      </c>
      <c r="L247" s="137">
        <v>0</v>
      </c>
      <c r="M247" s="137">
        <v>0</v>
      </c>
      <c r="N247" s="137">
        <v>1</v>
      </c>
      <c r="O247" s="137">
        <v>0</v>
      </c>
      <c r="P247" s="137">
        <v>1</v>
      </c>
      <c r="Q247" s="154">
        <v>1</v>
      </c>
    </row>
    <row r="248" spans="1:17" x14ac:dyDescent="0.25">
      <c r="A248" s="137">
        <v>608</v>
      </c>
      <c r="B248" s="137">
        <v>0</v>
      </c>
      <c r="C248" s="137">
        <v>0</v>
      </c>
      <c r="D248" s="137">
        <v>0</v>
      </c>
      <c r="E248" s="137">
        <v>1</v>
      </c>
      <c r="F248" s="137">
        <v>0</v>
      </c>
      <c r="G248" s="137">
        <v>1</v>
      </c>
      <c r="H248" s="137">
        <v>1</v>
      </c>
      <c r="J248" s="153">
        <v>608</v>
      </c>
      <c r="K248" s="137">
        <v>0</v>
      </c>
      <c r="L248" s="137">
        <v>0</v>
      </c>
      <c r="M248" s="137">
        <v>0</v>
      </c>
      <c r="N248" s="137">
        <v>1</v>
      </c>
      <c r="O248" s="137">
        <v>0</v>
      </c>
      <c r="P248" s="137">
        <v>1</v>
      </c>
      <c r="Q248" s="154">
        <v>1</v>
      </c>
    </row>
    <row r="249" spans="1:17" x14ac:dyDescent="0.25">
      <c r="A249" s="137">
        <v>609</v>
      </c>
      <c r="B249" s="137">
        <v>0</v>
      </c>
      <c r="C249" s="137">
        <v>0</v>
      </c>
      <c r="D249" s="137">
        <v>0</v>
      </c>
      <c r="E249" s="137">
        <v>0</v>
      </c>
      <c r="F249" s="137">
        <v>1</v>
      </c>
      <c r="G249" s="137">
        <v>0</v>
      </c>
      <c r="H249" s="137">
        <v>0</v>
      </c>
      <c r="J249" s="153">
        <v>609</v>
      </c>
      <c r="K249" s="137">
        <v>0</v>
      </c>
      <c r="L249" s="137">
        <v>0</v>
      </c>
      <c r="M249" s="137">
        <v>0</v>
      </c>
      <c r="N249" s="137">
        <v>0</v>
      </c>
      <c r="O249" s="137">
        <v>1</v>
      </c>
      <c r="P249" s="137">
        <v>0</v>
      </c>
      <c r="Q249" s="154">
        <v>0</v>
      </c>
    </row>
    <row r="250" spans="1:17" x14ac:dyDescent="0.25">
      <c r="A250" s="137">
        <v>612</v>
      </c>
      <c r="B250" s="137">
        <v>0</v>
      </c>
      <c r="C250" s="137">
        <v>0</v>
      </c>
      <c r="D250" s="137">
        <v>0</v>
      </c>
      <c r="E250" s="137">
        <v>1</v>
      </c>
      <c r="F250" s="137">
        <v>0</v>
      </c>
      <c r="G250" s="137">
        <v>1</v>
      </c>
      <c r="H250" s="137">
        <v>1</v>
      </c>
      <c r="J250" s="153">
        <v>612</v>
      </c>
      <c r="K250" s="137">
        <v>0</v>
      </c>
      <c r="L250" s="137">
        <v>0</v>
      </c>
      <c r="M250" s="137">
        <v>0</v>
      </c>
      <c r="N250" s="137">
        <v>1</v>
      </c>
      <c r="O250" s="137">
        <v>0</v>
      </c>
      <c r="P250" s="137">
        <v>1</v>
      </c>
      <c r="Q250" s="154">
        <v>1</v>
      </c>
    </row>
    <row r="251" spans="1:17" x14ac:dyDescent="0.25">
      <c r="A251" s="137">
        <v>613</v>
      </c>
      <c r="B251" s="137">
        <v>0</v>
      </c>
      <c r="C251" s="137">
        <v>0</v>
      </c>
      <c r="D251" s="137">
        <v>0</v>
      </c>
      <c r="E251" s="137">
        <v>1</v>
      </c>
      <c r="F251" s="137">
        <v>0</v>
      </c>
      <c r="G251" s="137">
        <v>1</v>
      </c>
      <c r="H251" s="137">
        <v>1</v>
      </c>
      <c r="J251" s="153">
        <v>613</v>
      </c>
      <c r="K251" s="137">
        <v>0</v>
      </c>
      <c r="L251" s="137">
        <v>0</v>
      </c>
      <c r="M251" s="137">
        <v>0</v>
      </c>
      <c r="N251" s="137">
        <v>1</v>
      </c>
      <c r="O251" s="137">
        <v>0</v>
      </c>
      <c r="P251" s="137">
        <v>1</v>
      </c>
      <c r="Q251" s="154">
        <v>1</v>
      </c>
    </row>
    <row r="252" spans="1:17" x14ac:dyDescent="0.25">
      <c r="A252" s="137">
        <v>614</v>
      </c>
      <c r="B252" s="137">
        <v>0</v>
      </c>
      <c r="C252" s="137">
        <v>2</v>
      </c>
      <c r="D252" s="137">
        <v>0</v>
      </c>
      <c r="E252" s="137">
        <v>0</v>
      </c>
      <c r="F252" s="137">
        <v>0</v>
      </c>
      <c r="G252" s="137">
        <v>2</v>
      </c>
      <c r="H252" s="137">
        <v>2</v>
      </c>
      <c r="J252" s="153">
        <v>614</v>
      </c>
      <c r="K252" s="137">
        <v>0</v>
      </c>
      <c r="L252" s="137">
        <v>2</v>
      </c>
      <c r="M252" s="137">
        <v>0</v>
      </c>
      <c r="N252" s="137">
        <v>0</v>
      </c>
      <c r="O252" s="137">
        <v>0</v>
      </c>
      <c r="P252" s="137">
        <v>2</v>
      </c>
      <c r="Q252" s="154">
        <v>2</v>
      </c>
    </row>
    <row r="253" spans="1:17" x14ac:dyDescent="0.25">
      <c r="A253" s="137">
        <v>651</v>
      </c>
      <c r="B253" s="137">
        <v>0</v>
      </c>
      <c r="C253" s="137">
        <v>0</v>
      </c>
      <c r="D253" s="137">
        <v>0</v>
      </c>
      <c r="E253" s="137">
        <v>0</v>
      </c>
      <c r="F253" s="137">
        <v>1</v>
      </c>
      <c r="G253" s="137">
        <v>0</v>
      </c>
      <c r="H253" s="137">
        <v>0</v>
      </c>
      <c r="J253" s="153">
        <v>651</v>
      </c>
      <c r="K253" s="137">
        <v>0</v>
      </c>
      <c r="L253" s="137">
        <v>0</v>
      </c>
      <c r="M253" s="137">
        <v>0</v>
      </c>
      <c r="N253" s="137">
        <v>0</v>
      </c>
      <c r="O253" s="137">
        <v>1</v>
      </c>
      <c r="P253" s="137">
        <v>0</v>
      </c>
      <c r="Q253" s="154">
        <v>0</v>
      </c>
    </row>
    <row r="254" spans="1:17" x14ac:dyDescent="0.25">
      <c r="A254" s="137">
        <v>652</v>
      </c>
      <c r="B254" s="137">
        <v>0</v>
      </c>
      <c r="C254" s="137">
        <v>2</v>
      </c>
      <c r="D254" s="137">
        <v>0</v>
      </c>
      <c r="E254" s="137">
        <v>0</v>
      </c>
      <c r="F254" s="137">
        <v>0</v>
      </c>
      <c r="G254" s="137">
        <v>2</v>
      </c>
      <c r="H254" s="137">
        <v>2</v>
      </c>
      <c r="J254" s="153">
        <v>652</v>
      </c>
      <c r="K254" s="137">
        <v>0</v>
      </c>
      <c r="L254" s="137">
        <v>2</v>
      </c>
      <c r="M254" s="137">
        <v>0</v>
      </c>
      <c r="N254" s="137">
        <v>0</v>
      </c>
      <c r="O254" s="137">
        <v>0</v>
      </c>
      <c r="P254" s="137">
        <v>2</v>
      </c>
      <c r="Q254" s="154">
        <v>2</v>
      </c>
    </row>
    <row r="255" spans="1:17" x14ac:dyDescent="0.25">
      <c r="A255" s="137">
        <v>686</v>
      </c>
      <c r="B255" s="137">
        <v>0</v>
      </c>
      <c r="C255" s="137">
        <v>1</v>
      </c>
      <c r="D255" s="137">
        <v>0</v>
      </c>
      <c r="E255" s="137">
        <v>0</v>
      </c>
      <c r="F255" s="137">
        <v>0</v>
      </c>
      <c r="G255" s="137">
        <v>1</v>
      </c>
      <c r="H255" s="137">
        <v>1</v>
      </c>
      <c r="J255" s="153">
        <v>686</v>
      </c>
      <c r="K255" s="137">
        <v>0</v>
      </c>
      <c r="L255" s="137">
        <v>1</v>
      </c>
      <c r="M255" s="137">
        <v>0</v>
      </c>
      <c r="N255" s="137">
        <v>0</v>
      </c>
      <c r="O255" s="137">
        <v>0</v>
      </c>
      <c r="P255" s="137">
        <v>1</v>
      </c>
      <c r="Q255" s="154">
        <v>1</v>
      </c>
    </row>
    <row r="256" spans="1:17" x14ac:dyDescent="0.25">
      <c r="A256" s="137">
        <v>688</v>
      </c>
      <c r="B256" s="137">
        <v>0</v>
      </c>
      <c r="C256" s="137">
        <v>0</v>
      </c>
      <c r="D256" s="137">
        <v>0</v>
      </c>
      <c r="E256" s="137">
        <v>1</v>
      </c>
      <c r="F256" s="137">
        <v>0</v>
      </c>
      <c r="G256" s="137">
        <v>1</v>
      </c>
      <c r="H256" s="137">
        <v>1</v>
      </c>
      <c r="J256" s="153">
        <v>688</v>
      </c>
      <c r="K256" s="137">
        <v>0</v>
      </c>
      <c r="L256" s="137">
        <v>0</v>
      </c>
      <c r="M256" s="137">
        <v>0</v>
      </c>
      <c r="N256" s="137">
        <v>1</v>
      </c>
      <c r="O256" s="137">
        <v>0</v>
      </c>
      <c r="P256" s="137">
        <v>1</v>
      </c>
      <c r="Q256" s="154">
        <v>1</v>
      </c>
    </row>
    <row r="257" spans="1:17" x14ac:dyDescent="0.25">
      <c r="A257" s="137">
        <v>690</v>
      </c>
      <c r="B257" s="137">
        <v>0</v>
      </c>
      <c r="C257" s="137">
        <v>0</v>
      </c>
      <c r="D257" s="137">
        <v>0</v>
      </c>
      <c r="E257" s="137">
        <v>0</v>
      </c>
      <c r="F257" s="137">
        <v>1</v>
      </c>
      <c r="G257" s="137">
        <v>0</v>
      </c>
      <c r="H257" s="137">
        <v>0</v>
      </c>
      <c r="J257" s="153">
        <v>690</v>
      </c>
      <c r="K257" s="137">
        <v>0</v>
      </c>
      <c r="L257" s="137">
        <v>0</v>
      </c>
      <c r="M257" s="137">
        <v>0</v>
      </c>
      <c r="N257" s="137">
        <v>0</v>
      </c>
      <c r="O257" s="137">
        <v>1</v>
      </c>
      <c r="P257" s="137">
        <v>0</v>
      </c>
      <c r="Q257" s="154">
        <v>0</v>
      </c>
    </row>
    <row r="258" spans="1:17" x14ac:dyDescent="0.25">
      <c r="A258" s="137">
        <v>692</v>
      </c>
      <c r="B258" s="137">
        <v>0</v>
      </c>
      <c r="C258" s="137">
        <v>0</v>
      </c>
      <c r="D258" s="137">
        <v>2</v>
      </c>
      <c r="E258" s="137">
        <v>0</v>
      </c>
      <c r="F258" s="137">
        <v>0</v>
      </c>
      <c r="G258" s="137">
        <v>2</v>
      </c>
      <c r="H258" s="137">
        <v>2</v>
      </c>
      <c r="J258" s="153">
        <v>692</v>
      </c>
      <c r="K258" s="137">
        <v>0</v>
      </c>
      <c r="L258" s="137">
        <v>0</v>
      </c>
      <c r="M258" s="137">
        <v>2</v>
      </c>
      <c r="N258" s="137">
        <v>0</v>
      </c>
      <c r="O258" s="137">
        <v>0</v>
      </c>
      <c r="P258" s="137">
        <v>2</v>
      </c>
      <c r="Q258" s="154">
        <v>2</v>
      </c>
    </row>
    <row r="259" spans="1:17" x14ac:dyDescent="0.25">
      <c r="A259" s="137">
        <v>721</v>
      </c>
      <c r="B259" s="137">
        <v>0</v>
      </c>
      <c r="C259" s="137">
        <v>2</v>
      </c>
      <c r="D259" s="137">
        <v>0</v>
      </c>
      <c r="E259" s="137">
        <v>0</v>
      </c>
      <c r="F259" s="137">
        <v>0</v>
      </c>
      <c r="G259" s="137">
        <v>2</v>
      </c>
      <c r="H259" s="137">
        <v>2</v>
      </c>
      <c r="J259" s="153">
        <v>721</v>
      </c>
      <c r="K259" s="137">
        <v>0</v>
      </c>
      <c r="L259" s="137">
        <v>2</v>
      </c>
      <c r="M259" s="137">
        <v>0</v>
      </c>
      <c r="N259" s="137">
        <v>0</v>
      </c>
      <c r="O259" s="137">
        <v>0</v>
      </c>
      <c r="P259" s="137">
        <v>2</v>
      </c>
      <c r="Q259" s="154">
        <v>2</v>
      </c>
    </row>
    <row r="260" spans="1:17" x14ac:dyDescent="0.25">
      <c r="A260" s="137">
        <v>722</v>
      </c>
      <c r="B260" s="137">
        <v>0</v>
      </c>
      <c r="C260" s="137">
        <v>1</v>
      </c>
      <c r="D260" s="137">
        <v>0</v>
      </c>
      <c r="E260" s="137">
        <v>0</v>
      </c>
      <c r="F260" s="137">
        <v>0</v>
      </c>
      <c r="G260" s="137">
        <v>1</v>
      </c>
      <c r="H260" s="137">
        <v>1</v>
      </c>
      <c r="J260" s="153">
        <v>722</v>
      </c>
      <c r="K260" s="137">
        <v>0</v>
      </c>
      <c r="L260" s="137">
        <v>1</v>
      </c>
      <c r="M260" s="137">
        <v>0</v>
      </c>
      <c r="N260" s="137">
        <v>0</v>
      </c>
      <c r="O260" s="137">
        <v>0</v>
      </c>
      <c r="P260" s="137">
        <v>1</v>
      </c>
      <c r="Q260" s="154">
        <v>1</v>
      </c>
    </row>
    <row r="261" spans="1:17" x14ac:dyDescent="0.25">
      <c r="A261" s="137">
        <v>723</v>
      </c>
      <c r="B261" s="137">
        <v>0</v>
      </c>
      <c r="C261" s="137">
        <v>0</v>
      </c>
      <c r="D261" s="137">
        <v>0</v>
      </c>
      <c r="E261" s="137">
        <v>0</v>
      </c>
      <c r="F261" s="137">
        <v>1</v>
      </c>
      <c r="G261" s="137">
        <v>0</v>
      </c>
      <c r="H261" s="137">
        <v>0</v>
      </c>
      <c r="J261" s="153">
        <v>723</v>
      </c>
      <c r="K261" s="137">
        <v>0</v>
      </c>
      <c r="L261" s="137">
        <v>0</v>
      </c>
      <c r="M261" s="137">
        <v>0</v>
      </c>
      <c r="N261" s="137">
        <v>0</v>
      </c>
      <c r="O261" s="137">
        <v>1</v>
      </c>
      <c r="P261" s="137">
        <v>0</v>
      </c>
      <c r="Q261" s="154">
        <v>0</v>
      </c>
    </row>
    <row r="262" spans="1:17" x14ac:dyDescent="0.25">
      <c r="A262" s="137">
        <v>724</v>
      </c>
      <c r="B262" s="137">
        <v>0</v>
      </c>
      <c r="C262" s="137">
        <v>0</v>
      </c>
      <c r="D262" s="137">
        <v>2</v>
      </c>
      <c r="E262" s="137">
        <v>0</v>
      </c>
      <c r="F262" s="137">
        <v>0</v>
      </c>
      <c r="G262" s="137">
        <v>2</v>
      </c>
      <c r="H262" s="137">
        <v>2</v>
      </c>
      <c r="J262" s="153">
        <v>724</v>
      </c>
      <c r="K262" s="137">
        <v>0</v>
      </c>
      <c r="L262" s="137">
        <v>0</v>
      </c>
      <c r="M262" s="137">
        <v>2</v>
      </c>
      <c r="N262" s="137">
        <v>0</v>
      </c>
      <c r="O262" s="137">
        <v>0</v>
      </c>
      <c r="P262" s="137">
        <v>2</v>
      </c>
      <c r="Q262" s="154">
        <v>2</v>
      </c>
    </row>
    <row r="263" spans="1:17" x14ac:dyDescent="0.25">
      <c r="A263" s="137">
        <v>725</v>
      </c>
      <c r="B263" s="137">
        <v>0</v>
      </c>
      <c r="C263" s="137">
        <v>2</v>
      </c>
      <c r="D263" s="137">
        <v>0</v>
      </c>
      <c r="E263" s="137">
        <v>0</v>
      </c>
      <c r="F263" s="137">
        <v>0</v>
      </c>
      <c r="G263" s="137">
        <v>2</v>
      </c>
      <c r="H263" s="137">
        <v>2</v>
      </c>
      <c r="J263" s="153">
        <v>725</v>
      </c>
      <c r="K263" s="137">
        <v>0</v>
      </c>
      <c r="L263" s="137">
        <v>2</v>
      </c>
      <c r="M263" s="137">
        <v>0</v>
      </c>
      <c r="N263" s="137">
        <v>0</v>
      </c>
      <c r="O263" s="137">
        <v>0</v>
      </c>
      <c r="P263" s="137">
        <v>2</v>
      </c>
      <c r="Q263" s="154">
        <v>2</v>
      </c>
    </row>
    <row r="264" spans="1:17" x14ac:dyDescent="0.25">
      <c r="A264" s="137">
        <v>726</v>
      </c>
      <c r="B264" s="137">
        <v>0</v>
      </c>
      <c r="C264" s="137">
        <v>1</v>
      </c>
      <c r="D264" s="137">
        <v>0</v>
      </c>
      <c r="E264" s="137">
        <v>0</v>
      </c>
      <c r="F264" s="137">
        <v>0</v>
      </c>
      <c r="G264" s="137">
        <v>1</v>
      </c>
      <c r="H264" s="137">
        <v>1</v>
      </c>
      <c r="J264" s="153">
        <v>726</v>
      </c>
      <c r="K264" s="137">
        <v>0</v>
      </c>
      <c r="L264" s="137">
        <v>1</v>
      </c>
      <c r="M264" s="137">
        <v>0</v>
      </c>
      <c r="N264" s="137">
        <v>0</v>
      </c>
      <c r="O264" s="137">
        <v>0</v>
      </c>
      <c r="P264" s="137">
        <v>1</v>
      </c>
      <c r="Q264" s="154">
        <v>1</v>
      </c>
    </row>
    <row r="265" spans="1:17" x14ac:dyDescent="0.25">
      <c r="A265" s="137">
        <v>727</v>
      </c>
      <c r="B265" s="137">
        <v>0</v>
      </c>
      <c r="C265" s="137">
        <v>0</v>
      </c>
      <c r="D265" s="137">
        <v>2</v>
      </c>
      <c r="E265" s="137">
        <v>0</v>
      </c>
      <c r="F265" s="137">
        <v>0</v>
      </c>
      <c r="G265" s="137">
        <v>2</v>
      </c>
      <c r="H265" s="137">
        <v>2</v>
      </c>
      <c r="J265" s="153">
        <v>727</v>
      </c>
      <c r="K265" s="137">
        <v>0</v>
      </c>
      <c r="L265" s="137">
        <v>0</v>
      </c>
      <c r="M265" s="137">
        <v>2</v>
      </c>
      <c r="N265" s="137">
        <v>0</v>
      </c>
      <c r="O265" s="137">
        <v>0</v>
      </c>
      <c r="P265" s="137">
        <v>2</v>
      </c>
      <c r="Q265" s="154">
        <v>2</v>
      </c>
    </row>
    <row r="266" spans="1:17" x14ac:dyDescent="0.25">
      <c r="A266" s="137">
        <v>728</v>
      </c>
      <c r="B266" s="137">
        <v>0</v>
      </c>
      <c r="C266" s="137">
        <v>2</v>
      </c>
      <c r="D266" s="137">
        <v>0</v>
      </c>
      <c r="E266" s="137">
        <v>0</v>
      </c>
      <c r="F266" s="137">
        <v>0</v>
      </c>
      <c r="G266" s="137">
        <v>2</v>
      </c>
      <c r="H266" s="137">
        <v>2</v>
      </c>
      <c r="J266" s="153">
        <v>728</v>
      </c>
      <c r="K266" s="137">
        <v>0</v>
      </c>
      <c r="L266" s="137">
        <v>2</v>
      </c>
      <c r="M266" s="137">
        <v>0</v>
      </c>
      <c r="N266" s="137">
        <v>0</v>
      </c>
      <c r="O266" s="137">
        <v>0</v>
      </c>
      <c r="P266" s="137">
        <v>2</v>
      </c>
      <c r="Q266" s="154">
        <v>2</v>
      </c>
    </row>
    <row r="267" spans="1:17" x14ac:dyDescent="0.25">
      <c r="A267" s="137">
        <v>729</v>
      </c>
      <c r="B267" s="137">
        <v>0</v>
      </c>
      <c r="C267" s="137">
        <v>1</v>
      </c>
      <c r="D267" s="137">
        <v>0</v>
      </c>
      <c r="E267" s="137">
        <v>0</v>
      </c>
      <c r="F267" s="137">
        <v>0</v>
      </c>
      <c r="G267" s="137">
        <v>1</v>
      </c>
      <c r="H267" s="137">
        <v>1</v>
      </c>
      <c r="J267" s="153">
        <v>729</v>
      </c>
      <c r="K267" s="137">
        <v>0</v>
      </c>
      <c r="L267" s="137">
        <v>1</v>
      </c>
      <c r="M267" s="137">
        <v>0</v>
      </c>
      <c r="N267" s="137">
        <v>0</v>
      </c>
      <c r="O267" s="137">
        <v>0</v>
      </c>
      <c r="P267" s="137">
        <v>1</v>
      </c>
      <c r="Q267" s="154">
        <v>1</v>
      </c>
    </row>
    <row r="268" spans="1:17" x14ac:dyDescent="0.25">
      <c r="A268" s="137">
        <v>730</v>
      </c>
      <c r="B268" s="137">
        <v>0</v>
      </c>
      <c r="C268" s="137">
        <v>2</v>
      </c>
      <c r="D268" s="137">
        <v>0</v>
      </c>
      <c r="E268" s="137">
        <v>0</v>
      </c>
      <c r="F268" s="137">
        <v>0</v>
      </c>
      <c r="G268" s="137">
        <v>3</v>
      </c>
      <c r="H268" s="137">
        <v>2</v>
      </c>
      <c r="J268" s="153">
        <v>730</v>
      </c>
      <c r="K268" s="137">
        <v>0</v>
      </c>
      <c r="L268" s="137">
        <v>2</v>
      </c>
      <c r="M268" s="137">
        <v>0</v>
      </c>
      <c r="N268" s="137">
        <v>0</v>
      </c>
      <c r="O268" s="137">
        <v>0</v>
      </c>
      <c r="P268" s="137">
        <v>3</v>
      </c>
      <c r="Q268" s="154">
        <f>SUM(K268:O268)</f>
        <v>2</v>
      </c>
    </row>
    <row r="269" spans="1:17" x14ac:dyDescent="0.25">
      <c r="A269" s="137">
        <v>731</v>
      </c>
      <c r="B269" s="137">
        <v>0</v>
      </c>
      <c r="C269" s="137">
        <v>2</v>
      </c>
      <c r="D269" s="137">
        <v>0</v>
      </c>
      <c r="E269" s="137">
        <v>0</v>
      </c>
      <c r="F269" s="137">
        <v>0</v>
      </c>
      <c r="G269" s="137">
        <v>2</v>
      </c>
      <c r="H269" s="137">
        <v>2</v>
      </c>
      <c r="J269" s="153">
        <v>731</v>
      </c>
      <c r="K269" s="137">
        <v>0</v>
      </c>
      <c r="L269" s="137">
        <v>2</v>
      </c>
      <c r="M269" s="137">
        <v>0</v>
      </c>
      <c r="N269" s="137">
        <v>0</v>
      </c>
      <c r="O269" s="137">
        <v>0</v>
      </c>
      <c r="P269" s="137">
        <v>2</v>
      </c>
      <c r="Q269" s="154">
        <v>2</v>
      </c>
    </row>
    <row r="270" spans="1:17" x14ac:dyDescent="0.25">
      <c r="A270" s="137">
        <v>733</v>
      </c>
      <c r="B270" s="137">
        <v>0</v>
      </c>
      <c r="C270" s="137">
        <v>0</v>
      </c>
      <c r="D270" s="137">
        <v>2</v>
      </c>
      <c r="E270" s="137">
        <v>0</v>
      </c>
      <c r="F270" s="137">
        <v>0</v>
      </c>
      <c r="G270" s="137">
        <v>3</v>
      </c>
      <c r="H270" s="137">
        <v>2</v>
      </c>
      <c r="J270" s="153">
        <v>733</v>
      </c>
      <c r="K270" s="137">
        <v>0</v>
      </c>
      <c r="L270" s="137">
        <v>0</v>
      </c>
      <c r="M270" s="137">
        <v>2</v>
      </c>
      <c r="N270" s="137">
        <v>0</v>
      </c>
      <c r="O270" s="137">
        <v>0</v>
      </c>
      <c r="P270" s="137">
        <v>3</v>
      </c>
      <c r="Q270" s="154">
        <f>SUM(K270:O270)</f>
        <v>2</v>
      </c>
    </row>
    <row r="271" spans="1:17" x14ac:dyDescent="0.25">
      <c r="A271" s="137">
        <v>734</v>
      </c>
      <c r="B271" s="137">
        <v>0</v>
      </c>
      <c r="C271" s="137">
        <v>2</v>
      </c>
      <c r="D271" s="137">
        <v>0</v>
      </c>
      <c r="E271" s="137">
        <v>0</v>
      </c>
      <c r="F271" s="137">
        <v>0</v>
      </c>
      <c r="G271" s="137">
        <v>2</v>
      </c>
      <c r="H271" s="137">
        <v>2</v>
      </c>
      <c r="J271" s="153">
        <v>734</v>
      </c>
      <c r="K271" s="137">
        <v>0</v>
      </c>
      <c r="L271" s="137">
        <v>2</v>
      </c>
      <c r="M271" s="137">
        <v>0</v>
      </c>
      <c r="N271" s="137">
        <v>0</v>
      </c>
      <c r="O271" s="137">
        <v>0</v>
      </c>
      <c r="P271" s="137">
        <v>2</v>
      </c>
      <c r="Q271" s="154">
        <v>2</v>
      </c>
    </row>
    <row r="272" spans="1:17" x14ac:dyDescent="0.25">
      <c r="A272" s="137">
        <v>735</v>
      </c>
      <c r="B272" s="137">
        <v>0</v>
      </c>
      <c r="C272" s="137">
        <v>2</v>
      </c>
      <c r="D272" s="137">
        <v>0</v>
      </c>
      <c r="E272" s="137">
        <v>0</v>
      </c>
      <c r="F272" s="137">
        <v>0</v>
      </c>
      <c r="G272" s="137">
        <v>2</v>
      </c>
      <c r="H272" s="137">
        <v>2</v>
      </c>
      <c r="J272" s="153">
        <v>735</v>
      </c>
      <c r="K272" s="137">
        <v>0</v>
      </c>
      <c r="L272" s="137">
        <v>2</v>
      </c>
      <c r="M272" s="137">
        <v>0</v>
      </c>
      <c r="N272" s="137">
        <v>0</v>
      </c>
      <c r="O272" s="137">
        <v>0</v>
      </c>
      <c r="P272" s="137">
        <v>2</v>
      </c>
      <c r="Q272" s="154">
        <v>2</v>
      </c>
    </row>
    <row r="273" spans="1:17" x14ac:dyDescent="0.25">
      <c r="A273" s="137">
        <v>751</v>
      </c>
      <c r="B273" s="137">
        <v>0</v>
      </c>
      <c r="C273" s="137">
        <v>1</v>
      </c>
      <c r="D273" s="137">
        <v>0</v>
      </c>
      <c r="E273" s="137">
        <v>0</v>
      </c>
      <c r="F273" s="137">
        <v>0</v>
      </c>
      <c r="G273" s="137">
        <v>1</v>
      </c>
      <c r="H273" s="137">
        <v>1</v>
      </c>
      <c r="J273" s="153">
        <v>751</v>
      </c>
      <c r="K273" s="137">
        <v>0</v>
      </c>
      <c r="L273" s="137">
        <v>1</v>
      </c>
      <c r="M273" s="137">
        <v>0</v>
      </c>
      <c r="N273" s="137">
        <v>0</v>
      </c>
      <c r="O273" s="137">
        <v>0</v>
      </c>
      <c r="P273" s="137">
        <v>1</v>
      </c>
      <c r="Q273" s="154">
        <v>1</v>
      </c>
    </row>
    <row r="274" spans="1:17" x14ac:dyDescent="0.25">
      <c r="A274" s="137">
        <v>752</v>
      </c>
      <c r="B274" s="137">
        <v>0</v>
      </c>
      <c r="C274" s="137">
        <v>0</v>
      </c>
      <c r="D274" s="137">
        <v>0</v>
      </c>
      <c r="E274" s="137">
        <v>1</v>
      </c>
      <c r="F274" s="137">
        <v>0</v>
      </c>
      <c r="G274" s="137">
        <v>1</v>
      </c>
      <c r="H274" s="137">
        <v>1</v>
      </c>
      <c r="J274" s="153">
        <v>752</v>
      </c>
      <c r="K274" s="137">
        <v>0</v>
      </c>
      <c r="L274" s="137">
        <v>0</v>
      </c>
      <c r="M274" s="137">
        <v>0</v>
      </c>
      <c r="N274" s="137">
        <v>1</v>
      </c>
      <c r="O274" s="137">
        <v>0</v>
      </c>
      <c r="P274" s="137">
        <v>1</v>
      </c>
      <c r="Q274" s="154">
        <v>1</v>
      </c>
    </row>
    <row r="275" spans="1:17" x14ac:dyDescent="0.25">
      <c r="A275" s="137">
        <v>753</v>
      </c>
      <c r="B275" s="137">
        <v>0</v>
      </c>
      <c r="C275" s="137">
        <v>0</v>
      </c>
      <c r="D275" s="137">
        <v>0</v>
      </c>
      <c r="E275" s="137">
        <v>0</v>
      </c>
      <c r="F275" s="137">
        <v>1</v>
      </c>
      <c r="G275" s="137">
        <v>0</v>
      </c>
      <c r="H275" s="137">
        <v>0</v>
      </c>
      <c r="J275" s="153">
        <v>753</v>
      </c>
      <c r="K275" s="137">
        <v>0</v>
      </c>
      <c r="L275" s="137">
        <v>0</v>
      </c>
      <c r="M275" s="137">
        <v>0</v>
      </c>
      <c r="N275" s="137">
        <v>0</v>
      </c>
      <c r="O275" s="137">
        <v>1</v>
      </c>
      <c r="P275" s="137">
        <v>0</v>
      </c>
      <c r="Q275" s="154">
        <v>0</v>
      </c>
    </row>
    <row r="276" spans="1:17" x14ac:dyDescent="0.25">
      <c r="A276" s="137">
        <v>754</v>
      </c>
      <c r="B276" s="137">
        <v>0</v>
      </c>
      <c r="C276" s="137">
        <v>0</v>
      </c>
      <c r="D276" s="137">
        <v>0</v>
      </c>
      <c r="E276" s="137">
        <v>1</v>
      </c>
      <c r="F276" s="137">
        <v>0</v>
      </c>
      <c r="G276" s="137">
        <v>1</v>
      </c>
      <c r="H276" s="137">
        <v>1</v>
      </c>
      <c r="J276" s="153">
        <v>754</v>
      </c>
      <c r="K276" s="137">
        <v>0</v>
      </c>
      <c r="L276" s="137">
        <v>0</v>
      </c>
      <c r="M276" s="137">
        <v>0</v>
      </c>
      <c r="N276" s="137">
        <v>1</v>
      </c>
      <c r="O276" s="137">
        <v>0</v>
      </c>
      <c r="P276" s="137">
        <v>1</v>
      </c>
      <c r="Q276" s="154">
        <v>1</v>
      </c>
    </row>
    <row r="277" spans="1:17" x14ac:dyDescent="0.25">
      <c r="A277" s="137">
        <v>755</v>
      </c>
      <c r="B277" s="137">
        <v>0</v>
      </c>
      <c r="C277" s="137">
        <v>0</v>
      </c>
      <c r="D277" s="137">
        <v>0</v>
      </c>
      <c r="E277" s="137">
        <v>1</v>
      </c>
      <c r="F277" s="137">
        <v>0</v>
      </c>
      <c r="G277" s="137">
        <v>1</v>
      </c>
      <c r="H277" s="137">
        <v>1</v>
      </c>
      <c r="J277" s="153">
        <v>755</v>
      </c>
      <c r="K277" s="137">
        <v>0</v>
      </c>
      <c r="L277" s="137">
        <v>0</v>
      </c>
      <c r="M277" s="137">
        <v>0</v>
      </c>
      <c r="N277" s="137">
        <v>1</v>
      </c>
      <c r="O277" s="137">
        <v>0</v>
      </c>
      <c r="P277" s="137">
        <v>1</v>
      </c>
      <c r="Q277" s="154">
        <v>1</v>
      </c>
    </row>
    <row r="278" spans="1:17" x14ac:dyDescent="0.25">
      <c r="A278" s="137">
        <v>757</v>
      </c>
      <c r="B278" s="137">
        <v>0</v>
      </c>
      <c r="C278" s="137">
        <v>0</v>
      </c>
      <c r="D278" s="137">
        <v>0</v>
      </c>
      <c r="E278" s="137">
        <v>0</v>
      </c>
      <c r="F278" s="137">
        <v>1</v>
      </c>
      <c r="G278" s="137">
        <v>0</v>
      </c>
      <c r="H278" s="137">
        <v>0</v>
      </c>
      <c r="J278" s="153">
        <v>757</v>
      </c>
      <c r="K278" s="137">
        <v>0</v>
      </c>
      <c r="L278" s="137">
        <v>0</v>
      </c>
      <c r="M278" s="137">
        <v>0</v>
      </c>
      <c r="N278" s="137">
        <v>0</v>
      </c>
      <c r="O278" s="137">
        <v>1</v>
      </c>
      <c r="P278" s="137">
        <v>0</v>
      </c>
      <c r="Q278" s="154">
        <v>0</v>
      </c>
    </row>
    <row r="279" spans="1:17" x14ac:dyDescent="0.25">
      <c r="A279" s="137">
        <v>801</v>
      </c>
      <c r="B279" s="137">
        <v>0</v>
      </c>
      <c r="C279" s="137">
        <v>0</v>
      </c>
      <c r="D279" s="137">
        <v>0</v>
      </c>
      <c r="E279" s="137">
        <v>0</v>
      </c>
      <c r="F279" s="137">
        <v>1</v>
      </c>
      <c r="G279" s="137">
        <v>0</v>
      </c>
      <c r="H279" s="137">
        <v>0</v>
      </c>
      <c r="J279" s="153">
        <v>801</v>
      </c>
      <c r="K279" s="137">
        <v>0</v>
      </c>
      <c r="L279" s="137">
        <v>0</v>
      </c>
      <c r="M279" s="137">
        <v>0</v>
      </c>
      <c r="N279" s="137">
        <v>0</v>
      </c>
      <c r="O279" s="137">
        <v>1</v>
      </c>
      <c r="P279" s="137">
        <v>0</v>
      </c>
      <c r="Q279" s="154">
        <v>0</v>
      </c>
    </row>
    <row r="280" spans="1:17" x14ac:dyDescent="0.25">
      <c r="A280" s="137">
        <v>802</v>
      </c>
      <c r="B280" s="137">
        <v>0</v>
      </c>
      <c r="C280" s="137">
        <v>0</v>
      </c>
      <c r="D280" s="137">
        <v>0</v>
      </c>
      <c r="E280" s="137">
        <v>1</v>
      </c>
      <c r="F280" s="137">
        <v>0</v>
      </c>
      <c r="G280" s="137">
        <v>1</v>
      </c>
      <c r="H280" s="137">
        <v>1</v>
      </c>
      <c r="J280" s="153">
        <v>802</v>
      </c>
      <c r="K280" s="137">
        <v>0</v>
      </c>
      <c r="L280" s="137">
        <v>0</v>
      </c>
      <c r="M280" s="137">
        <v>0</v>
      </c>
      <c r="N280" s="137">
        <v>1</v>
      </c>
      <c r="O280" s="137">
        <v>0</v>
      </c>
      <c r="P280" s="137">
        <v>1</v>
      </c>
      <c r="Q280" s="154">
        <v>1</v>
      </c>
    </row>
    <row r="281" spans="1:17" x14ac:dyDescent="0.25">
      <c r="A281" s="137">
        <v>803</v>
      </c>
      <c r="B281" s="137">
        <v>0</v>
      </c>
      <c r="C281" s="137">
        <v>0</v>
      </c>
      <c r="D281" s="137">
        <v>0</v>
      </c>
      <c r="E281" s="137">
        <v>1</v>
      </c>
      <c r="F281" s="137">
        <v>0</v>
      </c>
      <c r="G281" s="137">
        <v>1</v>
      </c>
      <c r="H281" s="137">
        <v>1</v>
      </c>
      <c r="J281" s="153">
        <v>803</v>
      </c>
      <c r="K281" s="137">
        <v>0</v>
      </c>
      <c r="L281" s="137">
        <v>0</v>
      </c>
      <c r="M281" s="137">
        <v>0</v>
      </c>
      <c r="N281" s="137">
        <v>1</v>
      </c>
      <c r="O281" s="137">
        <v>0</v>
      </c>
      <c r="P281" s="137">
        <v>1</v>
      </c>
      <c r="Q281" s="154">
        <v>1</v>
      </c>
    </row>
    <row r="282" spans="1:17" x14ac:dyDescent="0.25">
      <c r="A282" s="137">
        <v>831</v>
      </c>
      <c r="B282" s="137">
        <v>0</v>
      </c>
      <c r="C282" s="137">
        <v>0</v>
      </c>
      <c r="D282" s="137">
        <v>0</v>
      </c>
      <c r="E282" s="137">
        <v>1</v>
      </c>
      <c r="F282" s="137">
        <v>0</v>
      </c>
      <c r="G282" s="137">
        <v>1</v>
      </c>
      <c r="H282" s="137">
        <v>1</v>
      </c>
      <c r="J282" s="153">
        <v>831</v>
      </c>
      <c r="K282" s="137">
        <v>0</v>
      </c>
      <c r="L282" s="137">
        <v>0</v>
      </c>
      <c r="M282" s="137">
        <v>0</v>
      </c>
      <c r="N282" s="137">
        <v>1</v>
      </c>
      <c r="O282" s="137">
        <v>0</v>
      </c>
      <c r="P282" s="137">
        <v>1</v>
      </c>
      <c r="Q282" s="154">
        <v>1</v>
      </c>
    </row>
    <row r="283" spans="1:17" x14ac:dyDescent="0.25">
      <c r="A283" s="137">
        <v>832</v>
      </c>
      <c r="B283" s="137">
        <v>0</v>
      </c>
      <c r="C283" s="137">
        <v>0</v>
      </c>
      <c r="D283" s="137">
        <v>0</v>
      </c>
      <c r="E283" s="137">
        <v>1</v>
      </c>
      <c r="F283" s="137">
        <v>0</v>
      </c>
      <c r="G283" s="137">
        <v>1</v>
      </c>
      <c r="H283" s="137">
        <v>1</v>
      </c>
      <c r="J283" s="153">
        <v>832</v>
      </c>
      <c r="K283" s="137">
        <v>0</v>
      </c>
      <c r="L283" s="137">
        <v>0</v>
      </c>
      <c r="M283" s="137">
        <v>0</v>
      </c>
      <c r="N283" s="137">
        <v>1</v>
      </c>
      <c r="O283" s="137">
        <v>0</v>
      </c>
      <c r="P283" s="137">
        <v>1</v>
      </c>
      <c r="Q283" s="154">
        <v>1</v>
      </c>
    </row>
    <row r="284" spans="1:17" x14ac:dyDescent="0.25">
      <c r="A284" s="137">
        <v>833</v>
      </c>
      <c r="B284" s="137">
        <v>2</v>
      </c>
      <c r="C284" s="137">
        <v>0</v>
      </c>
      <c r="D284" s="137">
        <v>0</v>
      </c>
      <c r="E284" s="137">
        <v>0</v>
      </c>
      <c r="F284" s="137">
        <v>0</v>
      </c>
      <c r="G284" s="137">
        <v>3</v>
      </c>
      <c r="H284" s="137">
        <v>2</v>
      </c>
      <c r="J284" s="153">
        <v>833</v>
      </c>
      <c r="K284" s="137">
        <v>2</v>
      </c>
      <c r="L284" s="137">
        <v>0</v>
      </c>
      <c r="M284" s="137">
        <v>0</v>
      </c>
      <c r="N284" s="137">
        <v>0</v>
      </c>
      <c r="O284" s="137">
        <v>0</v>
      </c>
      <c r="P284" s="137">
        <v>3</v>
      </c>
      <c r="Q284" s="154">
        <f t="shared" ref="Q284:Q285" si="2">SUM(K284:O284)</f>
        <v>2</v>
      </c>
    </row>
    <row r="285" spans="1:17" x14ac:dyDescent="0.25">
      <c r="A285" s="137">
        <v>834</v>
      </c>
      <c r="B285" s="137">
        <v>0</v>
      </c>
      <c r="C285" s="137">
        <v>2</v>
      </c>
      <c r="D285" s="137">
        <v>0</v>
      </c>
      <c r="E285" s="137">
        <v>0</v>
      </c>
      <c r="F285" s="137">
        <v>0</v>
      </c>
      <c r="G285" s="137">
        <v>3</v>
      </c>
      <c r="H285" s="137">
        <v>2</v>
      </c>
      <c r="J285" s="153">
        <v>834</v>
      </c>
      <c r="K285" s="137">
        <v>0</v>
      </c>
      <c r="L285" s="137">
        <v>2</v>
      </c>
      <c r="M285" s="137">
        <v>0</v>
      </c>
      <c r="N285" s="137">
        <v>0</v>
      </c>
      <c r="O285" s="137">
        <v>0</v>
      </c>
      <c r="P285" s="137">
        <v>3</v>
      </c>
      <c r="Q285" s="154">
        <f t="shared" si="2"/>
        <v>2</v>
      </c>
    </row>
    <row r="286" spans="1:17" x14ac:dyDescent="0.25">
      <c r="A286" s="137">
        <v>835</v>
      </c>
      <c r="B286" s="137">
        <v>0</v>
      </c>
      <c r="C286" s="137">
        <v>1</v>
      </c>
      <c r="D286" s="137">
        <v>0</v>
      </c>
      <c r="E286" s="137">
        <v>0</v>
      </c>
      <c r="F286" s="137">
        <v>0</v>
      </c>
      <c r="G286" s="137">
        <v>1</v>
      </c>
      <c r="H286" s="137">
        <v>1</v>
      </c>
      <c r="J286" s="153">
        <v>835</v>
      </c>
      <c r="K286" s="137">
        <v>0</v>
      </c>
      <c r="L286" s="137">
        <v>1</v>
      </c>
      <c r="M286" s="137">
        <v>0</v>
      </c>
      <c r="N286" s="137">
        <v>0</v>
      </c>
      <c r="O286" s="137">
        <v>0</v>
      </c>
      <c r="P286" s="137">
        <v>1</v>
      </c>
      <c r="Q286" s="154">
        <v>1</v>
      </c>
    </row>
    <row r="287" spans="1:17" x14ac:dyDescent="0.25">
      <c r="A287" s="137">
        <v>836</v>
      </c>
      <c r="B287" s="137">
        <v>0</v>
      </c>
      <c r="C287" s="137">
        <v>0</v>
      </c>
      <c r="D287" s="137">
        <v>0</v>
      </c>
      <c r="E287" s="137">
        <v>1</v>
      </c>
      <c r="F287" s="137">
        <v>0</v>
      </c>
      <c r="G287" s="137">
        <v>1</v>
      </c>
      <c r="H287" s="137">
        <v>1</v>
      </c>
      <c r="J287" s="153">
        <v>836</v>
      </c>
      <c r="K287" s="137">
        <v>0</v>
      </c>
      <c r="L287" s="137">
        <v>0</v>
      </c>
      <c r="M287" s="137">
        <v>0</v>
      </c>
      <c r="N287" s="137">
        <v>1</v>
      </c>
      <c r="O287" s="137">
        <v>0</v>
      </c>
      <c r="P287" s="137">
        <v>1</v>
      </c>
      <c r="Q287" s="154">
        <v>1</v>
      </c>
    </row>
    <row r="288" spans="1:17" x14ac:dyDescent="0.25">
      <c r="A288" s="137">
        <v>837</v>
      </c>
      <c r="B288" s="137">
        <v>0</v>
      </c>
      <c r="C288" s="137">
        <v>0</v>
      </c>
      <c r="D288" s="137">
        <v>0</v>
      </c>
      <c r="E288" s="137">
        <v>1</v>
      </c>
      <c r="F288" s="137">
        <v>0</v>
      </c>
      <c r="G288" s="137">
        <v>1</v>
      </c>
      <c r="H288" s="137">
        <v>1</v>
      </c>
      <c r="J288" s="153">
        <v>837</v>
      </c>
      <c r="K288" s="137">
        <v>0</v>
      </c>
      <c r="L288" s="137">
        <v>0</v>
      </c>
      <c r="M288" s="137">
        <v>0</v>
      </c>
      <c r="N288" s="137">
        <v>1</v>
      </c>
      <c r="O288" s="137">
        <v>0</v>
      </c>
      <c r="P288" s="137">
        <v>1</v>
      </c>
      <c r="Q288" s="154">
        <v>1</v>
      </c>
    </row>
    <row r="289" spans="1:17" x14ac:dyDescent="0.25">
      <c r="A289" s="137">
        <v>838</v>
      </c>
      <c r="B289" s="137">
        <v>0</v>
      </c>
      <c r="C289" s="137">
        <v>0</v>
      </c>
      <c r="D289" s="137">
        <v>0</v>
      </c>
      <c r="E289" s="137">
        <v>1</v>
      </c>
      <c r="F289" s="137">
        <v>0</v>
      </c>
      <c r="G289" s="137">
        <v>1</v>
      </c>
      <c r="H289" s="137">
        <v>1</v>
      </c>
      <c r="J289" s="153">
        <v>838</v>
      </c>
      <c r="K289" s="137">
        <v>0</v>
      </c>
      <c r="L289" s="137">
        <v>0</v>
      </c>
      <c r="M289" s="137">
        <v>0</v>
      </c>
      <c r="N289" s="137">
        <v>1</v>
      </c>
      <c r="O289" s="137">
        <v>0</v>
      </c>
      <c r="P289" s="137">
        <v>1</v>
      </c>
      <c r="Q289" s="154">
        <v>1</v>
      </c>
    </row>
    <row r="290" spans="1:17" x14ac:dyDescent="0.25">
      <c r="A290" s="137">
        <v>839</v>
      </c>
      <c r="B290" s="137">
        <v>0</v>
      </c>
      <c r="C290" s="137">
        <v>0</v>
      </c>
      <c r="D290" s="137">
        <v>0</v>
      </c>
      <c r="E290" s="137">
        <v>1</v>
      </c>
      <c r="F290" s="137">
        <v>0</v>
      </c>
      <c r="G290" s="137">
        <v>1</v>
      </c>
      <c r="H290" s="137">
        <v>1</v>
      </c>
      <c r="J290" s="153">
        <v>839</v>
      </c>
      <c r="K290" s="137">
        <v>0</v>
      </c>
      <c r="L290" s="137">
        <v>0</v>
      </c>
      <c r="M290" s="137">
        <v>0</v>
      </c>
      <c r="N290" s="137">
        <v>1</v>
      </c>
      <c r="O290" s="137">
        <v>0</v>
      </c>
      <c r="P290" s="137">
        <v>1</v>
      </c>
      <c r="Q290" s="154">
        <v>1</v>
      </c>
    </row>
    <row r="291" spans="1:17" x14ac:dyDescent="0.25">
      <c r="A291" s="137">
        <v>840</v>
      </c>
      <c r="B291" s="137">
        <v>0</v>
      </c>
      <c r="C291" s="137">
        <v>2</v>
      </c>
      <c r="D291" s="137">
        <v>0</v>
      </c>
      <c r="E291" s="137">
        <v>0</v>
      </c>
      <c r="F291" s="137">
        <v>0</v>
      </c>
      <c r="G291" s="137">
        <v>2</v>
      </c>
      <c r="H291" s="137">
        <v>2</v>
      </c>
      <c r="J291" s="153">
        <v>840</v>
      </c>
      <c r="K291" s="137">
        <v>0</v>
      </c>
      <c r="L291" s="137">
        <v>2</v>
      </c>
      <c r="M291" s="137">
        <v>0</v>
      </c>
      <c r="N291" s="137">
        <v>0</v>
      </c>
      <c r="O291" s="137">
        <v>0</v>
      </c>
      <c r="P291" s="137">
        <v>2</v>
      </c>
      <c r="Q291" s="154">
        <v>2</v>
      </c>
    </row>
    <row r="292" spans="1:17" x14ac:dyDescent="0.25">
      <c r="A292" s="137">
        <v>841</v>
      </c>
      <c r="B292" s="137">
        <v>0</v>
      </c>
      <c r="C292" s="137">
        <v>0</v>
      </c>
      <c r="D292" s="137">
        <v>0</v>
      </c>
      <c r="E292" s="137">
        <v>1</v>
      </c>
      <c r="F292" s="137">
        <v>0</v>
      </c>
      <c r="G292" s="137">
        <v>1</v>
      </c>
      <c r="H292" s="137">
        <v>1</v>
      </c>
      <c r="J292" s="153">
        <v>841</v>
      </c>
      <c r="K292" s="137">
        <v>0</v>
      </c>
      <c r="L292" s="137">
        <v>0</v>
      </c>
      <c r="M292" s="137">
        <v>0</v>
      </c>
      <c r="N292" s="137">
        <v>1</v>
      </c>
      <c r="O292" s="137">
        <v>0</v>
      </c>
      <c r="P292" s="137">
        <v>1</v>
      </c>
      <c r="Q292" s="154">
        <v>1</v>
      </c>
    </row>
    <row r="293" spans="1:17" x14ac:dyDescent="0.25">
      <c r="A293" s="137">
        <v>842</v>
      </c>
      <c r="B293" s="137">
        <v>0</v>
      </c>
      <c r="C293" s="137">
        <v>0</v>
      </c>
      <c r="D293" s="137">
        <v>0</v>
      </c>
      <c r="E293" s="137">
        <v>1</v>
      </c>
      <c r="F293" s="137">
        <v>0</v>
      </c>
      <c r="G293" s="137">
        <v>1</v>
      </c>
      <c r="H293" s="137">
        <v>1</v>
      </c>
      <c r="J293" s="153">
        <v>842</v>
      </c>
      <c r="K293" s="137">
        <v>0</v>
      </c>
      <c r="L293" s="137">
        <v>0</v>
      </c>
      <c r="M293" s="137">
        <v>0</v>
      </c>
      <c r="N293" s="137">
        <v>1</v>
      </c>
      <c r="O293" s="137">
        <v>0</v>
      </c>
      <c r="P293" s="137">
        <v>1</v>
      </c>
      <c r="Q293" s="154">
        <v>1</v>
      </c>
    </row>
    <row r="294" spans="1:17" x14ac:dyDescent="0.25">
      <c r="A294" s="137">
        <v>843</v>
      </c>
      <c r="B294" s="137">
        <v>0</v>
      </c>
      <c r="C294" s="137">
        <v>0</v>
      </c>
      <c r="D294" s="137">
        <v>0</v>
      </c>
      <c r="E294" s="137">
        <v>1</v>
      </c>
      <c r="F294" s="137">
        <v>0</v>
      </c>
      <c r="G294" s="137">
        <v>1</v>
      </c>
      <c r="H294" s="137">
        <v>1</v>
      </c>
      <c r="J294" s="153">
        <v>843</v>
      </c>
      <c r="K294" s="137">
        <v>0</v>
      </c>
      <c r="L294" s="137">
        <v>0</v>
      </c>
      <c r="M294" s="137">
        <v>0</v>
      </c>
      <c r="N294" s="137">
        <v>1</v>
      </c>
      <c r="O294" s="137">
        <v>0</v>
      </c>
      <c r="P294" s="137">
        <v>1</v>
      </c>
      <c r="Q294" s="154">
        <v>1</v>
      </c>
    </row>
    <row r="295" spans="1:17" x14ac:dyDescent="0.25">
      <c r="A295" s="137">
        <v>844</v>
      </c>
      <c r="B295" s="137">
        <v>2</v>
      </c>
      <c r="C295" s="137">
        <v>0</v>
      </c>
      <c r="D295" s="137">
        <v>0</v>
      </c>
      <c r="E295" s="137">
        <v>0</v>
      </c>
      <c r="F295" s="137">
        <v>0</v>
      </c>
      <c r="G295" s="137">
        <v>2</v>
      </c>
      <c r="H295" s="137">
        <v>2</v>
      </c>
      <c r="J295" s="153">
        <v>844</v>
      </c>
      <c r="K295" s="137">
        <v>2</v>
      </c>
      <c r="L295" s="137">
        <v>0</v>
      </c>
      <c r="M295" s="137">
        <v>0</v>
      </c>
      <c r="N295" s="137">
        <v>0</v>
      </c>
      <c r="O295" s="137">
        <v>0</v>
      </c>
      <c r="P295" s="137">
        <v>2</v>
      </c>
      <c r="Q295" s="154">
        <v>2</v>
      </c>
    </row>
    <row r="296" spans="1:17" x14ac:dyDescent="0.25">
      <c r="A296" s="137">
        <v>845</v>
      </c>
      <c r="B296" s="137">
        <v>0</v>
      </c>
      <c r="C296" s="137">
        <v>0</v>
      </c>
      <c r="D296" s="137">
        <v>0</v>
      </c>
      <c r="E296" s="137">
        <v>0</v>
      </c>
      <c r="F296" s="137">
        <v>1</v>
      </c>
      <c r="G296" s="137">
        <v>0</v>
      </c>
      <c r="H296" s="137">
        <v>0</v>
      </c>
      <c r="J296" s="153">
        <v>845</v>
      </c>
      <c r="K296" s="137">
        <v>0</v>
      </c>
      <c r="L296" s="137">
        <v>0</v>
      </c>
      <c r="M296" s="137">
        <v>0</v>
      </c>
      <c r="N296" s="137">
        <v>0</v>
      </c>
      <c r="O296" s="137">
        <v>1</v>
      </c>
      <c r="P296" s="137">
        <v>0</v>
      </c>
      <c r="Q296" s="154">
        <v>0</v>
      </c>
    </row>
    <row r="297" spans="1:17" x14ac:dyDescent="0.25">
      <c r="A297" s="137">
        <v>846</v>
      </c>
      <c r="B297" s="137">
        <v>1</v>
      </c>
      <c r="C297" s="137">
        <v>0</v>
      </c>
      <c r="D297" s="137">
        <v>0</v>
      </c>
      <c r="E297" s="137">
        <v>0</v>
      </c>
      <c r="F297" s="137">
        <v>0</v>
      </c>
      <c r="G297" s="137">
        <v>1</v>
      </c>
      <c r="H297" s="137">
        <v>1</v>
      </c>
      <c r="J297" s="153">
        <v>846</v>
      </c>
      <c r="K297" s="137">
        <v>1</v>
      </c>
      <c r="L297" s="137">
        <v>0</v>
      </c>
      <c r="M297" s="137">
        <v>0</v>
      </c>
      <c r="N297" s="137">
        <v>0</v>
      </c>
      <c r="O297" s="137">
        <v>0</v>
      </c>
      <c r="P297" s="137">
        <v>1</v>
      </c>
      <c r="Q297" s="154">
        <v>1</v>
      </c>
    </row>
    <row r="298" spans="1:17" x14ac:dyDescent="0.25">
      <c r="A298" s="137">
        <v>862</v>
      </c>
      <c r="B298" s="137">
        <v>0</v>
      </c>
      <c r="C298" s="137">
        <v>0</v>
      </c>
      <c r="D298" s="137">
        <v>0</v>
      </c>
      <c r="E298" s="137">
        <v>2</v>
      </c>
      <c r="F298" s="137">
        <v>0</v>
      </c>
      <c r="G298" s="137">
        <v>2</v>
      </c>
      <c r="H298" s="137">
        <v>2</v>
      </c>
      <c r="J298" s="153">
        <v>862</v>
      </c>
      <c r="K298" s="137">
        <v>0</v>
      </c>
      <c r="L298" s="137">
        <v>0</v>
      </c>
      <c r="M298" s="137">
        <v>0</v>
      </c>
      <c r="N298" s="137">
        <v>2</v>
      </c>
      <c r="O298" s="137">
        <v>0</v>
      </c>
      <c r="P298" s="137">
        <v>2</v>
      </c>
      <c r="Q298" s="154">
        <v>2</v>
      </c>
    </row>
    <row r="299" spans="1:17" x14ac:dyDescent="0.25">
      <c r="A299" s="137">
        <v>863</v>
      </c>
      <c r="B299" s="137">
        <v>0</v>
      </c>
      <c r="C299" s="137">
        <v>2</v>
      </c>
      <c r="D299" s="137">
        <v>0</v>
      </c>
      <c r="E299" s="137">
        <v>0</v>
      </c>
      <c r="F299" s="137">
        <v>0</v>
      </c>
      <c r="G299" s="137">
        <v>3</v>
      </c>
      <c r="H299" s="137">
        <v>2</v>
      </c>
      <c r="J299" s="153">
        <v>863</v>
      </c>
      <c r="K299" s="137">
        <v>0</v>
      </c>
      <c r="L299" s="137">
        <v>2</v>
      </c>
      <c r="M299" s="137">
        <v>0</v>
      </c>
      <c r="N299" s="137">
        <v>0</v>
      </c>
      <c r="O299" s="137">
        <v>0</v>
      </c>
      <c r="P299" s="137">
        <v>3</v>
      </c>
      <c r="Q299" s="154">
        <f>SUM(K299:O299)</f>
        <v>2</v>
      </c>
    </row>
    <row r="300" spans="1:17" x14ac:dyDescent="0.25">
      <c r="A300" s="137">
        <v>864</v>
      </c>
      <c r="B300" s="137">
        <v>0</v>
      </c>
      <c r="C300" s="137">
        <v>1</v>
      </c>
      <c r="D300" s="137">
        <v>0</v>
      </c>
      <c r="E300" s="137">
        <v>0</v>
      </c>
      <c r="F300" s="137">
        <v>0</v>
      </c>
      <c r="G300" s="137">
        <v>1</v>
      </c>
      <c r="H300" s="137">
        <v>1</v>
      </c>
      <c r="J300" s="153">
        <v>864</v>
      </c>
      <c r="K300" s="137">
        <v>0</v>
      </c>
      <c r="L300" s="137">
        <v>1</v>
      </c>
      <c r="M300" s="137">
        <v>0</v>
      </c>
      <c r="N300" s="137">
        <v>0</v>
      </c>
      <c r="O300" s="137">
        <v>0</v>
      </c>
      <c r="P300" s="137">
        <v>1</v>
      </c>
      <c r="Q300" s="154">
        <v>1</v>
      </c>
    </row>
    <row r="301" spans="1:17" x14ac:dyDescent="0.25">
      <c r="A301" s="137">
        <v>865</v>
      </c>
      <c r="B301" s="137">
        <v>0</v>
      </c>
      <c r="C301" s="137">
        <v>0</v>
      </c>
      <c r="D301" s="137">
        <v>0</v>
      </c>
      <c r="E301" s="137">
        <v>1</v>
      </c>
      <c r="F301" s="137">
        <v>0</v>
      </c>
      <c r="G301" s="137">
        <v>1</v>
      </c>
      <c r="H301" s="137">
        <v>1</v>
      </c>
      <c r="J301" s="153">
        <v>865</v>
      </c>
      <c r="K301" s="137">
        <v>0</v>
      </c>
      <c r="L301" s="137">
        <v>0</v>
      </c>
      <c r="M301" s="137">
        <v>0</v>
      </c>
      <c r="N301" s="137">
        <v>1</v>
      </c>
      <c r="O301" s="137">
        <v>0</v>
      </c>
      <c r="P301" s="137">
        <v>1</v>
      </c>
      <c r="Q301" s="154">
        <v>1</v>
      </c>
    </row>
    <row r="302" spans="1:17" x14ac:dyDescent="0.25">
      <c r="A302" s="137">
        <v>866</v>
      </c>
      <c r="B302" s="137">
        <v>0</v>
      </c>
      <c r="C302" s="137">
        <v>0</v>
      </c>
      <c r="D302" s="137">
        <v>0</v>
      </c>
      <c r="E302" s="137">
        <v>1</v>
      </c>
      <c r="F302" s="137">
        <v>0</v>
      </c>
      <c r="G302" s="137">
        <v>1</v>
      </c>
      <c r="H302" s="137">
        <v>1</v>
      </c>
      <c r="J302" s="153">
        <v>866</v>
      </c>
      <c r="K302" s="137">
        <v>0</v>
      </c>
      <c r="L302" s="137">
        <v>0</v>
      </c>
      <c r="M302" s="137">
        <v>0</v>
      </c>
      <c r="N302" s="137">
        <v>1</v>
      </c>
      <c r="O302" s="137">
        <v>0</v>
      </c>
      <c r="P302" s="137">
        <v>1</v>
      </c>
      <c r="Q302" s="154">
        <v>1</v>
      </c>
    </row>
    <row r="303" spans="1:17" x14ac:dyDescent="0.25">
      <c r="A303" s="137">
        <v>867</v>
      </c>
      <c r="B303" s="137">
        <v>0</v>
      </c>
      <c r="C303" s="137">
        <v>0</v>
      </c>
      <c r="D303" s="137">
        <v>0</v>
      </c>
      <c r="E303" s="137">
        <v>1</v>
      </c>
      <c r="F303" s="137">
        <v>0</v>
      </c>
      <c r="G303" s="137">
        <v>1</v>
      </c>
      <c r="H303" s="137">
        <v>1</v>
      </c>
      <c r="J303" s="153">
        <v>867</v>
      </c>
      <c r="K303" s="137">
        <v>0</v>
      </c>
      <c r="L303" s="137">
        <v>0</v>
      </c>
      <c r="M303" s="137">
        <v>0</v>
      </c>
      <c r="N303" s="137">
        <v>1</v>
      </c>
      <c r="O303" s="137">
        <v>0</v>
      </c>
      <c r="P303" s="137">
        <v>1</v>
      </c>
      <c r="Q303" s="154">
        <v>1</v>
      </c>
    </row>
    <row r="304" spans="1:17" x14ac:dyDescent="0.25">
      <c r="A304" s="137">
        <v>868</v>
      </c>
      <c r="B304" s="137">
        <v>0</v>
      </c>
      <c r="C304" s="137">
        <v>2</v>
      </c>
      <c r="D304" s="137">
        <v>0</v>
      </c>
      <c r="E304" s="137">
        <v>0</v>
      </c>
      <c r="F304" s="137">
        <v>0</v>
      </c>
      <c r="G304" s="137">
        <v>5</v>
      </c>
      <c r="H304" s="137">
        <v>2</v>
      </c>
      <c r="J304" s="153">
        <v>868</v>
      </c>
      <c r="K304" s="137">
        <v>0</v>
      </c>
      <c r="L304" s="137">
        <v>2</v>
      </c>
      <c r="M304" s="137">
        <v>0</v>
      </c>
      <c r="N304" s="137">
        <v>0</v>
      </c>
      <c r="O304" s="137">
        <v>0</v>
      </c>
      <c r="P304" s="137">
        <v>5</v>
      </c>
      <c r="Q304" s="154">
        <f t="shared" ref="Q304:Q305" si="3">SUM(K304:O304)</f>
        <v>2</v>
      </c>
    </row>
    <row r="305" spans="1:17" x14ac:dyDescent="0.25">
      <c r="A305" s="137">
        <v>912</v>
      </c>
      <c r="B305" s="137">
        <v>0</v>
      </c>
      <c r="C305" s="137">
        <v>0</v>
      </c>
      <c r="D305" s="137">
        <v>2</v>
      </c>
      <c r="E305" s="137">
        <v>0</v>
      </c>
      <c r="F305" s="137">
        <v>0</v>
      </c>
      <c r="G305" s="137">
        <v>3</v>
      </c>
      <c r="H305" s="137">
        <v>2</v>
      </c>
      <c r="J305" s="153">
        <v>912</v>
      </c>
      <c r="K305" s="137">
        <v>0</v>
      </c>
      <c r="L305" s="137">
        <v>0</v>
      </c>
      <c r="M305" s="137">
        <v>2</v>
      </c>
      <c r="N305" s="137">
        <v>0</v>
      </c>
      <c r="O305" s="137">
        <v>0</v>
      </c>
      <c r="P305" s="137">
        <v>3</v>
      </c>
      <c r="Q305" s="154">
        <f t="shared" si="3"/>
        <v>2</v>
      </c>
    </row>
    <row r="306" spans="1:17" x14ac:dyDescent="0.25">
      <c r="A306" s="137">
        <v>914</v>
      </c>
      <c r="B306" s="137">
        <v>0</v>
      </c>
      <c r="C306" s="137">
        <v>0</v>
      </c>
      <c r="D306" s="137">
        <v>0</v>
      </c>
      <c r="E306" s="137">
        <v>0</v>
      </c>
      <c r="F306" s="137">
        <v>1</v>
      </c>
      <c r="G306" s="137">
        <v>0</v>
      </c>
      <c r="H306" s="137">
        <v>0</v>
      </c>
      <c r="J306" s="153">
        <v>914</v>
      </c>
      <c r="K306" s="137">
        <v>0</v>
      </c>
      <c r="L306" s="137">
        <v>0</v>
      </c>
      <c r="M306" s="137">
        <v>0</v>
      </c>
      <c r="N306" s="137">
        <v>0</v>
      </c>
      <c r="O306" s="137">
        <v>1</v>
      </c>
      <c r="P306" s="137">
        <v>0</v>
      </c>
      <c r="Q306" s="154">
        <v>0</v>
      </c>
    </row>
    <row r="307" spans="1:17" x14ac:dyDescent="0.25">
      <c r="A307" s="137">
        <v>915</v>
      </c>
      <c r="B307" s="137">
        <v>0</v>
      </c>
      <c r="C307" s="137">
        <v>1</v>
      </c>
      <c r="D307" s="137">
        <v>0</v>
      </c>
      <c r="E307" s="137">
        <v>0</v>
      </c>
      <c r="F307" s="137">
        <v>0</v>
      </c>
      <c r="G307" s="137">
        <v>1</v>
      </c>
      <c r="H307" s="137">
        <v>1</v>
      </c>
      <c r="J307" s="153">
        <v>915</v>
      </c>
      <c r="K307" s="137">
        <v>0</v>
      </c>
      <c r="L307" s="137">
        <v>1</v>
      </c>
      <c r="M307" s="137">
        <v>0</v>
      </c>
      <c r="N307" s="137">
        <v>0</v>
      </c>
      <c r="O307" s="137">
        <v>0</v>
      </c>
      <c r="P307" s="137">
        <v>1</v>
      </c>
      <c r="Q307" s="154">
        <v>1</v>
      </c>
    </row>
    <row r="308" spans="1:17" x14ac:dyDescent="0.25">
      <c r="A308" s="137">
        <v>916</v>
      </c>
      <c r="B308" s="137">
        <v>0</v>
      </c>
      <c r="C308" s="137">
        <v>2</v>
      </c>
      <c r="D308" s="137">
        <v>0</v>
      </c>
      <c r="E308" s="137">
        <v>0</v>
      </c>
      <c r="F308" s="137">
        <v>0</v>
      </c>
      <c r="G308" s="137">
        <v>2</v>
      </c>
      <c r="H308" s="137">
        <v>2</v>
      </c>
      <c r="J308" s="153">
        <v>916</v>
      </c>
      <c r="K308" s="137">
        <v>0</v>
      </c>
      <c r="L308" s="137">
        <v>2</v>
      </c>
      <c r="M308" s="137">
        <v>0</v>
      </c>
      <c r="N308" s="137">
        <v>0</v>
      </c>
      <c r="O308" s="137">
        <v>0</v>
      </c>
      <c r="P308" s="137">
        <v>2</v>
      </c>
      <c r="Q308" s="154">
        <v>2</v>
      </c>
    </row>
    <row r="309" spans="1:17" x14ac:dyDescent="0.25">
      <c r="A309" s="137">
        <v>918</v>
      </c>
      <c r="B309" s="137">
        <v>0</v>
      </c>
      <c r="C309" s="137">
        <v>2</v>
      </c>
      <c r="D309" s="137">
        <v>0</v>
      </c>
      <c r="E309" s="137">
        <v>0</v>
      </c>
      <c r="F309" s="137">
        <v>0</v>
      </c>
      <c r="G309" s="137">
        <v>2</v>
      </c>
      <c r="H309" s="137">
        <v>2</v>
      </c>
      <c r="J309" s="153">
        <v>918</v>
      </c>
      <c r="K309" s="137">
        <v>0</v>
      </c>
      <c r="L309" s="137">
        <v>2</v>
      </c>
      <c r="M309" s="137">
        <v>0</v>
      </c>
      <c r="N309" s="137">
        <v>0</v>
      </c>
      <c r="O309" s="137">
        <v>0</v>
      </c>
      <c r="P309" s="137">
        <v>2</v>
      </c>
      <c r="Q309" s="154">
        <v>2</v>
      </c>
    </row>
    <row r="310" spans="1:17" x14ac:dyDescent="0.25">
      <c r="A310" s="137">
        <v>919</v>
      </c>
      <c r="B310" s="137">
        <v>0</v>
      </c>
      <c r="C310" s="137">
        <v>2</v>
      </c>
      <c r="D310" s="137">
        <v>0</v>
      </c>
      <c r="E310" s="137">
        <v>0</v>
      </c>
      <c r="F310" s="137">
        <v>0</v>
      </c>
      <c r="G310" s="137">
        <v>2</v>
      </c>
      <c r="H310" s="137">
        <v>2</v>
      </c>
      <c r="J310" s="153">
        <v>919</v>
      </c>
      <c r="K310" s="137">
        <v>0</v>
      </c>
      <c r="L310" s="137">
        <v>2</v>
      </c>
      <c r="M310" s="137">
        <v>0</v>
      </c>
      <c r="N310" s="137">
        <v>0</v>
      </c>
      <c r="O310" s="137">
        <v>0</v>
      </c>
      <c r="P310" s="137">
        <v>2</v>
      </c>
      <c r="Q310" s="154">
        <v>2</v>
      </c>
    </row>
    <row r="311" spans="1:17" x14ac:dyDescent="0.25">
      <c r="A311" s="137">
        <v>920</v>
      </c>
      <c r="B311" s="137">
        <v>0</v>
      </c>
      <c r="C311" s="137">
        <v>2</v>
      </c>
      <c r="D311" s="137">
        <v>0</v>
      </c>
      <c r="E311" s="137">
        <v>0</v>
      </c>
      <c r="F311" s="137">
        <v>0</v>
      </c>
      <c r="G311" s="137">
        <v>2</v>
      </c>
      <c r="H311" s="137">
        <v>2</v>
      </c>
      <c r="J311" s="153">
        <v>920</v>
      </c>
      <c r="K311" s="137">
        <v>0</v>
      </c>
      <c r="L311" s="137">
        <v>2</v>
      </c>
      <c r="M311" s="137">
        <v>0</v>
      </c>
      <c r="N311" s="137">
        <v>0</v>
      </c>
      <c r="O311" s="137">
        <v>0</v>
      </c>
      <c r="P311" s="137">
        <v>2</v>
      </c>
      <c r="Q311" s="154">
        <v>2</v>
      </c>
    </row>
    <row r="312" spans="1:17" x14ac:dyDescent="0.25">
      <c r="A312" s="137">
        <v>921</v>
      </c>
      <c r="B312" s="137">
        <v>0</v>
      </c>
      <c r="C312" s="137">
        <v>1</v>
      </c>
      <c r="D312" s="137">
        <v>0</v>
      </c>
      <c r="E312" s="137">
        <v>0</v>
      </c>
      <c r="F312" s="137">
        <v>0</v>
      </c>
      <c r="G312" s="137">
        <v>1</v>
      </c>
      <c r="H312" s="137">
        <v>1</v>
      </c>
      <c r="J312" s="153">
        <v>921</v>
      </c>
      <c r="K312" s="137">
        <v>0</v>
      </c>
      <c r="L312" s="137">
        <v>1</v>
      </c>
      <c r="M312" s="137">
        <v>0</v>
      </c>
      <c r="N312" s="137">
        <v>0</v>
      </c>
      <c r="O312" s="137">
        <v>0</v>
      </c>
      <c r="P312" s="137">
        <v>1</v>
      </c>
      <c r="Q312" s="154">
        <v>1</v>
      </c>
    </row>
    <row r="313" spans="1:17" x14ac:dyDescent="0.25">
      <c r="A313" s="137">
        <v>922</v>
      </c>
      <c r="B313" s="137">
        <v>0</v>
      </c>
      <c r="C313" s="137">
        <v>2</v>
      </c>
      <c r="D313" s="137">
        <v>0</v>
      </c>
      <c r="E313" s="137">
        <v>0</v>
      </c>
      <c r="F313" s="137">
        <v>0</v>
      </c>
      <c r="G313" s="137">
        <v>2</v>
      </c>
      <c r="H313" s="137">
        <v>2</v>
      </c>
      <c r="J313" s="153">
        <v>922</v>
      </c>
      <c r="K313" s="137">
        <v>0</v>
      </c>
      <c r="L313" s="137">
        <v>2</v>
      </c>
      <c r="M313" s="137">
        <v>0</v>
      </c>
      <c r="N313" s="137">
        <v>0</v>
      </c>
      <c r="O313" s="137">
        <v>0</v>
      </c>
      <c r="P313" s="137">
        <v>2</v>
      </c>
      <c r="Q313" s="154">
        <v>2</v>
      </c>
    </row>
    <row r="314" spans="1:17" x14ac:dyDescent="0.25">
      <c r="A314" s="137">
        <v>923</v>
      </c>
      <c r="B314" s="137">
        <v>0</v>
      </c>
      <c r="C314" s="137">
        <v>2</v>
      </c>
      <c r="D314" s="137">
        <v>0</v>
      </c>
      <c r="E314" s="137">
        <v>0</v>
      </c>
      <c r="F314" s="137">
        <v>0</v>
      </c>
      <c r="G314" s="137">
        <v>2</v>
      </c>
      <c r="H314" s="137">
        <v>2</v>
      </c>
      <c r="J314" s="153">
        <v>923</v>
      </c>
      <c r="K314" s="137">
        <v>0</v>
      </c>
      <c r="L314" s="137">
        <v>2</v>
      </c>
      <c r="M314" s="137">
        <v>0</v>
      </c>
      <c r="N314" s="137">
        <v>0</v>
      </c>
      <c r="O314" s="137">
        <v>0</v>
      </c>
      <c r="P314" s="137">
        <v>2</v>
      </c>
      <c r="Q314" s="154">
        <v>2</v>
      </c>
    </row>
    <row r="315" spans="1:17" x14ac:dyDescent="0.25">
      <c r="A315" s="137">
        <v>924</v>
      </c>
      <c r="B315" s="137">
        <v>0</v>
      </c>
      <c r="C315" s="137">
        <v>2</v>
      </c>
      <c r="D315" s="137">
        <v>0</v>
      </c>
      <c r="E315" s="137">
        <v>0</v>
      </c>
      <c r="F315" s="137">
        <v>0</v>
      </c>
      <c r="G315" s="137">
        <v>2</v>
      </c>
      <c r="H315" s="137">
        <v>2</v>
      </c>
      <c r="J315" s="153">
        <v>924</v>
      </c>
      <c r="K315" s="137">
        <v>0</v>
      </c>
      <c r="L315" s="137">
        <v>2</v>
      </c>
      <c r="M315" s="137">
        <v>0</v>
      </c>
      <c r="N315" s="137">
        <v>0</v>
      </c>
      <c r="O315" s="137">
        <v>0</v>
      </c>
      <c r="P315" s="137">
        <v>2</v>
      </c>
      <c r="Q315" s="154">
        <v>2</v>
      </c>
    </row>
    <row r="316" spans="1:17" x14ac:dyDescent="0.25">
      <c r="A316" s="137">
        <v>925</v>
      </c>
      <c r="B316" s="137">
        <v>0</v>
      </c>
      <c r="C316" s="137">
        <v>2</v>
      </c>
      <c r="D316" s="137">
        <v>0</v>
      </c>
      <c r="E316" s="137">
        <v>0</v>
      </c>
      <c r="F316" s="137">
        <v>0</v>
      </c>
      <c r="G316" s="137">
        <v>2</v>
      </c>
      <c r="H316" s="137">
        <v>2</v>
      </c>
      <c r="J316" s="153">
        <v>925</v>
      </c>
      <c r="K316" s="137">
        <v>0</v>
      </c>
      <c r="L316" s="137">
        <v>2</v>
      </c>
      <c r="M316" s="137">
        <v>0</v>
      </c>
      <c r="N316" s="137">
        <v>0</v>
      </c>
      <c r="O316" s="137">
        <v>0</v>
      </c>
      <c r="P316" s="137">
        <v>2</v>
      </c>
      <c r="Q316" s="154">
        <v>2</v>
      </c>
    </row>
    <row r="317" spans="1:17" x14ac:dyDescent="0.25">
      <c r="A317" s="137">
        <v>926</v>
      </c>
      <c r="B317" s="137">
        <v>0</v>
      </c>
      <c r="C317" s="137">
        <v>2</v>
      </c>
      <c r="D317" s="137">
        <v>0</v>
      </c>
      <c r="E317" s="137">
        <v>0</v>
      </c>
      <c r="F317" s="137">
        <v>0</v>
      </c>
      <c r="G317" s="137">
        <v>2</v>
      </c>
      <c r="H317" s="137">
        <v>2</v>
      </c>
      <c r="J317" s="153">
        <v>926</v>
      </c>
      <c r="K317" s="137">
        <v>0</v>
      </c>
      <c r="L317" s="137">
        <v>2</v>
      </c>
      <c r="M317" s="137">
        <v>0</v>
      </c>
      <c r="N317" s="137">
        <v>0</v>
      </c>
      <c r="O317" s="137">
        <v>0</v>
      </c>
      <c r="P317" s="137">
        <v>2</v>
      </c>
      <c r="Q317" s="154">
        <v>2</v>
      </c>
    </row>
    <row r="318" spans="1:17" x14ac:dyDescent="0.25">
      <c r="A318" s="137">
        <v>927</v>
      </c>
      <c r="B318" s="137">
        <v>0</v>
      </c>
      <c r="C318" s="137">
        <v>2</v>
      </c>
      <c r="D318" s="137">
        <v>0</v>
      </c>
      <c r="E318" s="137">
        <v>0</v>
      </c>
      <c r="F318" s="137">
        <v>0</v>
      </c>
      <c r="G318" s="137">
        <v>2</v>
      </c>
      <c r="H318" s="137">
        <v>2</v>
      </c>
      <c r="J318" s="153">
        <v>927</v>
      </c>
      <c r="K318" s="137">
        <v>0</v>
      </c>
      <c r="L318" s="137">
        <v>2</v>
      </c>
      <c r="M318" s="137">
        <v>0</v>
      </c>
      <c r="N318" s="137">
        <v>0</v>
      </c>
      <c r="O318" s="137">
        <v>0</v>
      </c>
      <c r="P318" s="137">
        <v>2</v>
      </c>
      <c r="Q318" s="154">
        <v>2</v>
      </c>
    </row>
    <row r="319" spans="1:17" x14ac:dyDescent="0.25">
      <c r="A319" s="137">
        <v>928</v>
      </c>
      <c r="B319" s="137">
        <v>0</v>
      </c>
      <c r="C319" s="137">
        <v>2</v>
      </c>
      <c r="D319" s="137">
        <v>0</v>
      </c>
      <c r="E319" s="137">
        <v>0</v>
      </c>
      <c r="F319" s="137">
        <v>0</v>
      </c>
      <c r="G319" s="137">
        <v>2</v>
      </c>
      <c r="H319" s="137">
        <v>2</v>
      </c>
      <c r="J319" s="153">
        <v>928</v>
      </c>
      <c r="K319" s="137">
        <v>0</v>
      </c>
      <c r="L319" s="137">
        <v>2</v>
      </c>
      <c r="M319" s="137">
        <v>0</v>
      </c>
      <c r="N319" s="137">
        <v>0</v>
      </c>
      <c r="O319" s="137">
        <v>0</v>
      </c>
      <c r="P319" s="137">
        <v>2</v>
      </c>
      <c r="Q319" s="154">
        <v>2</v>
      </c>
    </row>
    <row r="320" spans="1:17" x14ac:dyDescent="0.25">
      <c r="A320" s="137">
        <v>929</v>
      </c>
      <c r="B320" s="137">
        <v>0</v>
      </c>
      <c r="C320" s="137">
        <v>2</v>
      </c>
      <c r="D320" s="137">
        <v>0</v>
      </c>
      <c r="E320" s="137">
        <v>0</v>
      </c>
      <c r="F320" s="137">
        <v>0</v>
      </c>
      <c r="G320" s="137">
        <v>2</v>
      </c>
      <c r="H320" s="137">
        <v>2</v>
      </c>
      <c r="J320" s="153">
        <v>929</v>
      </c>
      <c r="K320" s="137">
        <v>0</v>
      </c>
      <c r="L320" s="137">
        <v>2</v>
      </c>
      <c r="M320" s="137">
        <v>0</v>
      </c>
      <c r="N320" s="137">
        <v>0</v>
      </c>
      <c r="O320" s="137">
        <v>0</v>
      </c>
      <c r="P320" s="137">
        <v>2</v>
      </c>
      <c r="Q320" s="154">
        <v>2</v>
      </c>
    </row>
    <row r="321" spans="1:17" x14ac:dyDescent="0.25">
      <c r="A321" s="137">
        <v>930</v>
      </c>
      <c r="B321" s="137">
        <v>0</v>
      </c>
      <c r="C321" s="137">
        <v>1</v>
      </c>
      <c r="D321" s="137">
        <v>0</v>
      </c>
      <c r="E321" s="137">
        <v>0</v>
      </c>
      <c r="F321" s="137">
        <v>0</v>
      </c>
      <c r="G321" s="137">
        <v>1</v>
      </c>
      <c r="H321" s="137">
        <v>1</v>
      </c>
      <c r="J321" s="153">
        <v>930</v>
      </c>
      <c r="K321" s="137">
        <v>0</v>
      </c>
      <c r="L321" s="137">
        <v>1</v>
      </c>
      <c r="M321" s="137">
        <v>0</v>
      </c>
      <c r="N321" s="137">
        <v>0</v>
      </c>
      <c r="O321" s="137">
        <v>0</v>
      </c>
      <c r="P321" s="137">
        <v>1</v>
      </c>
      <c r="Q321" s="154">
        <v>1</v>
      </c>
    </row>
    <row r="322" spans="1:17" x14ac:dyDescent="0.25">
      <c r="A322" s="137">
        <v>931</v>
      </c>
      <c r="B322" s="137">
        <v>0</v>
      </c>
      <c r="C322" s="137">
        <v>2</v>
      </c>
      <c r="D322" s="137">
        <v>0</v>
      </c>
      <c r="E322" s="137">
        <v>0</v>
      </c>
      <c r="F322" s="137">
        <v>0</v>
      </c>
      <c r="G322" s="137">
        <v>2</v>
      </c>
      <c r="H322" s="137">
        <v>2</v>
      </c>
      <c r="J322" s="153">
        <v>931</v>
      </c>
      <c r="K322" s="137">
        <v>0</v>
      </c>
      <c r="L322" s="137">
        <v>2</v>
      </c>
      <c r="M322" s="137">
        <v>0</v>
      </c>
      <c r="N322" s="137">
        <v>0</v>
      </c>
      <c r="O322" s="137">
        <v>0</v>
      </c>
      <c r="P322" s="137">
        <v>2</v>
      </c>
      <c r="Q322" s="154">
        <v>2</v>
      </c>
    </row>
    <row r="323" spans="1:17" x14ac:dyDescent="0.25">
      <c r="A323" s="137">
        <v>933</v>
      </c>
      <c r="B323" s="137">
        <v>0</v>
      </c>
      <c r="C323" s="137">
        <v>2</v>
      </c>
      <c r="D323" s="137">
        <v>0</v>
      </c>
      <c r="E323" s="137">
        <v>0</v>
      </c>
      <c r="F323" s="137">
        <v>0</v>
      </c>
      <c r="G323" s="137">
        <v>2</v>
      </c>
      <c r="H323" s="137">
        <v>2</v>
      </c>
      <c r="J323" s="153">
        <v>933</v>
      </c>
      <c r="K323" s="137">
        <v>0</v>
      </c>
      <c r="L323" s="137">
        <v>2</v>
      </c>
      <c r="M323" s="137">
        <v>0</v>
      </c>
      <c r="N323" s="137">
        <v>0</v>
      </c>
      <c r="O323" s="137">
        <v>0</v>
      </c>
      <c r="P323" s="137">
        <v>2</v>
      </c>
      <c r="Q323" s="154">
        <v>2</v>
      </c>
    </row>
    <row r="324" spans="1:17" x14ac:dyDescent="0.25">
      <c r="A324" s="137">
        <v>940</v>
      </c>
      <c r="B324" s="137">
        <v>2</v>
      </c>
      <c r="C324" s="137">
        <v>0</v>
      </c>
      <c r="D324" s="137">
        <v>0</v>
      </c>
      <c r="E324" s="137">
        <v>0</v>
      </c>
      <c r="F324" s="137">
        <v>0</v>
      </c>
      <c r="G324" s="137">
        <v>3</v>
      </c>
      <c r="H324" s="137">
        <v>2</v>
      </c>
      <c r="J324" s="153">
        <v>940</v>
      </c>
      <c r="K324" s="137">
        <v>2</v>
      </c>
      <c r="L324" s="137">
        <v>0</v>
      </c>
      <c r="M324" s="137">
        <v>0</v>
      </c>
      <c r="N324" s="137">
        <v>0</v>
      </c>
      <c r="O324" s="137">
        <v>0</v>
      </c>
      <c r="P324" s="137">
        <v>3</v>
      </c>
      <c r="Q324" s="154">
        <f>SUM(K324:O324)</f>
        <v>2</v>
      </c>
    </row>
    <row r="325" spans="1:17" x14ac:dyDescent="0.25">
      <c r="A325" s="137">
        <v>942</v>
      </c>
      <c r="B325" s="137">
        <v>2</v>
      </c>
      <c r="C325" s="137">
        <v>0</v>
      </c>
      <c r="D325" s="137">
        <v>0</v>
      </c>
      <c r="E325" s="137">
        <v>0</v>
      </c>
      <c r="F325" s="137">
        <v>0</v>
      </c>
      <c r="G325" s="137">
        <v>2</v>
      </c>
      <c r="H325" s="137">
        <v>2</v>
      </c>
      <c r="J325" s="153">
        <v>942</v>
      </c>
      <c r="K325" s="137">
        <v>2</v>
      </c>
      <c r="L325" s="137">
        <v>0</v>
      </c>
      <c r="M325" s="137">
        <v>0</v>
      </c>
      <c r="N325" s="137">
        <v>0</v>
      </c>
      <c r="O325" s="137">
        <v>0</v>
      </c>
      <c r="P325" s="137">
        <v>2</v>
      </c>
      <c r="Q325" s="154">
        <v>2</v>
      </c>
    </row>
    <row r="326" spans="1:17" x14ac:dyDescent="0.25">
      <c r="A326" s="137">
        <v>943</v>
      </c>
      <c r="B326" s="137">
        <v>0</v>
      </c>
      <c r="C326" s="137">
        <v>0</v>
      </c>
      <c r="D326" s="137">
        <v>2</v>
      </c>
      <c r="E326" s="137">
        <v>0</v>
      </c>
      <c r="F326" s="137">
        <v>0</v>
      </c>
      <c r="G326" s="137">
        <v>3</v>
      </c>
      <c r="H326" s="137">
        <v>2</v>
      </c>
      <c r="J326" s="153">
        <v>943</v>
      </c>
      <c r="K326" s="137">
        <v>0</v>
      </c>
      <c r="L326" s="137">
        <v>0</v>
      </c>
      <c r="M326" s="137">
        <v>2</v>
      </c>
      <c r="N326" s="137">
        <v>0</v>
      </c>
      <c r="O326" s="137">
        <v>0</v>
      </c>
      <c r="P326" s="137">
        <v>3</v>
      </c>
      <c r="Q326" s="154">
        <f t="shared" ref="Q326:Q327" si="4">SUM(K326:O326)</f>
        <v>2</v>
      </c>
    </row>
    <row r="327" spans="1:17" x14ac:dyDescent="0.25">
      <c r="A327" s="137">
        <v>1001</v>
      </c>
      <c r="B327" s="137">
        <v>0</v>
      </c>
      <c r="C327" s="137">
        <v>0</v>
      </c>
      <c r="D327" s="137">
        <v>2</v>
      </c>
      <c r="E327" s="137">
        <v>0</v>
      </c>
      <c r="F327" s="137">
        <v>0</v>
      </c>
      <c r="G327" s="137">
        <v>3</v>
      </c>
      <c r="H327" s="137">
        <v>2</v>
      </c>
      <c r="J327" s="153">
        <v>1001</v>
      </c>
      <c r="K327" s="137">
        <v>0</v>
      </c>
      <c r="L327" s="137">
        <v>0</v>
      </c>
      <c r="M327" s="137">
        <v>2</v>
      </c>
      <c r="N327" s="137">
        <v>0</v>
      </c>
      <c r="O327" s="137">
        <v>0</v>
      </c>
      <c r="P327" s="137">
        <v>3</v>
      </c>
      <c r="Q327" s="154">
        <f t="shared" si="4"/>
        <v>2</v>
      </c>
    </row>
    <row r="328" spans="1:17" x14ac:dyDescent="0.25">
      <c r="A328" s="137">
        <v>1002</v>
      </c>
      <c r="B328" s="137">
        <v>0</v>
      </c>
      <c r="C328" s="137">
        <v>0</v>
      </c>
      <c r="D328" s="137">
        <v>2</v>
      </c>
      <c r="E328" s="137">
        <v>0</v>
      </c>
      <c r="F328" s="137">
        <v>0</v>
      </c>
      <c r="G328" s="137">
        <v>2</v>
      </c>
      <c r="H328" s="137">
        <v>2</v>
      </c>
      <c r="J328" s="153">
        <v>1002</v>
      </c>
      <c r="K328" s="137">
        <v>0</v>
      </c>
      <c r="L328" s="137">
        <v>0</v>
      </c>
      <c r="M328" s="137">
        <v>2</v>
      </c>
      <c r="N328" s="137">
        <v>0</v>
      </c>
      <c r="O328" s="137">
        <v>0</v>
      </c>
      <c r="P328" s="137">
        <v>2</v>
      </c>
      <c r="Q328" s="154">
        <v>2</v>
      </c>
    </row>
    <row r="329" spans="1:17" x14ac:dyDescent="0.25">
      <c r="A329" s="137">
        <v>1003</v>
      </c>
      <c r="B329" s="137">
        <v>0</v>
      </c>
      <c r="C329" s="137">
        <v>0</v>
      </c>
      <c r="D329" s="137">
        <v>2</v>
      </c>
      <c r="E329" s="137">
        <v>0</v>
      </c>
      <c r="F329" s="137">
        <v>0</v>
      </c>
      <c r="G329" s="137">
        <v>2</v>
      </c>
      <c r="H329" s="137">
        <v>2</v>
      </c>
      <c r="J329" s="153">
        <v>1003</v>
      </c>
      <c r="K329" s="137">
        <v>0</v>
      </c>
      <c r="L329" s="137">
        <v>0</v>
      </c>
      <c r="M329" s="137">
        <v>2</v>
      </c>
      <c r="N329" s="137">
        <v>0</v>
      </c>
      <c r="O329" s="137">
        <v>0</v>
      </c>
      <c r="P329" s="137">
        <v>2</v>
      </c>
      <c r="Q329" s="154">
        <v>2</v>
      </c>
    </row>
    <row r="330" spans="1:17" x14ac:dyDescent="0.25">
      <c r="A330" s="137">
        <v>1004</v>
      </c>
      <c r="B330" s="137">
        <v>0</v>
      </c>
      <c r="C330" s="137">
        <v>0</v>
      </c>
      <c r="D330" s="137">
        <v>2</v>
      </c>
      <c r="E330" s="137">
        <v>0</v>
      </c>
      <c r="F330" s="137">
        <v>0</v>
      </c>
      <c r="G330" s="137">
        <v>3</v>
      </c>
      <c r="H330" s="137">
        <v>2</v>
      </c>
      <c r="J330" s="153">
        <v>1004</v>
      </c>
      <c r="K330" s="137">
        <v>0</v>
      </c>
      <c r="L330" s="137">
        <v>0</v>
      </c>
      <c r="M330" s="137">
        <v>2</v>
      </c>
      <c r="N330" s="137">
        <v>0</v>
      </c>
      <c r="O330" s="137">
        <v>0</v>
      </c>
      <c r="P330" s="137">
        <v>3</v>
      </c>
      <c r="Q330" s="154">
        <f>SUM(K330:O330)</f>
        <v>2</v>
      </c>
    </row>
    <row r="331" spans="1:17" x14ac:dyDescent="0.25">
      <c r="A331" s="137">
        <v>1005</v>
      </c>
      <c r="B331" s="137">
        <v>0</v>
      </c>
      <c r="C331" s="137">
        <v>0</v>
      </c>
      <c r="D331" s="137">
        <v>2</v>
      </c>
      <c r="E331" s="137">
        <v>0</v>
      </c>
      <c r="F331" s="137">
        <v>0</v>
      </c>
      <c r="G331" s="137">
        <v>2</v>
      </c>
      <c r="H331" s="137">
        <v>2</v>
      </c>
      <c r="J331" s="153">
        <v>1005</v>
      </c>
      <c r="K331" s="137">
        <v>0</v>
      </c>
      <c r="L331" s="137">
        <v>0</v>
      </c>
      <c r="M331" s="137">
        <v>2</v>
      </c>
      <c r="N331" s="137">
        <v>0</v>
      </c>
      <c r="O331" s="137">
        <v>0</v>
      </c>
      <c r="P331" s="137">
        <v>2</v>
      </c>
      <c r="Q331" s="154">
        <v>2</v>
      </c>
    </row>
    <row r="332" spans="1:17" x14ac:dyDescent="0.25">
      <c r="A332" s="137">
        <v>1006</v>
      </c>
      <c r="B332" s="137">
        <v>2</v>
      </c>
      <c r="C332" s="137">
        <v>0</v>
      </c>
      <c r="D332" s="137">
        <v>0</v>
      </c>
      <c r="E332" s="137">
        <v>0</v>
      </c>
      <c r="F332" s="137">
        <v>0</v>
      </c>
      <c r="G332" s="137">
        <v>2</v>
      </c>
      <c r="H332" s="137">
        <v>2</v>
      </c>
      <c r="J332" s="153">
        <v>1006</v>
      </c>
      <c r="K332" s="137">
        <v>2</v>
      </c>
      <c r="L332" s="137">
        <v>0</v>
      </c>
      <c r="M332" s="137">
        <v>0</v>
      </c>
      <c r="N332" s="137">
        <v>0</v>
      </c>
      <c r="O332" s="137">
        <v>0</v>
      </c>
      <c r="P332" s="137">
        <v>2</v>
      </c>
      <c r="Q332" s="154">
        <v>2</v>
      </c>
    </row>
    <row r="333" spans="1:17" x14ac:dyDescent="0.25">
      <c r="A333" s="137">
        <v>1007</v>
      </c>
      <c r="B333" s="137">
        <v>0</v>
      </c>
      <c r="C333" s="137">
        <v>0</v>
      </c>
      <c r="D333" s="137">
        <v>2</v>
      </c>
      <c r="E333" s="137">
        <v>0</v>
      </c>
      <c r="F333" s="137">
        <v>0</v>
      </c>
      <c r="G333" s="137">
        <v>3</v>
      </c>
      <c r="H333" s="137">
        <v>2</v>
      </c>
      <c r="J333" s="153">
        <v>1007</v>
      </c>
      <c r="K333" s="137">
        <v>0</v>
      </c>
      <c r="L333" s="137">
        <v>0</v>
      </c>
      <c r="M333" s="137">
        <v>2</v>
      </c>
      <c r="N333" s="137">
        <v>0</v>
      </c>
      <c r="O333" s="137">
        <v>0</v>
      </c>
      <c r="P333" s="137">
        <v>3</v>
      </c>
      <c r="Q333" s="154">
        <f>SUM(K333:O333)</f>
        <v>2</v>
      </c>
    </row>
    <row r="334" spans="1:17" x14ac:dyDescent="0.25">
      <c r="A334" s="137">
        <v>1008</v>
      </c>
      <c r="B334" s="137">
        <v>0</v>
      </c>
      <c r="C334" s="137">
        <v>0</v>
      </c>
      <c r="D334" s="137">
        <v>2</v>
      </c>
      <c r="E334" s="137">
        <v>0</v>
      </c>
      <c r="F334" s="137">
        <v>0</v>
      </c>
      <c r="G334" s="137">
        <v>2</v>
      </c>
      <c r="H334" s="137">
        <v>2</v>
      </c>
      <c r="J334" s="153">
        <v>1008</v>
      </c>
      <c r="K334" s="137">
        <v>0</v>
      </c>
      <c r="L334" s="137">
        <v>0</v>
      </c>
      <c r="M334" s="137">
        <v>2</v>
      </c>
      <c r="N334" s="137">
        <v>0</v>
      </c>
      <c r="O334" s="137">
        <v>0</v>
      </c>
      <c r="P334" s="137">
        <v>2</v>
      </c>
      <c r="Q334" s="154">
        <v>2</v>
      </c>
    </row>
    <row r="335" spans="1:17" x14ac:dyDescent="0.25">
      <c r="A335" s="137">
        <v>1009</v>
      </c>
      <c r="B335" s="137">
        <v>1</v>
      </c>
      <c r="C335" s="137">
        <v>0</v>
      </c>
      <c r="D335" s="137">
        <v>0</v>
      </c>
      <c r="E335" s="137">
        <v>0</v>
      </c>
      <c r="F335" s="137">
        <v>0</v>
      </c>
      <c r="G335" s="137">
        <v>1</v>
      </c>
      <c r="H335" s="137">
        <v>1</v>
      </c>
      <c r="J335" s="153">
        <v>1009</v>
      </c>
      <c r="K335" s="137">
        <v>1</v>
      </c>
      <c r="L335" s="137">
        <v>0</v>
      </c>
      <c r="M335" s="137">
        <v>0</v>
      </c>
      <c r="N335" s="137">
        <v>0</v>
      </c>
      <c r="O335" s="137">
        <v>0</v>
      </c>
      <c r="P335" s="137">
        <v>1</v>
      </c>
      <c r="Q335" s="154">
        <v>1</v>
      </c>
    </row>
    <row r="336" spans="1:17" x14ac:dyDescent="0.25">
      <c r="A336" s="137">
        <v>1010</v>
      </c>
      <c r="B336" s="137">
        <v>0</v>
      </c>
      <c r="C336" s="137">
        <v>2</v>
      </c>
      <c r="D336" s="137">
        <v>0</v>
      </c>
      <c r="E336" s="137">
        <v>0</v>
      </c>
      <c r="F336" s="137">
        <v>0</v>
      </c>
      <c r="G336" s="137">
        <v>2</v>
      </c>
      <c r="H336" s="137">
        <v>2</v>
      </c>
      <c r="J336" s="153">
        <v>1010</v>
      </c>
      <c r="K336" s="137">
        <v>0</v>
      </c>
      <c r="L336" s="137">
        <v>2</v>
      </c>
      <c r="M336" s="137">
        <v>0</v>
      </c>
      <c r="N336" s="137">
        <v>0</v>
      </c>
      <c r="O336" s="137">
        <v>0</v>
      </c>
      <c r="P336" s="137">
        <v>2</v>
      </c>
      <c r="Q336" s="154">
        <v>2</v>
      </c>
    </row>
    <row r="337" spans="1:17" x14ac:dyDescent="0.25">
      <c r="A337" s="137">
        <v>1011</v>
      </c>
      <c r="B337" s="137">
        <v>2</v>
      </c>
      <c r="C337" s="137">
        <v>0</v>
      </c>
      <c r="D337" s="137">
        <v>0</v>
      </c>
      <c r="E337" s="137">
        <v>0</v>
      </c>
      <c r="F337" s="137">
        <v>0</v>
      </c>
      <c r="G337" s="137">
        <v>3</v>
      </c>
      <c r="H337" s="137">
        <v>2</v>
      </c>
      <c r="J337" s="153">
        <v>1011</v>
      </c>
      <c r="K337" s="137">
        <v>2</v>
      </c>
      <c r="L337" s="137">
        <v>0</v>
      </c>
      <c r="M337" s="137">
        <v>0</v>
      </c>
      <c r="N337" s="137">
        <v>0</v>
      </c>
      <c r="O337" s="137">
        <v>0</v>
      </c>
      <c r="P337" s="137">
        <v>3</v>
      </c>
      <c r="Q337" s="154">
        <f t="shared" ref="Q337:Q338" si="5">SUM(K337:O337)</f>
        <v>2</v>
      </c>
    </row>
    <row r="338" spans="1:17" x14ac:dyDescent="0.25">
      <c r="A338" s="137">
        <v>1013</v>
      </c>
      <c r="B338" s="137">
        <v>0</v>
      </c>
      <c r="C338" s="137">
        <v>2</v>
      </c>
      <c r="D338" s="137">
        <v>0</v>
      </c>
      <c r="E338" s="137">
        <v>0</v>
      </c>
      <c r="F338" s="137">
        <v>0</v>
      </c>
      <c r="G338" s="137">
        <v>3</v>
      </c>
      <c r="H338" s="137">
        <v>2</v>
      </c>
      <c r="J338" s="153">
        <v>1013</v>
      </c>
      <c r="K338" s="137">
        <v>0</v>
      </c>
      <c r="L338" s="137">
        <v>2</v>
      </c>
      <c r="M338" s="137">
        <v>0</v>
      </c>
      <c r="N338" s="137">
        <v>0</v>
      </c>
      <c r="O338" s="137">
        <v>0</v>
      </c>
      <c r="P338" s="137">
        <v>3</v>
      </c>
      <c r="Q338" s="154">
        <f t="shared" si="5"/>
        <v>2</v>
      </c>
    </row>
    <row r="339" spans="1:17" x14ac:dyDescent="0.25">
      <c r="A339" s="137">
        <v>1014</v>
      </c>
      <c r="B339" s="137">
        <v>0</v>
      </c>
      <c r="C339" s="137">
        <v>2</v>
      </c>
      <c r="D339" s="137">
        <v>0</v>
      </c>
      <c r="E339" s="137">
        <v>0</v>
      </c>
      <c r="F339" s="137">
        <v>0</v>
      </c>
      <c r="G339" s="137">
        <v>2</v>
      </c>
      <c r="H339" s="137">
        <v>2</v>
      </c>
      <c r="J339" s="153">
        <v>1014</v>
      </c>
      <c r="K339" s="137">
        <v>0</v>
      </c>
      <c r="L339" s="137">
        <v>2</v>
      </c>
      <c r="M339" s="137">
        <v>0</v>
      </c>
      <c r="N339" s="137">
        <v>0</v>
      </c>
      <c r="O339" s="137">
        <v>0</v>
      </c>
      <c r="P339" s="137">
        <v>2</v>
      </c>
      <c r="Q339" s="154">
        <v>2</v>
      </c>
    </row>
    <row r="340" spans="1:17" x14ac:dyDescent="0.25">
      <c r="A340" s="137">
        <v>1016</v>
      </c>
      <c r="B340" s="137">
        <v>0</v>
      </c>
      <c r="C340" s="137">
        <v>2</v>
      </c>
      <c r="D340" s="137">
        <v>0</v>
      </c>
      <c r="E340" s="137">
        <v>0</v>
      </c>
      <c r="F340" s="137">
        <v>0</v>
      </c>
      <c r="G340" s="137">
        <v>2</v>
      </c>
      <c r="H340" s="137">
        <v>2</v>
      </c>
      <c r="J340" s="153">
        <v>1016</v>
      </c>
      <c r="K340" s="137">
        <v>0</v>
      </c>
      <c r="L340" s="137">
        <v>2</v>
      </c>
      <c r="M340" s="137">
        <v>0</v>
      </c>
      <c r="N340" s="137">
        <v>0</v>
      </c>
      <c r="O340" s="137">
        <v>0</v>
      </c>
      <c r="P340" s="137">
        <v>2</v>
      </c>
      <c r="Q340" s="154">
        <v>2</v>
      </c>
    </row>
    <row r="341" spans="1:17" x14ac:dyDescent="0.25">
      <c r="A341" s="137">
        <v>1018</v>
      </c>
      <c r="B341" s="137">
        <v>2</v>
      </c>
      <c r="C341" s="137">
        <v>0</v>
      </c>
      <c r="D341" s="137">
        <v>0</v>
      </c>
      <c r="E341" s="137">
        <v>0</v>
      </c>
      <c r="F341" s="137">
        <v>0</v>
      </c>
      <c r="G341" s="137">
        <v>3</v>
      </c>
      <c r="H341" s="137">
        <v>2</v>
      </c>
      <c r="J341" s="153">
        <v>1018</v>
      </c>
      <c r="K341" s="137">
        <v>2</v>
      </c>
      <c r="L341" s="137">
        <v>0</v>
      </c>
      <c r="M341" s="137">
        <v>0</v>
      </c>
      <c r="N341" s="137">
        <v>0</v>
      </c>
      <c r="O341" s="137">
        <v>0</v>
      </c>
      <c r="P341" s="137">
        <v>3</v>
      </c>
      <c r="Q341" s="154">
        <f>SUM(K341:O341)</f>
        <v>2</v>
      </c>
    </row>
    <row r="342" spans="1:17" x14ac:dyDescent="0.25">
      <c r="A342" s="137">
        <v>1019</v>
      </c>
      <c r="B342" s="137">
        <v>1</v>
      </c>
      <c r="C342" s="137">
        <v>0</v>
      </c>
      <c r="D342" s="137">
        <v>0</v>
      </c>
      <c r="E342" s="137">
        <v>0</v>
      </c>
      <c r="F342" s="137">
        <v>0</v>
      </c>
      <c r="G342" s="137">
        <v>1</v>
      </c>
      <c r="H342" s="137">
        <v>1</v>
      </c>
      <c r="J342" s="153">
        <v>1019</v>
      </c>
      <c r="K342" s="137">
        <v>1</v>
      </c>
      <c r="L342" s="137">
        <v>0</v>
      </c>
      <c r="M342" s="137">
        <v>0</v>
      </c>
      <c r="N342" s="137">
        <v>0</v>
      </c>
      <c r="O342" s="137">
        <v>0</v>
      </c>
      <c r="P342" s="137">
        <v>1</v>
      </c>
      <c r="Q342" s="154">
        <v>1</v>
      </c>
    </row>
    <row r="343" spans="1:17" x14ac:dyDescent="0.25">
      <c r="A343" s="137">
        <v>1027</v>
      </c>
      <c r="B343" s="137">
        <v>2</v>
      </c>
      <c r="C343" s="137">
        <v>0</v>
      </c>
      <c r="D343" s="137">
        <v>0</v>
      </c>
      <c r="E343" s="137">
        <v>0</v>
      </c>
      <c r="F343" s="137">
        <v>0</v>
      </c>
      <c r="G343" s="137">
        <v>2</v>
      </c>
      <c r="H343" s="137">
        <v>2</v>
      </c>
      <c r="J343" s="153">
        <v>1027</v>
      </c>
      <c r="K343" s="137">
        <v>2</v>
      </c>
      <c r="L343" s="137">
        <v>0</v>
      </c>
      <c r="M343" s="137">
        <v>0</v>
      </c>
      <c r="N343" s="137">
        <v>0</v>
      </c>
      <c r="O343" s="137">
        <v>0</v>
      </c>
      <c r="P343" s="137">
        <v>2</v>
      </c>
      <c r="Q343" s="154">
        <v>2</v>
      </c>
    </row>
    <row r="344" spans="1:17" x14ac:dyDescent="0.25">
      <c r="A344" s="137">
        <v>1031</v>
      </c>
      <c r="B344" s="137">
        <v>2</v>
      </c>
      <c r="C344" s="137">
        <v>0</v>
      </c>
      <c r="D344" s="137">
        <v>0</v>
      </c>
      <c r="E344" s="137">
        <v>0</v>
      </c>
      <c r="F344" s="137">
        <v>0</v>
      </c>
      <c r="G344" s="137">
        <v>2</v>
      </c>
      <c r="H344" s="137">
        <v>2</v>
      </c>
      <c r="J344" s="153">
        <v>1031</v>
      </c>
      <c r="K344" s="137">
        <v>2</v>
      </c>
      <c r="L344" s="137">
        <v>0</v>
      </c>
      <c r="M344" s="137">
        <v>0</v>
      </c>
      <c r="N344" s="137">
        <v>0</v>
      </c>
      <c r="O344" s="137">
        <v>0</v>
      </c>
      <c r="P344" s="137">
        <v>2</v>
      </c>
      <c r="Q344" s="154">
        <v>2</v>
      </c>
    </row>
    <row r="345" spans="1:17" x14ac:dyDescent="0.25">
      <c r="A345" s="137">
        <v>1034</v>
      </c>
      <c r="B345" s="137">
        <v>2</v>
      </c>
      <c r="C345" s="137">
        <v>0</v>
      </c>
      <c r="D345" s="137">
        <v>0</v>
      </c>
      <c r="E345" s="137">
        <v>0</v>
      </c>
      <c r="F345" s="137">
        <v>0</v>
      </c>
      <c r="G345" s="137">
        <v>2</v>
      </c>
      <c r="H345" s="137">
        <v>2</v>
      </c>
      <c r="J345" s="153">
        <v>1034</v>
      </c>
      <c r="K345" s="137">
        <v>2</v>
      </c>
      <c r="L345" s="137">
        <v>0</v>
      </c>
      <c r="M345" s="137">
        <v>0</v>
      </c>
      <c r="N345" s="137">
        <v>0</v>
      </c>
      <c r="O345" s="137">
        <v>0</v>
      </c>
      <c r="P345" s="137">
        <v>2</v>
      </c>
      <c r="Q345" s="154">
        <v>2</v>
      </c>
    </row>
    <row r="346" spans="1:17" x14ac:dyDescent="0.25">
      <c r="A346" s="137">
        <v>1037</v>
      </c>
      <c r="B346" s="137">
        <v>2</v>
      </c>
      <c r="C346" s="137">
        <v>0</v>
      </c>
      <c r="D346" s="137">
        <v>0</v>
      </c>
      <c r="E346" s="137">
        <v>0</v>
      </c>
      <c r="F346" s="137">
        <v>0</v>
      </c>
      <c r="G346" s="137">
        <v>2</v>
      </c>
      <c r="H346" s="137">
        <v>2</v>
      </c>
      <c r="J346" s="153">
        <v>1037</v>
      </c>
      <c r="K346" s="137">
        <v>2</v>
      </c>
      <c r="L346" s="137">
        <v>0</v>
      </c>
      <c r="M346" s="137">
        <v>0</v>
      </c>
      <c r="N346" s="137">
        <v>0</v>
      </c>
      <c r="O346" s="137">
        <v>0</v>
      </c>
      <c r="P346" s="137">
        <v>2</v>
      </c>
      <c r="Q346" s="154">
        <v>2</v>
      </c>
    </row>
    <row r="347" spans="1:17" x14ac:dyDescent="0.25">
      <c r="A347" s="137">
        <v>1038</v>
      </c>
      <c r="B347" s="137">
        <v>2</v>
      </c>
      <c r="C347" s="137">
        <v>0</v>
      </c>
      <c r="D347" s="137">
        <v>0</v>
      </c>
      <c r="E347" s="137">
        <v>0</v>
      </c>
      <c r="F347" s="137">
        <v>0</v>
      </c>
      <c r="G347" s="137">
        <v>2</v>
      </c>
      <c r="H347" s="137">
        <v>2</v>
      </c>
      <c r="J347" s="153">
        <v>1038</v>
      </c>
      <c r="K347" s="137">
        <v>2</v>
      </c>
      <c r="L347" s="137">
        <v>0</v>
      </c>
      <c r="M347" s="137">
        <v>0</v>
      </c>
      <c r="N347" s="137">
        <v>0</v>
      </c>
      <c r="O347" s="137">
        <v>0</v>
      </c>
      <c r="P347" s="137">
        <v>2</v>
      </c>
      <c r="Q347" s="154">
        <v>2</v>
      </c>
    </row>
    <row r="348" spans="1:17" x14ac:dyDescent="0.25">
      <c r="A348" s="137">
        <v>1039</v>
      </c>
      <c r="B348" s="137">
        <v>2</v>
      </c>
      <c r="C348" s="137">
        <v>0</v>
      </c>
      <c r="D348" s="137">
        <v>0</v>
      </c>
      <c r="E348" s="137">
        <v>0</v>
      </c>
      <c r="F348" s="137">
        <v>0</v>
      </c>
      <c r="G348" s="137">
        <v>5</v>
      </c>
      <c r="H348" s="137">
        <v>2</v>
      </c>
      <c r="J348" s="153">
        <v>1039</v>
      </c>
      <c r="K348" s="137">
        <v>2</v>
      </c>
      <c r="L348" s="137">
        <v>0</v>
      </c>
      <c r="M348" s="137">
        <v>0</v>
      </c>
      <c r="N348" s="137">
        <v>0</v>
      </c>
      <c r="O348" s="137">
        <v>0</v>
      </c>
      <c r="P348" s="137">
        <v>5</v>
      </c>
      <c r="Q348" s="154">
        <f>SUM(K348:O348)</f>
        <v>2</v>
      </c>
    </row>
    <row r="349" spans="1:17" x14ac:dyDescent="0.25">
      <c r="A349" s="137">
        <v>1051</v>
      </c>
      <c r="B349" s="137">
        <v>0</v>
      </c>
      <c r="C349" s="137">
        <v>1</v>
      </c>
      <c r="D349" s="137">
        <v>0</v>
      </c>
      <c r="E349" s="137">
        <v>0</v>
      </c>
      <c r="F349" s="137">
        <v>0</v>
      </c>
      <c r="G349" s="137">
        <v>1</v>
      </c>
      <c r="H349" s="137">
        <v>1</v>
      </c>
      <c r="J349" s="153">
        <v>1051</v>
      </c>
      <c r="K349" s="137">
        <v>0</v>
      </c>
      <c r="L349" s="137">
        <v>1</v>
      </c>
      <c r="M349" s="137">
        <v>0</v>
      </c>
      <c r="N349" s="137">
        <v>0</v>
      </c>
      <c r="O349" s="137">
        <v>0</v>
      </c>
      <c r="P349" s="137">
        <v>1</v>
      </c>
      <c r="Q349" s="154">
        <v>1</v>
      </c>
    </row>
    <row r="350" spans="1:17" x14ac:dyDescent="0.25">
      <c r="A350" s="137">
        <v>1052</v>
      </c>
      <c r="B350" s="137">
        <v>0</v>
      </c>
      <c r="C350" s="137">
        <v>2</v>
      </c>
      <c r="D350" s="137">
        <v>0</v>
      </c>
      <c r="E350" s="137">
        <v>0</v>
      </c>
      <c r="F350" s="137">
        <v>0</v>
      </c>
      <c r="G350" s="137">
        <v>2</v>
      </c>
      <c r="H350" s="137">
        <v>2</v>
      </c>
      <c r="J350" s="153">
        <v>1052</v>
      </c>
      <c r="K350" s="137">
        <v>0</v>
      </c>
      <c r="L350" s="137">
        <v>2</v>
      </c>
      <c r="M350" s="137">
        <v>0</v>
      </c>
      <c r="N350" s="137">
        <v>0</v>
      </c>
      <c r="O350" s="137">
        <v>0</v>
      </c>
      <c r="P350" s="137">
        <v>2</v>
      </c>
      <c r="Q350" s="154">
        <v>2</v>
      </c>
    </row>
    <row r="351" spans="1:17" x14ac:dyDescent="0.25">
      <c r="A351" s="137">
        <v>1053</v>
      </c>
      <c r="B351" s="137">
        <v>0</v>
      </c>
      <c r="C351" s="137">
        <v>2</v>
      </c>
      <c r="D351" s="137">
        <v>0</v>
      </c>
      <c r="E351" s="137">
        <v>0</v>
      </c>
      <c r="F351" s="137">
        <v>0</v>
      </c>
      <c r="G351" s="137">
        <v>2</v>
      </c>
      <c r="H351" s="137">
        <v>2</v>
      </c>
      <c r="J351" s="153">
        <v>1053</v>
      </c>
      <c r="K351" s="137">
        <v>0</v>
      </c>
      <c r="L351" s="137">
        <v>2</v>
      </c>
      <c r="M351" s="137">
        <v>0</v>
      </c>
      <c r="N351" s="137">
        <v>0</v>
      </c>
      <c r="O351" s="137">
        <v>0</v>
      </c>
      <c r="P351" s="137">
        <v>2</v>
      </c>
      <c r="Q351" s="154">
        <v>2</v>
      </c>
    </row>
    <row r="352" spans="1:17" x14ac:dyDescent="0.25">
      <c r="A352" s="137">
        <v>1054</v>
      </c>
      <c r="B352" s="137">
        <v>0</v>
      </c>
      <c r="C352" s="137">
        <v>2</v>
      </c>
      <c r="D352" s="137">
        <v>0</v>
      </c>
      <c r="E352" s="137">
        <v>0</v>
      </c>
      <c r="F352" s="137">
        <v>0</v>
      </c>
      <c r="G352" s="137">
        <v>2</v>
      </c>
      <c r="H352" s="137">
        <v>2</v>
      </c>
      <c r="J352" s="153">
        <v>1054</v>
      </c>
      <c r="K352" s="137">
        <v>0</v>
      </c>
      <c r="L352" s="137">
        <v>2</v>
      </c>
      <c r="M352" s="137">
        <v>0</v>
      </c>
      <c r="N352" s="137">
        <v>0</v>
      </c>
      <c r="O352" s="137">
        <v>0</v>
      </c>
      <c r="P352" s="137">
        <v>2</v>
      </c>
      <c r="Q352" s="154">
        <v>2</v>
      </c>
    </row>
    <row r="353" spans="1:17" x14ac:dyDescent="0.25">
      <c r="A353" s="137">
        <v>1055</v>
      </c>
      <c r="B353" s="137">
        <v>0</v>
      </c>
      <c r="C353" s="137">
        <v>2</v>
      </c>
      <c r="D353" s="137">
        <v>0</v>
      </c>
      <c r="E353" s="137">
        <v>0</v>
      </c>
      <c r="F353" s="137">
        <v>0</v>
      </c>
      <c r="G353" s="137">
        <v>2</v>
      </c>
      <c r="H353" s="137">
        <v>2</v>
      </c>
      <c r="J353" s="153">
        <v>1055</v>
      </c>
      <c r="K353" s="137">
        <v>0</v>
      </c>
      <c r="L353" s="137">
        <v>2</v>
      </c>
      <c r="M353" s="137">
        <v>0</v>
      </c>
      <c r="N353" s="137">
        <v>0</v>
      </c>
      <c r="O353" s="137">
        <v>0</v>
      </c>
      <c r="P353" s="137">
        <v>2</v>
      </c>
      <c r="Q353" s="154">
        <v>2</v>
      </c>
    </row>
    <row r="354" spans="1:17" x14ac:dyDescent="0.25">
      <c r="A354" s="137">
        <v>1056</v>
      </c>
      <c r="B354" s="137">
        <v>0</v>
      </c>
      <c r="C354" s="137">
        <v>2</v>
      </c>
      <c r="D354" s="137">
        <v>0</v>
      </c>
      <c r="E354" s="137">
        <v>0</v>
      </c>
      <c r="F354" s="137">
        <v>0</v>
      </c>
      <c r="G354" s="137">
        <v>2</v>
      </c>
      <c r="H354" s="137">
        <v>2</v>
      </c>
      <c r="J354" s="153">
        <v>1056</v>
      </c>
      <c r="K354" s="137">
        <v>0</v>
      </c>
      <c r="L354" s="137">
        <v>2</v>
      </c>
      <c r="M354" s="137">
        <v>0</v>
      </c>
      <c r="N354" s="137">
        <v>0</v>
      </c>
      <c r="O354" s="137">
        <v>0</v>
      </c>
      <c r="P354" s="137">
        <v>2</v>
      </c>
      <c r="Q354" s="154">
        <v>2</v>
      </c>
    </row>
    <row r="355" spans="1:17" x14ac:dyDescent="0.25">
      <c r="A355" s="137">
        <v>1057</v>
      </c>
      <c r="B355" s="137">
        <v>2</v>
      </c>
      <c r="C355" s="137">
        <v>0</v>
      </c>
      <c r="D355" s="137">
        <v>0</v>
      </c>
      <c r="E355" s="137">
        <v>0</v>
      </c>
      <c r="F355" s="137">
        <v>0</v>
      </c>
      <c r="G355" s="137">
        <v>3</v>
      </c>
      <c r="H355" s="137">
        <v>2</v>
      </c>
      <c r="J355" s="153">
        <v>1057</v>
      </c>
      <c r="K355" s="137">
        <v>2</v>
      </c>
      <c r="L355" s="137">
        <v>0</v>
      </c>
      <c r="M355" s="137">
        <v>0</v>
      </c>
      <c r="N355" s="137">
        <v>0</v>
      </c>
      <c r="O355" s="137">
        <v>0</v>
      </c>
      <c r="P355" s="137">
        <v>3</v>
      </c>
      <c r="Q355" s="154">
        <f>SUM(K355:O355)</f>
        <v>2</v>
      </c>
    </row>
    <row r="356" spans="1:17" x14ac:dyDescent="0.25">
      <c r="A356" s="137">
        <v>1058</v>
      </c>
      <c r="B356" s="137">
        <v>2</v>
      </c>
      <c r="C356" s="137">
        <v>0</v>
      </c>
      <c r="D356" s="137">
        <v>0</v>
      </c>
      <c r="E356" s="137">
        <v>0</v>
      </c>
      <c r="F356" s="137">
        <v>0</v>
      </c>
      <c r="G356" s="137">
        <v>2</v>
      </c>
      <c r="H356" s="137">
        <v>2</v>
      </c>
      <c r="J356" s="153">
        <v>1058</v>
      </c>
      <c r="K356" s="137">
        <v>2</v>
      </c>
      <c r="L356" s="137">
        <v>0</v>
      </c>
      <c r="M356" s="137">
        <v>0</v>
      </c>
      <c r="N356" s="137">
        <v>0</v>
      </c>
      <c r="O356" s="137">
        <v>0</v>
      </c>
      <c r="P356" s="137">
        <v>2</v>
      </c>
      <c r="Q356" s="154">
        <v>2</v>
      </c>
    </row>
    <row r="357" spans="1:17" x14ac:dyDescent="0.25">
      <c r="A357" s="137">
        <v>1064</v>
      </c>
      <c r="B357" s="137">
        <v>1</v>
      </c>
      <c r="C357" s="137">
        <v>0</v>
      </c>
      <c r="D357" s="137">
        <v>0</v>
      </c>
      <c r="E357" s="137">
        <v>0</v>
      </c>
      <c r="F357" s="137">
        <v>0</v>
      </c>
      <c r="G357" s="137">
        <v>1</v>
      </c>
      <c r="H357" s="137">
        <v>1</v>
      </c>
      <c r="J357" s="153">
        <v>1064</v>
      </c>
      <c r="K357" s="137">
        <v>1</v>
      </c>
      <c r="L357" s="137">
        <v>0</v>
      </c>
      <c r="M357" s="137">
        <v>0</v>
      </c>
      <c r="N357" s="137">
        <v>0</v>
      </c>
      <c r="O357" s="137">
        <v>0</v>
      </c>
      <c r="P357" s="137">
        <v>1</v>
      </c>
      <c r="Q357" s="154">
        <v>1</v>
      </c>
    </row>
    <row r="358" spans="1:17" x14ac:dyDescent="0.25">
      <c r="A358" s="137">
        <v>1072</v>
      </c>
      <c r="B358" s="137">
        <v>2</v>
      </c>
      <c r="C358" s="137">
        <v>0</v>
      </c>
      <c r="D358" s="137">
        <v>0</v>
      </c>
      <c r="E358" s="137">
        <v>0</v>
      </c>
      <c r="F358" s="137">
        <v>0</v>
      </c>
      <c r="G358" s="137">
        <v>4</v>
      </c>
      <c r="H358" s="137">
        <v>2</v>
      </c>
      <c r="J358" s="153">
        <v>1072</v>
      </c>
      <c r="K358" s="137">
        <v>2</v>
      </c>
      <c r="L358" s="137">
        <v>0</v>
      </c>
      <c r="M358" s="137">
        <v>0</v>
      </c>
      <c r="N358" s="137">
        <v>0</v>
      </c>
      <c r="O358" s="137">
        <v>0</v>
      </c>
      <c r="P358" s="137">
        <v>4</v>
      </c>
      <c r="Q358" s="154">
        <f t="shared" ref="Q358:Q359" si="6">SUM(K358:O358)</f>
        <v>2</v>
      </c>
    </row>
    <row r="359" spans="1:17" x14ac:dyDescent="0.25">
      <c r="A359" s="137">
        <v>1076</v>
      </c>
      <c r="B359" s="137">
        <v>2</v>
      </c>
      <c r="C359" s="137">
        <v>0</v>
      </c>
      <c r="D359" s="137">
        <v>0</v>
      </c>
      <c r="E359" s="137">
        <v>0</v>
      </c>
      <c r="F359" s="137">
        <v>0</v>
      </c>
      <c r="G359" s="137">
        <v>4</v>
      </c>
      <c r="H359" s="137">
        <v>2</v>
      </c>
      <c r="J359" s="153">
        <v>1076</v>
      </c>
      <c r="K359" s="137">
        <v>2</v>
      </c>
      <c r="L359" s="137">
        <v>0</v>
      </c>
      <c r="M359" s="137">
        <v>0</v>
      </c>
      <c r="N359" s="137">
        <v>0</v>
      </c>
      <c r="O359" s="137">
        <v>0</v>
      </c>
      <c r="P359" s="137">
        <v>4</v>
      </c>
      <c r="Q359" s="154">
        <f t="shared" si="6"/>
        <v>2</v>
      </c>
    </row>
    <row r="360" spans="1:17" x14ac:dyDescent="0.25">
      <c r="A360" s="137">
        <v>1101</v>
      </c>
      <c r="B360" s="137">
        <v>0</v>
      </c>
      <c r="C360" s="137">
        <v>2</v>
      </c>
      <c r="D360" s="137">
        <v>0</v>
      </c>
      <c r="E360" s="137">
        <v>0</v>
      </c>
      <c r="F360" s="137">
        <v>0</v>
      </c>
      <c r="G360" s="137">
        <v>2</v>
      </c>
      <c r="H360" s="137">
        <v>2</v>
      </c>
      <c r="J360" s="153">
        <v>1101</v>
      </c>
      <c r="K360" s="137">
        <v>0</v>
      </c>
      <c r="L360" s="137">
        <v>2</v>
      </c>
      <c r="M360" s="137">
        <v>0</v>
      </c>
      <c r="N360" s="137">
        <v>0</v>
      </c>
      <c r="O360" s="137">
        <v>0</v>
      </c>
      <c r="P360" s="137">
        <v>2</v>
      </c>
      <c r="Q360" s="154">
        <v>2</v>
      </c>
    </row>
    <row r="361" spans="1:17" x14ac:dyDescent="0.25">
      <c r="A361" s="137">
        <v>1102</v>
      </c>
      <c r="B361" s="137">
        <v>0</v>
      </c>
      <c r="C361" s="137">
        <v>2</v>
      </c>
      <c r="D361" s="137">
        <v>0</v>
      </c>
      <c r="E361" s="137">
        <v>0</v>
      </c>
      <c r="F361" s="137">
        <v>0</v>
      </c>
      <c r="G361" s="137">
        <v>2</v>
      </c>
      <c r="H361" s="137">
        <v>2</v>
      </c>
      <c r="J361" s="153">
        <v>1102</v>
      </c>
      <c r="K361" s="137">
        <v>0</v>
      </c>
      <c r="L361" s="137">
        <v>2</v>
      </c>
      <c r="M361" s="137">
        <v>0</v>
      </c>
      <c r="N361" s="137">
        <v>0</v>
      </c>
      <c r="O361" s="137">
        <v>0</v>
      </c>
      <c r="P361" s="137">
        <v>2</v>
      </c>
      <c r="Q361" s="154">
        <v>2</v>
      </c>
    </row>
    <row r="362" spans="1:17" x14ac:dyDescent="0.25">
      <c r="A362" s="137">
        <v>1103</v>
      </c>
      <c r="B362" s="137">
        <v>0</v>
      </c>
      <c r="C362" s="137">
        <v>2</v>
      </c>
      <c r="D362" s="137">
        <v>0</v>
      </c>
      <c r="E362" s="137">
        <v>0</v>
      </c>
      <c r="F362" s="137">
        <v>0</v>
      </c>
      <c r="G362" s="137">
        <v>2</v>
      </c>
      <c r="H362" s="137">
        <v>2</v>
      </c>
      <c r="J362" s="153">
        <v>1103</v>
      </c>
      <c r="K362" s="137">
        <v>0</v>
      </c>
      <c r="L362" s="137">
        <v>2</v>
      </c>
      <c r="M362" s="137">
        <v>0</v>
      </c>
      <c r="N362" s="137">
        <v>0</v>
      </c>
      <c r="O362" s="137">
        <v>0</v>
      </c>
      <c r="P362" s="137">
        <v>2</v>
      </c>
      <c r="Q362" s="154">
        <v>2</v>
      </c>
    </row>
    <row r="363" spans="1:17" x14ac:dyDescent="0.25">
      <c r="A363" s="137">
        <v>1104</v>
      </c>
      <c r="B363" s="137">
        <v>0</v>
      </c>
      <c r="C363" s="137">
        <v>2</v>
      </c>
      <c r="D363" s="137">
        <v>0</v>
      </c>
      <c r="E363" s="137">
        <v>0</v>
      </c>
      <c r="F363" s="137">
        <v>0</v>
      </c>
      <c r="G363" s="137">
        <v>2</v>
      </c>
      <c r="H363" s="137">
        <v>2</v>
      </c>
      <c r="J363" s="153">
        <v>1104</v>
      </c>
      <c r="K363" s="137">
        <v>0</v>
      </c>
      <c r="L363" s="137">
        <v>2</v>
      </c>
      <c r="M363" s="137">
        <v>0</v>
      </c>
      <c r="N363" s="137">
        <v>0</v>
      </c>
      <c r="O363" s="137">
        <v>0</v>
      </c>
      <c r="P363" s="137">
        <v>2</v>
      </c>
      <c r="Q363" s="154">
        <v>2</v>
      </c>
    </row>
    <row r="364" spans="1:17" x14ac:dyDescent="0.25">
      <c r="A364" s="137">
        <v>1106</v>
      </c>
      <c r="B364" s="137">
        <v>0</v>
      </c>
      <c r="C364" s="137">
        <v>2</v>
      </c>
      <c r="D364" s="137">
        <v>0</v>
      </c>
      <c r="E364" s="137">
        <v>0</v>
      </c>
      <c r="F364" s="137">
        <v>0</v>
      </c>
      <c r="G364" s="137">
        <v>2</v>
      </c>
      <c r="H364" s="137">
        <v>2</v>
      </c>
      <c r="J364" s="153">
        <v>1106</v>
      </c>
      <c r="K364" s="137">
        <v>0</v>
      </c>
      <c r="L364" s="137">
        <v>2</v>
      </c>
      <c r="M364" s="137">
        <v>0</v>
      </c>
      <c r="N364" s="137">
        <v>0</v>
      </c>
      <c r="O364" s="137">
        <v>0</v>
      </c>
      <c r="P364" s="137">
        <v>2</v>
      </c>
      <c r="Q364" s="154">
        <v>2</v>
      </c>
    </row>
    <row r="365" spans="1:17" x14ac:dyDescent="0.25">
      <c r="A365" s="137">
        <v>1108</v>
      </c>
      <c r="B365" s="137">
        <v>0</v>
      </c>
      <c r="C365" s="137">
        <v>2</v>
      </c>
      <c r="D365" s="137">
        <v>0</v>
      </c>
      <c r="E365" s="137">
        <v>0</v>
      </c>
      <c r="F365" s="137">
        <v>0</v>
      </c>
      <c r="G365" s="137">
        <v>2</v>
      </c>
      <c r="H365" s="137">
        <v>2</v>
      </c>
      <c r="J365" s="153">
        <v>1108</v>
      </c>
      <c r="K365" s="137">
        <v>0</v>
      </c>
      <c r="L365" s="137">
        <v>2</v>
      </c>
      <c r="M365" s="137">
        <v>0</v>
      </c>
      <c r="N365" s="137">
        <v>0</v>
      </c>
      <c r="O365" s="137">
        <v>0</v>
      </c>
      <c r="P365" s="137">
        <v>2</v>
      </c>
      <c r="Q365" s="154">
        <v>2</v>
      </c>
    </row>
    <row r="366" spans="1:17" x14ac:dyDescent="0.25">
      <c r="A366" s="137">
        <v>1109</v>
      </c>
      <c r="B366" s="137">
        <v>0</v>
      </c>
      <c r="C366" s="137">
        <v>2</v>
      </c>
      <c r="D366" s="137">
        <v>0</v>
      </c>
      <c r="E366" s="137">
        <v>0</v>
      </c>
      <c r="F366" s="137">
        <v>0</v>
      </c>
      <c r="G366" s="137">
        <v>2</v>
      </c>
      <c r="H366" s="137">
        <v>2</v>
      </c>
      <c r="J366" s="153">
        <v>1109</v>
      </c>
      <c r="K366" s="137">
        <v>0</v>
      </c>
      <c r="L366" s="137">
        <v>2</v>
      </c>
      <c r="M366" s="137">
        <v>0</v>
      </c>
      <c r="N366" s="137">
        <v>0</v>
      </c>
      <c r="O366" s="137">
        <v>0</v>
      </c>
      <c r="P366" s="137">
        <v>2</v>
      </c>
      <c r="Q366" s="154">
        <v>2</v>
      </c>
    </row>
    <row r="367" spans="1:17" x14ac:dyDescent="0.25">
      <c r="A367" s="137">
        <v>1110</v>
      </c>
      <c r="B367" s="137">
        <v>2</v>
      </c>
      <c r="C367" s="137">
        <v>0</v>
      </c>
      <c r="D367" s="137">
        <v>0</v>
      </c>
      <c r="E367" s="137">
        <v>0</v>
      </c>
      <c r="F367" s="137">
        <v>0</v>
      </c>
      <c r="G367" s="137">
        <v>3</v>
      </c>
      <c r="H367" s="137">
        <v>2</v>
      </c>
      <c r="J367" s="153">
        <v>1110</v>
      </c>
      <c r="K367" s="137">
        <v>2</v>
      </c>
      <c r="L367" s="137">
        <v>0</v>
      </c>
      <c r="M367" s="137">
        <v>0</v>
      </c>
      <c r="N367" s="137">
        <v>0</v>
      </c>
      <c r="O367" s="137">
        <v>0</v>
      </c>
      <c r="P367" s="137">
        <v>3</v>
      </c>
      <c r="Q367" s="154">
        <f t="shared" ref="Q367:Q368" si="7">SUM(K367:O367)</f>
        <v>2</v>
      </c>
    </row>
    <row r="368" spans="1:17" x14ac:dyDescent="0.25">
      <c r="A368" s="137">
        <v>1111</v>
      </c>
      <c r="B368" s="137">
        <v>2</v>
      </c>
      <c r="C368" s="137">
        <v>1</v>
      </c>
      <c r="D368" s="137">
        <v>0</v>
      </c>
      <c r="E368" s="137">
        <v>0</v>
      </c>
      <c r="F368" s="137">
        <v>0</v>
      </c>
      <c r="G368" s="137">
        <v>3</v>
      </c>
      <c r="H368" s="137">
        <v>3</v>
      </c>
      <c r="J368" s="153">
        <v>1111</v>
      </c>
      <c r="K368" s="137">
        <v>2</v>
      </c>
      <c r="L368" s="137">
        <v>1</v>
      </c>
      <c r="M368" s="137">
        <v>0</v>
      </c>
      <c r="N368" s="137">
        <v>0</v>
      </c>
      <c r="O368" s="137">
        <v>0</v>
      </c>
      <c r="P368" s="137">
        <v>3</v>
      </c>
      <c r="Q368" s="154">
        <f t="shared" si="7"/>
        <v>3</v>
      </c>
    </row>
    <row r="369" spans="1:17" x14ac:dyDescent="0.25">
      <c r="A369" s="137">
        <v>1112</v>
      </c>
      <c r="B369" s="137">
        <v>2</v>
      </c>
      <c r="C369" s="137">
        <v>0</v>
      </c>
      <c r="D369" s="137">
        <v>0</v>
      </c>
      <c r="E369" s="137">
        <v>0</v>
      </c>
      <c r="F369" s="137">
        <v>0</v>
      </c>
      <c r="G369" s="137">
        <v>2</v>
      </c>
      <c r="H369" s="137">
        <v>2</v>
      </c>
      <c r="J369" s="153">
        <v>1112</v>
      </c>
      <c r="K369" s="137">
        <v>2</v>
      </c>
      <c r="L369" s="137">
        <v>0</v>
      </c>
      <c r="M369" s="137">
        <v>0</v>
      </c>
      <c r="N369" s="137">
        <v>0</v>
      </c>
      <c r="O369" s="137">
        <v>0</v>
      </c>
      <c r="P369" s="137">
        <v>2</v>
      </c>
      <c r="Q369" s="154">
        <v>2</v>
      </c>
    </row>
    <row r="370" spans="1:17" x14ac:dyDescent="0.25">
      <c r="A370" s="137">
        <v>1113</v>
      </c>
      <c r="B370" s="137">
        <v>2</v>
      </c>
      <c r="C370" s="137">
        <v>0</v>
      </c>
      <c r="D370" s="137">
        <v>0</v>
      </c>
      <c r="E370" s="137">
        <v>0</v>
      </c>
      <c r="F370" s="137">
        <v>0</v>
      </c>
      <c r="G370" s="137">
        <v>2</v>
      </c>
      <c r="H370" s="137">
        <v>2</v>
      </c>
      <c r="J370" s="153">
        <v>1113</v>
      </c>
      <c r="K370" s="137">
        <v>2</v>
      </c>
      <c r="L370" s="137">
        <v>0</v>
      </c>
      <c r="M370" s="137">
        <v>0</v>
      </c>
      <c r="N370" s="137">
        <v>0</v>
      </c>
      <c r="O370" s="137">
        <v>0</v>
      </c>
      <c r="P370" s="137">
        <v>2</v>
      </c>
      <c r="Q370" s="154">
        <v>2</v>
      </c>
    </row>
    <row r="371" spans="1:17" x14ac:dyDescent="0.25">
      <c r="A371" s="137">
        <v>1114</v>
      </c>
      <c r="B371" s="137">
        <v>2</v>
      </c>
      <c r="C371" s="137">
        <v>0</v>
      </c>
      <c r="D371" s="137">
        <v>0</v>
      </c>
      <c r="E371" s="137">
        <v>0</v>
      </c>
      <c r="F371" s="137">
        <v>0</v>
      </c>
      <c r="G371" s="137">
        <v>2</v>
      </c>
      <c r="H371" s="137">
        <v>2</v>
      </c>
      <c r="J371" s="153">
        <v>1114</v>
      </c>
      <c r="K371" s="137">
        <v>2</v>
      </c>
      <c r="L371" s="137">
        <v>0</v>
      </c>
      <c r="M371" s="137">
        <v>0</v>
      </c>
      <c r="N371" s="137">
        <v>0</v>
      </c>
      <c r="O371" s="137">
        <v>0</v>
      </c>
      <c r="P371" s="137">
        <v>2</v>
      </c>
      <c r="Q371" s="154">
        <v>2</v>
      </c>
    </row>
    <row r="372" spans="1:17" x14ac:dyDescent="0.25">
      <c r="A372" s="137">
        <v>1116</v>
      </c>
      <c r="B372" s="137">
        <v>2</v>
      </c>
      <c r="C372" s="137">
        <v>0</v>
      </c>
      <c r="D372" s="137">
        <v>0</v>
      </c>
      <c r="E372" s="137">
        <v>0</v>
      </c>
      <c r="F372" s="137">
        <v>0</v>
      </c>
      <c r="G372" s="137">
        <v>2</v>
      </c>
      <c r="H372" s="137">
        <v>2</v>
      </c>
      <c r="J372" s="153">
        <v>1116</v>
      </c>
      <c r="K372" s="137">
        <v>2</v>
      </c>
      <c r="L372" s="137">
        <v>0</v>
      </c>
      <c r="M372" s="137">
        <v>0</v>
      </c>
      <c r="N372" s="137">
        <v>0</v>
      </c>
      <c r="O372" s="137">
        <v>0</v>
      </c>
      <c r="P372" s="137">
        <v>2</v>
      </c>
      <c r="Q372" s="154">
        <v>2</v>
      </c>
    </row>
    <row r="373" spans="1:17" x14ac:dyDescent="0.25">
      <c r="A373" s="137">
        <v>1117</v>
      </c>
      <c r="B373" s="137">
        <v>1</v>
      </c>
      <c r="C373" s="137">
        <v>0</v>
      </c>
      <c r="D373" s="137">
        <v>0</v>
      </c>
      <c r="E373" s="137">
        <v>0</v>
      </c>
      <c r="F373" s="137">
        <v>0</v>
      </c>
      <c r="G373" s="137">
        <v>1</v>
      </c>
      <c r="H373" s="137">
        <v>1</v>
      </c>
      <c r="J373" s="153">
        <v>1117</v>
      </c>
      <c r="K373" s="137">
        <v>1</v>
      </c>
      <c r="L373" s="137">
        <v>0</v>
      </c>
      <c r="M373" s="137">
        <v>0</v>
      </c>
      <c r="N373" s="137">
        <v>0</v>
      </c>
      <c r="O373" s="137">
        <v>0</v>
      </c>
      <c r="P373" s="137">
        <v>1</v>
      </c>
      <c r="Q373" s="154">
        <v>1</v>
      </c>
    </row>
    <row r="374" spans="1:17" x14ac:dyDescent="0.25">
      <c r="A374" s="137">
        <v>1118</v>
      </c>
      <c r="B374" s="137">
        <v>1</v>
      </c>
      <c r="C374" s="137">
        <v>0</v>
      </c>
      <c r="D374" s="137">
        <v>0</v>
      </c>
      <c r="E374" s="137">
        <v>0</v>
      </c>
      <c r="F374" s="137">
        <v>0</v>
      </c>
      <c r="G374" s="137">
        <v>1</v>
      </c>
      <c r="H374" s="137">
        <v>1</v>
      </c>
      <c r="J374" s="153">
        <v>1118</v>
      </c>
      <c r="K374" s="137">
        <v>1</v>
      </c>
      <c r="L374" s="137">
        <v>0</v>
      </c>
      <c r="M374" s="137">
        <v>0</v>
      </c>
      <c r="N374" s="137">
        <v>0</v>
      </c>
      <c r="O374" s="137">
        <v>0</v>
      </c>
      <c r="P374" s="137">
        <v>1</v>
      </c>
      <c r="Q374" s="154">
        <v>1</v>
      </c>
    </row>
    <row r="375" spans="1:17" x14ac:dyDescent="0.25">
      <c r="A375" s="137">
        <v>1205</v>
      </c>
      <c r="B375" s="137">
        <v>0</v>
      </c>
      <c r="C375" s="137">
        <v>2</v>
      </c>
      <c r="D375" s="137">
        <v>0</v>
      </c>
      <c r="E375" s="137">
        <v>0</v>
      </c>
      <c r="F375" s="137">
        <v>0</v>
      </c>
      <c r="G375" s="137">
        <v>2</v>
      </c>
      <c r="H375" s="137">
        <v>2</v>
      </c>
      <c r="J375" s="153">
        <v>1205</v>
      </c>
      <c r="K375" s="137">
        <v>0</v>
      </c>
      <c r="L375" s="137">
        <v>2</v>
      </c>
      <c r="M375" s="137">
        <v>0</v>
      </c>
      <c r="N375" s="137">
        <v>0</v>
      </c>
      <c r="O375" s="137">
        <v>0</v>
      </c>
      <c r="P375" s="137">
        <v>2</v>
      </c>
      <c r="Q375" s="154">
        <v>2</v>
      </c>
    </row>
    <row r="376" spans="1:17" x14ac:dyDescent="0.25">
      <c r="A376" s="137">
        <v>1206</v>
      </c>
      <c r="B376" s="137">
        <v>0</v>
      </c>
      <c r="C376" s="137">
        <v>2</v>
      </c>
      <c r="D376" s="137">
        <v>0</v>
      </c>
      <c r="E376" s="137">
        <v>0</v>
      </c>
      <c r="F376" s="137">
        <v>0</v>
      </c>
      <c r="G376" s="137">
        <v>2</v>
      </c>
      <c r="H376" s="137">
        <v>2</v>
      </c>
      <c r="J376" s="153">
        <v>1206</v>
      </c>
      <c r="K376" s="137">
        <v>0</v>
      </c>
      <c r="L376" s="137">
        <v>2</v>
      </c>
      <c r="M376" s="137">
        <v>0</v>
      </c>
      <c r="N376" s="137">
        <v>0</v>
      </c>
      <c r="O376" s="137">
        <v>0</v>
      </c>
      <c r="P376" s="137">
        <v>2</v>
      </c>
      <c r="Q376" s="154">
        <v>2</v>
      </c>
    </row>
    <row r="377" spans="1:17" x14ac:dyDescent="0.25">
      <c r="A377" s="137">
        <v>1207</v>
      </c>
      <c r="B377" s="137">
        <v>0</v>
      </c>
      <c r="C377" s="137">
        <v>2</v>
      </c>
      <c r="D377" s="137">
        <v>0</v>
      </c>
      <c r="E377" s="137">
        <v>0</v>
      </c>
      <c r="F377" s="137">
        <v>0</v>
      </c>
      <c r="G377" s="137">
        <v>2</v>
      </c>
      <c r="H377" s="137">
        <v>2</v>
      </c>
      <c r="J377" s="153">
        <v>1207</v>
      </c>
      <c r="K377" s="137">
        <v>0</v>
      </c>
      <c r="L377" s="137">
        <v>2</v>
      </c>
      <c r="M377" s="137">
        <v>0</v>
      </c>
      <c r="N377" s="137">
        <v>0</v>
      </c>
      <c r="O377" s="137">
        <v>0</v>
      </c>
      <c r="P377" s="137">
        <v>2</v>
      </c>
      <c r="Q377" s="154">
        <v>2</v>
      </c>
    </row>
    <row r="378" spans="1:17" x14ac:dyDescent="0.25">
      <c r="A378" s="137">
        <v>1208</v>
      </c>
      <c r="B378" s="137">
        <v>0</v>
      </c>
      <c r="C378" s="137">
        <v>2</v>
      </c>
      <c r="D378" s="137">
        <v>0</v>
      </c>
      <c r="E378" s="137">
        <v>0</v>
      </c>
      <c r="F378" s="137">
        <v>0</v>
      </c>
      <c r="G378" s="137">
        <v>2</v>
      </c>
      <c r="H378" s="137">
        <v>2</v>
      </c>
      <c r="J378" s="153">
        <v>1208</v>
      </c>
      <c r="K378" s="137">
        <v>0</v>
      </c>
      <c r="L378" s="137">
        <v>2</v>
      </c>
      <c r="M378" s="137">
        <v>0</v>
      </c>
      <c r="N378" s="137">
        <v>0</v>
      </c>
      <c r="O378" s="137">
        <v>0</v>
      </c>
      <c r="P378" s="137">
        <v>2</v>
      </c>
      <c r="Q378" s="154">
        <v>2</v>
      </c>
    </row>
    <row r="379" spans="1:17" x14ac:dyDescent="0.25">
      <c r="A379" s="137">
        <v>1211</v>
      </c>
      <c r="B379" s="137">
        <v>0</v>
      </c>
      <c r="C379" s="137">
        <v>2</v>
      </c>
      <c r="D379" s="137">
        <v>0</v>
      </c>
      <c r="E379" s="137">
        <v>0</v>
      </c>
      <c r="F379" s="137">
        <v>0</v>
      </c>
      <c r="G379" s="137">
        <v>2</v>
      </c>
      <c r="H379" s="137">
        <v>2</v>
      </c>
      <c r="J379" s="153">
        <v>1211</v>
      </c>
      <c r="K379" s="137">
        <v>0</v>
      </c>
      <c r="L379" s="137">
        <v>2</v>
      </c>
      <c r="M379" s="137">
        <v>0</v>
      </c>
      <c r="N379" s="137">
        <v>0</v>
      </c>
      <c r="O379" s="137">
        <v>0</v>
      </c>
      <c r="P379" s="137">
        <v>2</v>
      </c>
      <c r="Q379" s="154">
        <v>2</v>
      </c>
    </row>
    <row r="380" spans="1:17" x14ac:dyDescent="0.25">
      <c r="A380" s="137">
        <v>1212</v>
      </c>
      <c r="B380" s="137">
        <v>0</v>
      </c>
      <c r="C380" s="137">
        <v>2</v>
      </c>
      <c r="D380" s="137">
        <v>0</v>
      </c>
      <c r="E380" s="137">
        <v>0</v>
      </c>
      <c r="F380" s="137">
        <v>0</v>
      </c>
      <c r="G380" s="137">
        <v>2</v>
      </c>
      <c r="H380" s="137">
        <v>2</v>
      </c>
      <c r="J380" s="153">
        <v>1212</v>
      </c>
      <c r="K380" s="137">
        <v>0</v>
      </c>
      <c r="L380" s="137">
        <v>2</v>
      </c>
      <c r="M380" s="137">
        <v>0</v>
      </c>
      <c r="N380" s="137">
        <v>0</v>
      </c>
      <c r="O380" s="137">
        <v>0</v>
      </c>
      <c r="P380" s="137">
        <v>2</v>
      </c>
      <c r="Q380" s="154">
        <v>2</v>
      </c>
    </row>
    <row r="381" spans="1:17" x14ac:dyDescent="0.25">
      <c r="A381" s="137">
        <v>1213</v>
      </c>
      <c r="B381" s="137">
        <v>0</v>
      </c>
      <c r="C381" s="137">
        <v>2</v>
      </c>
      <c r="D381" s="137">
        <v>0</v>
      </c>
      <c r="E381" s="137">
        <v>0</v>
      </c>
      <c r="F381" s="137">
        <v>0</v>
      </c>
      <c r="G381" s="137">
        <v>2</v>
      </c>
      <c r="H381" s="137">
        <v>2</v>
      </c>
      <c r="J381" s="153">
        <v>1213</v>
      </c>
      <c r="K381" s="137">
        <v>0</v>
      </c>
      <c r="L381" s="137">
        <v>2</v>
      </c>
      <c r="M381" s="137">
        <v>0</v>
      </c>
      <c r="N381" s="137">
        <v>0</v>
      </c>
      <c r="O381" s="137">
        <v>0</v>
      </c>
      <c r="P381" s="137">
        <v>2</v>
      </c>
      <c r="Q381" s="154">
        <v>2</v>
      </c>
    </row>
    <row r="382" spans="1:17" x14ac:dyDescent="0.25">
      <c r="A382" s="137">
        <v>1214</v>
      </c>
      <c r="B382" s="137">
        <v>0</v>
      </c>
      <c r="C382" s="137">
        <v>2</v>
      </c>
      <c r="D382" s="137">
        <v>0</v>
      </c>
      <c r="E382" s="137">
        <v>0</v>
      </c>
      <c r="F382" s="137">
        <v>0</v>
      </c>
      <c r="G382" s="137">
        <v>2</v>
      </c>
      <c r="H382" s="137">
        <v>2</v>
      </c>
      <c r="J382" s="153">
        <v>1214</v>
      </c>
      <c r="K382" s="137">
        <v>0</v>
      </c>
      <c r="L382" s="137">
        <v>2</v>
      </c>
      <c r="M382" s="137">
        <v>0</v>
      </c>
      <c r="N382" s="137">
        <v>0</v>
      </c>
      <c r="O382" s="137">
        <v>0</v>
      </c>
      <c r="P382" s="137">
        <v>2</v>
      </c>
      <c r="Q382" s="154">
        <v>2</v>
      </c>
    </row>
    <row r="383" spans="1:17" x14ac:dyDescent="0.25">
      <c r="A383" s="137">
        <v>1215</v>
      </c>
      <c r="B383" s="137">
        <v>0</v>
      </c>
      <c r="C383" s="137">
        <v>1</v>
      </c>
      <c r="D383" s="137">
        <v>0</v>
      </c>
      <c r="E383" s="137">
        <v>0</v>
      </c>
      <c r="F383" s="137">
        <v>0</v>
      </c>
      <c r="G383" s="137">
        <v>1</v>
      </c>
      <c r="H383" s="137">
        <v>1</v>
      </c>
      <c r="J383" s="153">
        <v>1215</v>
      </c>
      <c r="K383" s="137">
        <v>0</v>
      </c>
      <c r="L383" s="137">
        <v>1</v>
      </c>
      <c r="M383" s="137">
        <v>0</v>
      </c>
      <c r="N383" s="137">
        <v>0</v>
      </c>
      <c r="O383" s="137">
        <v>0</v>
      </c>
      <c r="P383" s="137">
        <v>1</v>
      </c>
      <c r="Q383" s="154">
        <v>1</v>
      </c>
    </row>
    <row r="384" spans="1:17" x14ac:dyDescent="0.25">
      <c r="A384" s="137">
        <v>1221</v>
      </c>
      <c r="B384" s="137">
        <v>0</v>
      </c>
      <c r="C384" s="137">
        <v>1</v>
      </c>
      <c r="D384" s="137">
        <v>0</v>
      </c>
      <c r="E384" s="137">
        <v>0</v>
      </c>
      <c r="F384" s="137">
        <v>0</v>
      </c>
      <c r="G384" s="137">
        <v>1</v>
      </c>
      <c r="H384" s="137">
        <v>1</v>
      </c>
      <c r="J384" s="153">
        <v>1221</v>
      </c>
      <c r="K384" s="137">
        <v>0</v>
      </c>
      <c r="L384" s="137">
        <v>1</v>
      </c>
      <c r="M384" s="137">
        <v>0</v>
      </c>
      <c r="N384" s="137">
        <v>0</v>
      </c>
      <c r="O384" s="137">
        <v>0</v>
      </c>
      <c r="P384" s="137">
        <v>1</v>
      </c>
      <c r="Q384" s="154">
        <v>1</v>
      </c>
    </row>
    <row r="385" spans="1:17" x14ac:dyDescent="0.25">
      <c r="A385" s="137">
        <v>1222</v>
      </c>
      <c r="B385" s="137">
        <v>0</v>
      </c>
      <c r="C385" s="137">
        <v>0</v>
      </c>
      <c r="D385" s="137">
        <v>0</v>
      </c>
      <c r="E385" s="137">
        <v>0</v>
      </c>
      <c r="F385" s="137">
        <v>1</v>
      </c>
      <c r="G385" s="137">
        <v>0</v>
      </c>
      <c r="H385" s="137">
        <v>0</v>
      </c>
      <c r="J385" s="153">
        <v>1222</v>
      </c>
      <c r="K385" s="137">
        <v>0</v>
      </c>
      <c r="L385" s="137">
        <v>0</v>
      </c>
      <c r="M385" s="137">
        <v>0</v>
      </c>
      <c r="N385" s="137">
        <v>0</v>
      </c>
      <c r="O385" s="137">
        <v>1</v>
      </c>
      <c r="P385" s="137">
        <v>0</v>
      </c>
      <c r="Q385" s="154">
        <v>0</v>
      </c>
    </row>
    <row r="386" spans="1:17" x14ac:dyDescent="0.25">
      <c r="A386" s="137">
        <v>1223</v>
      </c>
      <c r="B386" s="137">
        <v>0</v>
      </c>
      <c r="C386" s="137">
        <v>2</v>
      </c>
      <c r="D386" s="137">
        <v>0</v>
      </c>
      <c r="E386" s="137">
        <v>0</v>
      </c>
      <c r="F386" s="137">
        <v>0</v>
      </c>
      <c r="G386" s="137">
        <v>2</v>
      </c>
      <c r="H386" s="137">
        <v>2</v>
      </c>
      <c r="J386" s="153">
        <v>1223</v>
      </c>
      <c r="K386" s="137">
        <v>0</v>
      </c>
      <c r="L386" s="137">
        <v>2</v>
      </c>
      <c r="M386" s="137">
        <v>0</v>
      </c>
      <c r="N386" s="137">
        <v>0</v>
      </c>
      <c r="O386" s="137">
        <v>0</v>
      </c>
      <c r="P386" s="137">
        <v>2</v>
      </c>
      <c r="Q386" s="154">
        <v>2</v>
      </c>
    </row>
    <row r="387" spans="1:17" x14ac:dyDescent="0.25">
      <c r="A387" s="137">
        <v>1224</v>
      </c>
      <c r="B387" s="137">
        <v>0</v>
      </c>
      <c r="C387" s="137">
        <v>2</v>
      </c>
      <c r="D387" s="137">
        <v>0</v>
      </c>
      <c r="E387" s="137">
        <v>0</v>
      </c>
      <c r="F387" s="137">
        <v>0</v>
      </c>
      <c r="G387" s="137">
        <v>2</v>
      </c>
      <c r="H387" s="137">
        <v>2</v>
      </c>
      <c r="J387" s="153">
        <v>1224</v>
      </c>
      <c r="K387" s="137">
        <v>0</v>
      </c>
      <c r="L387" s="137">
        <v>2</v>
      </c>
      <c r="M387" s="137">
        <v>0</v>
      </c>
      <c r="N387" s="137">
        <v>0</v>
      </c>
      <c r="O387" s="137">
        <v>0</v>
      </c>
      <c r="P387" s="137">
        <v>2</v>
      </c>
      <c r="Q387" s="154">
        <v>2</v>
      </c>
    </row>
    <row r="388" spans="1:17" x14ac:dyDescent="0.25">
      <c r="A388" s="137">
        <v>1225</v>
      </c>
      <c r="B388" s="137">
        <v>0</v>
      </c>
      <c r="C388" s="137">
        <v>1</v>
      </c>
      <c r="D388" s="137">
        <v>0</v>
      </c>
      <c r="E388" s="137">
        <v>0</v>
      </c>
      <c r="F388" s="137">
        <v>0</v>
      </c>
      <c r="G388" s="137">
        <v>1</v>
      </c>
      <c r="H388" s="137">
        <v>1</v>
      </c>
      <c r="J388" s="153">
        <v>1225</v>
      </c>
      <c r="K388" s="137">
        <v>0</v>
      </c>
      <c r="L388" s="137">
        <v>1</v>
      </c>
      <c r="M388" s="137">
        <v>0</v>
      </c>
      <c r="N388" s="137">
        <v>0</v>
      </c>
      <c r="O388" s="137">
        <v>0</v>
      </c>
      <c r="P388" s="137">
        <v>1</v>
      </c>
      <c r="Q388" s="154">
        <v>1</v>
      </c>
    </row>
    <row r="389" spans="1:17" x14ac:dyDescent="0.25">
      <c r="A389" s="137">
        <v>1233</v>
      </c>
      <c r="B389" s="137">
        <v>0</v>
      </c>
      <c r="C389" s="137">
        <v>2</v>
      </c>
      <c r="D389" s="137">
        <v>0</v>
      </c>
      <c r="E389" s="137">
        <v>0</v>
      </c>
      <c r="F389" s="137">
        <v>0</v>
      </c>
      <c r="G389" s="137">
        <v>2</v>
      </c>
      <c r="H389" s="137">
        <v>2</v>
      </c>
      <c r="J389" s="153">
        <v>1233</v>
      </c>
      <c r="K389" s="137">
        <v>0</v>
      </c>
      <c r="L389" s="137">
        <v>2</v>
      </c>
      <c r="M389" s="137">
        <v>0</v>
      </c>
      <c r="N389" s="137">
        <v>0</v>
      </c>
      <c r="O389" s="137">
        <v>0</v>
      </c>
      <c r="P389" s="137">
        <v>2</v>
      </c>
      <c r="Q389" s="154">
        <v>2</v>
      </c>
    </row>
    <row r="390" spans="1:17" x14ac:dyDescent="0.25">
      <c r="A390" s="137">
        <v>1234</v>
      </c>
      <c r="B390" s="137">
        <v>0</v>
      </c>
      <c r="C390" s="137">
        <v>2</v>
      </c>
      <c r="D390" s="137">
        <v>0</v>
      </c>
      <c r="E390" s="137">
        <v>0</v>
      </c>
      <c r="F390" s="137">
        <v>0</v>
      </c>
      <c r="G390" s="137">
        <v>3</v>
      </c>
      <c r="H390" s="137">
        <v>2</v>
      </c>
      <c r="J390" s="153">
        <v>1234</v>
      </c>
      <c r="K390" s="137">
        <v>0</v>
      </c>
      <c r="L390" s="137">
        <v>2</v>
      </c>
      <c r="M390" s="137">
        <v>0</v>
      </c>
      <c r="N390" s="137">
        <v>0</v>
      </c>
      <c r="O390" s="137">
        <v>0</v>
      </c>
      <c r="P390" s="137">
        <v>3</v>
      </c>
      <c r="Q390" s="154">
        <f>SUM(K390:O390)</f>
        <v>2</v>
      </c>
    </row>
    <row r="391" spans="1:17" x14ac:dyDescent="0.25">
      <c r="A391" s="137">
        <v>1235</v>
      </c>
      <c r="B391" s="137">
        <v>0</v>
      </c>
      <c r="C391" s="137">
        <v>1</v>
      </c>
      <c r="D391" s="137">
        <v>0</v>
      </c>
      <c r="E391" s="137">
        <v>0</v>
      </c>
      <c r="F391" s="137">
        <v>0</v>
      </c>
      <c r="G391" s="137">
        <v>1</v>
      </c>
      <c r="H391" s="137">
        <v>1</v>
      </c>
      <c r="J391" s="153">
        <v>1235</v>
      </c>
      <c r="K391" s="137">
        <v>0</v>
      </c>
      <c r="L391" s="137">
        <v>1</v>
      </c>
      <c r="M391" s="137">
        <v>0</v>
      </c>
      <c r="N391" s="137">
        <v>0</v>
      </c>
      <c r="O391" s="137">
        <v>0</v>
      </c>
      <c r="P391" s="137">
        <v>1</v>
      </c>
      <c r="Q391" s="154">
        <v>1</v>
      </c>
    </row>
    <row r="392" spans="1:17" x14ac:dyDescent="0.25">
      <c r="A392" s="137">
        <v>1236</v>
      </c>
      <c r="B392" s="137">
        <v>0</v>
      </c>
      <c r="C392" s="137">
        <v>2</v>
      </c>
      <c r="D392" s="137">
        <v>0</v>
      </c>
      <c r="E392" s="137">
        <v>0</v>
      </c>
      <c r="F392" s="137">
        <v>0</v>
      </c>
      <c r="G392" s="137">
        <v>2</v>
      </c>
      <c r="H392" s="137">
        <v>2</v>
      </c>
      <c r="J392" s="153">
        <v>1236</v>
      </c>
      <c r="K392" s="137">
        <v>0</v>
      </c>
      <c r="L392" s="137">
        <v>2</v>
      </c>
      <c r="M392" s="137">
        <v>0</v>
      </c>
      <c r="N392" s="137">
        <v>0</v>
      </c>
      <c r="O392" s="137">
        <v>0</v>
      </c>
      <c r="P392" s="137">
        <v>2</v>
      </c>
      <c r="Q392" s="154">
        <v>2</v>
      </c>
    </row>
    <row r="393" spans="1:17" x14ac:dyDescent="0.25">
      <c r="A393" s="137">
        <v>1237</v>
      </c>
      <c r="B393" s="137">
        <v>0</v>
      </c>
      <c r="C393" s="137">
        <v>0</v>
      </c>
      <c r="D393" s="137">
        <v>0</v>
      </c>
      <c r="E393" s="137">
        <v>0</v>
      </c>
      <c r="F393" s="137">
        <v>1</v>
      </c>
      <c r="G393" s="137">
        <v>0</v>
      </c>
      <c r="H393" s="137">
        <v>0</v>
      </c>
      <c r="J393" s="153">
        <v>1237</v>
      </c>
      <c r="K393" s="137">
        <v>0</v>
      </c>
      <c r="L393" s="137">
        <v>0</v>
      </c>
      <c r="M393" s="137">
        <v>0</v>
      </c>
      <c r="N393" s="137">
        <v>0</v>
      </c>
      <c r="O393" s="137">
        <v>1</v>
      </c>
      <c r="P393" s="137">
        <v>0</v>
      </c>
      <c r="Q393" s="154">
        <v>0</v>
      </c>
    </row>
    <row r="394" spans="1:17" x14ac:dyDescent="0.25">
      <c r="A394" s="137">
        <v>1238</v>
      </c>
      <c r="B394" s="137">
        <v>0</v>
      </c>
      <c r="C394" s="137">
        <v>1</v>
      </c>
      <c r="D394" s="137">
        <v>0</v>
      </c>
      <c r="E394" s="137">
        <v>0</v>
      </c>
      <c r="F394" s="137">
        <v>0</v>
      </c>
      <c r="G394" s="137">
        <v>1</v>
      </c>
      <c r="H394" s="137">
        <v>1</v>
      </c>
      <c r="J394" s="153">
        <v>1238</v>
      </c>
      <c r="K394" s="137">
        <v>0</v>
      </c>
      <c r="L394" s="137">
        <v>1</v>
      </c>
      <c r="M394" s="137">
        <v>0</v>
      </c>
      <c r="N394" s="137">
        <v>0</v>
      </c>
      <c r="O394" s="137">
        <v>0</v>
      </c>
      <c r="P394" s="137">
        <v>1</v>
      </c>
      <c r="Q394" s="154">
        <v>1</v>
      </c>
    </row>
    <row r="395" spans="1:17" x14ac:dyDescent="0.25">
      <c r="A395" s="137">
        <v>1239</v>
      </c>
      <c r="B395" s="137">
        <v>0</v>
      </c>
      <c r="C395" s="137">
        <v>0</v>
      </c>
      <c r="D395" s="137">
        <v>0</v>
      </c>
      <c r="E395" s="137">
        <v>0</v>
      </c>
      <c r="F395" s="137">
        <v>1</v>
      </c>
      <c r="G395" s="137">
        <v>0</v>
      </c>
      <c r="H395" s="137">
        <v>0</v>
      </c>
      <c r="J395" s="153">
        <v>1239</v>
      </c>
      <c r="K395" s="137">
        <v>0</v>
      </c>
      <c r="L395" s="137">
        <v>0</v>
      </c>
      <c r="M395" s="137">
        <v>0</v>
      </c>
      <c r="N395" s="137">
        <v>0</v>
      </c>
      <c r="O395" s="137">
        <v>1</v>
      </c>
      <c r="P395" s="137">
        <v>0</v>
      </c>
      <c r="Q395" s="154">
        <v>0</v>
      </c>
    </row>
    <row r="396" spans="1:17" x14ac:dyDescent="0.25">
      <c r="A396" s="137">
        <v>1241</v>
      </c>
      <c r="B396" s="137">
        <v>0</v>
      </c>
      <c r="C396" s="137">
        <v>0</v>
      </c>
      <c r="D396" s="137">
        <v>0</v>
      </c>
      <c r="E396" s="137">
        <v>0</v>
      </c>
      <c r="F396" s="137">
        <v>1</v>
      </c>
      <c r="G396" s="137">
        <v>0</v>
      </c>
      <c r="H396" s="137">
        <v>0</v>
      </c>
      <c r="J396" s="153">
        <v>1241</v>
      </c>
      <c r="K396" s="137">
        <v>0</v>
      </c>
      <c r="L396" s="137">
        <v>0</v>
      </c>
      <c r="M396" s="137">
        <v>0</v>
      </c>
      <c r="N396" s="137">
        <v>0</v>
      </c>
      <c r="O396" s="137">
        <v>1</v>
      </c>
      <c r="P396" s="137">
        <v>0</v>
      </c>
      <c r="Q396" s="154">
        <v>0</v>
      </c>
    </row>
    <row r="397" spans="1:17" x14ac:dyDescent="0.25">
      <c r="A397" s="137">
        <v>1242</v>
      </c>
      <c r="B397" s="137">
        <v>0</v>
      </c>
      <c r="C397" s="137">
        <v>2</v>
      </c>
      <c r="D397" s="137">
        <v>0</v>
      </c>
      <c r="E397" s="137">
        <v>0</v>
      </c>
      <c r="F397" s="137">
        <v>0</v>
      </c>
      <c r="G397" s="137">
        <v>2</v>
      </c>
      <c r="H397" s="137">
        <v>2</v>
      </c>
      <c r="J397" s="153">
        <v>1242</v>
      </c>
      <c r="K397" s="137">
        <v>0</v>
      </c>
      <c r="L397" s="137">
        <v>2</v>
      </c>
      <c r="M397" s="137">
        <v>0</v>
      </c>
      <c r="N397" s="137">
        <v>0</v>
      </c>
      <c r="O397" s="137">
        <v>0</v>
      </c>
      <c r="P397" s="137">
        <v>2</v>
      </c>
      <c r="Q397" s="154">
        <v>2</v>
      </c>
    </row>
    <row r="398" spans="1:17" x14ac:dyDescent="0.25">
      <c r="A398" s="137">
        <v>1244</v>
      </c>
      <c r="B398" s="137">
        <v>2</v>
      </c>
      <c r="C398" s="137">
        <v>0</v>
      </c>
      <c r="D398" s="137">
        <v>0</v>
      </c>
      <c r="E398" s="137">
        <v>0</v>
      </c>
      <c r="F398" s="137">
        <v>0</v>
      </c>
      <c r="G398" s="137">
        <v>2</v>
      </c>
      <c r="H398" s="137">
        <v>2</v>
      </c>
      <c r="J398" s="153">
        <v>1244</v>
      </c>
      <c r="K398" s="137">
        <v>2</v>
      </c>
      <c r="L398" s="137">
        <v>0</v>
      </c>
      <c r="M398" s="137">
        <v>0</v>
      </c>
      <c r="N398" s="137">
        <v>0</v>
      </c>
      <c r="O398" s="137">
        <v>0</v>
      </c>
      <c r="P398" s="137">
        <v>2</v>
      </c>
      <c r="Q398" s="154">
        <v>2</v>
      </c>
    </row>
    <row r="399" spans="1:17" x14ac:dyDescent="0.25">
      <c r="A399" s="137">
        <v>1245</v>
      </c>
      <c r="B399" s="137">
        <v>2</v>
      </c>
      <c r="C399" s="137">
        <v>0</v>
      </c>
      <c r="D399" s="137">
        <v>0</v>
      </c>
      <c r="E399" s="137">
        <v>0</v>
      </c>
      <c r="F399" s="137">
        <v>0</v>
      </c>
      <c r="G399" s="137">
        <v>3</v>
      </c>
      <c r="H399" s="137">
        <v>2</v>
      </c>
      <c r="J399" s="153">
        <v>1245</v>
      </c>
      <c r="K399" s="137">
        <v>2</v>
      </c>
      <c r="L399" s="137">
        <v>0</v>
      </c>
      <c r="M399" s="137">
        <v>0</v>
      </c>
      <c r="N399" s="137">
        <v>0</v>
      </c>
      <c r="O399" s="137">
        <v>0</v>
      </c>
      <c r="P399" s="137">
        <v>3</v>
      </c>
      <c r="Q399" s="154">
        <f t="shared" ref="Q399:Q400" si="8">SUM(K399:O399)</f>
        <v>2</v>
      </c>
    </row>
    <row r="400" spans="1:17" x14ac:dyDescent="0.25">
      <c r="A400" s="137">
        <v>1246</v>
      </c>
      <c r="B400" s="137">
        <v>0</v>
      </c>
      <c r="C400" s="137">
        <v>2</v>
      </c>
      <c r="D400" s="137">
        <v>0</v>
      </c>
      <c r="E400" s="137">
        <v>0</v>
      </c>
      <c r="F400" s="137">
        <v>0</v>
      </c>
      <c r="G400" s="137">
        <v>3</v>
      </c>
      <c r="H400" s="137">
        <v>2</v>
      </c>
      <c r="J400" s="153">
        <v>1246</v>
      </c>
      <c r="K400" s="137">
        <v>0</v>
      </c>
      <c r="L400" s="137">
        <v>2</v>
      </c>
      <c r="M400" s="137">
        <v>0</v>
      </c>
      <c r="N400" s="137">
        <v>0</v>
      </c>
      <c r="O400" s="137">
        <v>0</v>
      </c>
      <c r="P400" s="137">
        <v>3</v>
      </c>
      <c r="Q400" s="154">
        <f t="shared" si="8"/>
        <v>2</v>
      </c>
    </row>
    <row r="401" spans="1:17" x14ac:dyDescent="0.25">
      <c r="A401" s="137">
        <v>1247</v>
      </c>
      <c r="B401" s="137">
        <v>2</v>
      </c>
      <c r="C401" s="137">
        <v>0</v>
      </c>
      <c r="D401" s="137">
        <v>0</v>
      </c>
      <c r="E401" s="137">
        <v>0</v>
      </c>
      <c r="F401" s="137">
        <v>0</v>
      </c>
      <c r="G401" s="137">
        <v>2</v>
      </c>
      <c r="H401" s="137">
        <v>2</v>
      </c>
      <c r="J401" s="153">
        <v>1247</v>
      </c>
      <c r="K401" s="137">
        <v>2</v>
      </c>
      <c r="L401" s="137">
        <v>0</v>
      </c>
      <c r="M401" s="137">
        <v>0</v>
      </c>
      <c r="N401" s="137">
        <v>0</v>
      </c>
      <c r="O401" s="137">
        <v>0</v>
      </c>
      <c r="P401" s="137">
        <v>2</v>
      </c>
      <c r="Q401" s="154">
        <v>2</v>
      </c>
    </row>
    <row r="402" spans="1:17" x14ac:dyDescent="0.25">
      <c r="A402" s="137">
        <v>1248</v>
      </c>
      <c r="B402" s="137">
        <v>2</v>
      </c>
      <c r="C402" s="137">
        <v>0</v>
      </c>
      <c r="D402" s="137">
        <v>0</v>
      </c>
      <c r="E402" s="137">
        <v>0</v>
      </c>
      <c r="F402" s="137">
        <v>0</v>
      </c>
      <c r="G402" s="137">
        <v>3</v>
      </c>
      <c r="H402" s="137">
        <v>2</v>
      </c>
      <c r="J402" s="153">
        <v>1248</v>
      </c>
      <c r="K402" s="137">
        <v>2</v>
      </c>
      <c r="L402" s="137">
        <v>0</v>
      </c>
      <c r="M402" s="137">
        <v>0</v>
      </c>
      <c r="N402" s="137">
        <v>0</v>
      </c>
      <c r="O402" s="137">
        <v>0</v>
      </c>
      <c r="P402" s="137">
        <v>3</v>
      </c>
      <c r="Q402" s="154">
        <f>SUM(K402:O402)</f>
        <v>2</v>
      </c>
    </row>
    <row r="403" spans="1:17" x14ac:dyDescent="0.25">
      <c r="A403" s="137">
        <v>1249</v>
      </c>
      <c r="B403" s="137">
        <v>2</v>
      </c>
      <c r="C403" s="137">
        <v>0</v>
      </c>
      <c r="D403" s="137">
        <v>0</v>
      </c>
      <c r="E403" s="137">
        <v>0</v>
      </c>
      <c r="F403" s="137">
        <v>0</v>
      </c>
      <c r="G403" s="137">
        <v>2</v>
      </c>
      <c r="H403" s="137">
        <v>2</v>
      </c>
      <c r="J403" s="153">
        <v>1249</v>
      </c>
      <c r="K403" s="137">
        <v>2</v>
      </c>
      <c r="L403" s="137">
        <v>0</v>
      </c>
      <c r="M403" s="137">
        <v>0</v>
      </c>
      <c r="N403" s="137">
        <v>0</v>
      </c>
      <c r="O403" s="137">
        <v>0</v>
      </c>
      <c r="P403" s="137">
        <v>2</v>
      </c>
      <c r="Q403" s="154">
        <v>2</v>
      </c>
    </row>
    <row r="404" spans="1:17" x14ac:dyDescent="0.25">
      <c r="A404" s="137">
        <v>1251</v>
      </c>
      <c r="B404" s="137">
        <v>1</v>
      </c>
      <c r="C404" s="137">
        <v>0</v>
      </c>
      <c r="D404" s="137">
        <v>0</v>
      </c>
      <c r="E404" s="137">
        <v>0</v>
      </c>
      <c r="F404" s="137">
        <v>0</v>
      </c>
      <c r="G404" s="137">
        <v>1</v>
      </c>
      <c r="H404" s="137">
        <v>1</v>
      </c>
      <c r="J404" s="153">
        <v>1251</v>
      </c>
      <c r="K404" s="137">
        <v>1</v>
      </c>
      <c r="L404" s="137">
        <v>0</v>
      </c>
      <c r="M404" s="137">
        <v>0</v>
      </c>
      <c r="N404" s="137">
        <v>0</v>
      </c>
      <c r="O404" s="137">
        <v>0</v>
      </c>
      <c r="P404" s="137">
        <v>1</v>
      </c>
      <c r="Q404" s="154">
        <v>1</v>
      </c>
    </row>
    <row r="405" spans="1:17" x14ac:dyDescent="0.25">
      <c r="A405" s="137">
        <v>1253</v>
      </c>
      <c r="B405" s="137">
        <v>0</v>
      </c>
      <c r="C405" s="137">
        <v>2</v>
      </c>
      <c r="D405" s="137">
        <v>0</v>
      </c>
      <c r="E405" s="137">
        <v>0</v>
      </c>
      <c r="F405" s="137">
        <v>0</v>
      </c>
      <c r="G405" s="137">
        <v>3</v>
      </c>
      <c r="H405" s="137">
        <v>2</v>
      </c>
      <c r="J405" s="153">
        <v>1253</v>
      </c>
      <c r="K405" s="137">
        <v>0</v>
      </c>
      <c r="L405" s="137">
        <v>2</v>
      </c>
      <c r="M405" s="137">
        <v>0</v>
      </c>
      <c r="N405" s="137">
        <v>0</v>
      </c>
      <c r="O405" s="137">
        <v>0</v>
      </c>
      <c r="P405" s="137">
        <v>3</v>
      </c>
      <c r="Q405" s="154">
        <f>SUM(K405:O405)</f>
        <v>2</v>
      </c>
    </row>
    <row r="406" spans="1:17" x14ac:dyDescent="0.25">
      <c r="A406" s="137">
        <v>1254</v>
      </c>
      <c r="B406" s="137">
        <v>0</v>
      </c>
      <c r="C406" s="137">
        <v>2</v>
      </c>
      <c r="D406" s="137">
        <v>0</v>
      </c>
      <c r="E406" s="137">
        <v>0</v>
      </c>
      <c r="F406" s="137">
        <v>0</v>
      </c>
      <c r="G406" s="137">
        <v>2</v>
      </c>
      <c r="H406" s="137">
        <v>2</v>
      </c>
      <c r="J406" s="153">
        <v>1254</v>
      </c>
      <c r="K406" s="137">
        <v>0</v>
      </c>
      <c r="L406" s="137">
        <v>2</v>
      </c>
      <c r="M406" s="137">
        <v>0</v>
      </c>
      <c r="N406" s="137">
        <v>0</v>
      </c>
      <c r="O406" s="137">
        <v>0</v>
      </c>
      <c r="P406" s="137">
        <v>2</v>
      </c>
      <c r="Q406" s="154">
        <v>2</v>
      </c>
    </row>
    <row r="407" spans="1:17" x14ac:dyDescent="0.25">
      <c r="A407" s="137">
        <v>1283</v>
      </c>
      <c r="B407" s="137">
        <v>0</v>
      </c>
      <c r="C407" s="137">
        <v>2</v>
      </c>
      <c r="D407" s="137">
        <v>0</v>
      </c>
      <c r="E407" s="137">
        <v>0</v>
      </c>
      <c r="F407" s="137">
        <v>0</v>
      </c>
      <c r="G407" s="137">
        <v>2</v>
      </c>
      <c r="H407" s="137">
        <v>2</v>
      </c>
      <c r="J407" s="153">
        <v>1283</v>
      </c>
      <c r="K407" s="137">
        <v>0</v>
      </c>
      <c r="L407" s="137">
        <v>2</v>
      </c>
      <c r="M407" s="137">
        <v>0</v>
      </c>
      <c r="N407" s="137">
        <v>0</v>
      </c>
      <c r="O407" s="137">
        <v>0</v>
      </c>
      <c r="P407" s="137">
        <v>2</v>
      </c>
      <c r="Q407" s="154">
        <v>2</v>
      </c>
    </row>
    <row r="408" spans="1:17" x14ac:dyDescent="0.25">
      <c r="A408" s="137">
        <v>1321</v>
      </c>
      <c r="B408" s="137">
        <v>2</v>
      </c>
      <c r="C408" s="137">
        <v>0</v>
      </c>
      <c r="D408" s="137">
        <v>0</v>
      </c>
      <c r="E408" s="137">
        <v>0</v>
      </c>
      <c r="F408" s="137">
        <v>0</v>
      </c>
      <c r="G408" s="137">
        <v>3</v>
      </c>
      <c r="H408" s="137">
        <v>2</v>
      </c>
      <c r="J408" s="153">
        <v>1321</v>
      </c>
      <c r="K408" s="137">
        <v>2</v>
      </c>
      <c r="L408" s="137">
        <v>0</v>
      </c>
      <c r="M408" s="137">
        <v>0</v>
      </c>
      <c r="N408" s="137">
        <v>0</v>
      </c>
      <c r="O408" s="137">
        <v>0</v>
      </c>
      <c r="P408" s="137">
        <v>3</v>
      </c>
      <c r="Q408" s="154">
        <f t="shared" ref="Q408:Q409" si="9">SUM(K408:O408)</f>
        <v>2</v>
      </c>
    </row>
    <row r="409" spans="1:17" x14ac:dyDescent="0.25">
      <c r="A409" s="137">
        <v>1322</v>
      </c>
      <c r="B409" s="137">
        <v>2</v>
      </c>
      <c r="C409" s="137">
        <v>0</v>
      </c>
      <c r="D409" s="137">
        <v>0</v>
      </c>
      <c r="E409" s="137">
        <v>0</v>
      </c>
      <c r="F409" s="137">
        <v>0</v>
      </c>
      <c r="G409" s="137">
        <v>3</v>
      </c>
      <c r="H409" s="137">
        <v>2</v>
      </c>
      <c r="J409" s="153">
        <v>1322</v>
      </c>
      <c r="K409" s="137">
        <v>2</v>
      </c>
      <c r="L409" s="137">
        <v>0</v>
      </c>
      <c r="M409" s="137">
        <v>0</v>
      </c>
      <c r="N409" s="137">
        <v>0</v>
      </c>
      <c r="O409" s="137">
        <v>0</v>
      </c>
      <c r="P409" s="137">
        <v>3</v>
      </c>
      <c r="Q409" s="154">
        <f t="shared" si="9"/>
        <v>2</v>
      </c>
    </row>
    <row r="410" spans="1:17" x14ac:dyDescent="0.25">
      <c r="A410" s="137">
        <v>1323</v>
      </c>
      <c r="B410" s="137">
        <v>1</v>
      </c>
      <c r="C410" s="137">
        <v>0</v>
      </c>
      <c r="D410" s="137">
        <v>0</v>
      </c>
      <c r="E410" s="137">
        <v>0</v>
      </c>
      <c r="F410" s="137">
        <v>0</v>
      </c>
      <c r="G410" s="137">
        <v>1</v>
      </c>
      <c r="H410" s="137">
        <v>1</v>
      </c>
      <c r="J410" s="153">
        <v>1323</v>
      </c>
      <c r="K410" s="137">
        <v>1</v>
      </c>
      <c r="L410" s="137">
        <v>0</v>
      </c>
      <c r="M410" s="137">
        <v>0</v>
      </c>
      <c r="N410" s="137">
        <v>0</v>
      </c>
      <c r="O410" s="137">
        <v>0</v>
      </c>
      <c r="P410" s="137">
        <v>1</v>
      </c>
      <c r="Q410" s="154">
        <v>1</v>
      </c>
    </row>
    <row r="411" spans="1:17" x14ac:dyDescent="0.25">
      <c r="A411" s="137">
        <v>1327</v>
      </c>
      <c r="B411" s="137">
        <v>2</v>
      </c>
      <c r="C411" s="137">
        <v>0</v>
      </c>
      <c r="D411" s="137">
        <v>0</v>
      </c>
      <c r="E411" s="137">
        <v>0</v>
      </c>
      <c r="F411" s="137">
        <v>0</v>
      </c>
      <c r="G411" s="137">
        <v>2</v>
      </c>
      <c r="H411" s="137">
        <v>2</v>
      </c>
      <c r="J411" s="153">
        <v>1327</v>
      </c>
      <c r="K411" s="137">
        <v>2</v>
      </c>
      <c r="L411" s="137">
        <v>0</v>
      </c>
      <c r="M411" s="137">
        <v>0</v>
      </c>
      <c r="N411" s="137">
        <v>0</v>
      </c>
      <c r="O411" s="137">
        <v>0</v>
      </c>
      <c r="P411" s="137">
        <v>2</v>
      </c>
      <c r="Q411" s="154">
        <v>2</v>
      </c>
    </row>
    <row r="412" spans="1:17" x14ac:dyDescent="0.25">
      <c r="A412" s="137">
        <v>1328</v>
      </c>
      <c r="B412" s="137">
        <v>0</v>
      </c>
      <c r="C412" s="137">
        <v>2</v>
      </c>
      <c r="D412" s="137">
        <v>0</v>
      </c>
      <c r="E412" s="137">
        <v>0</v>
      </c>
      <c r="F412" s="137">
        <v>0</v>
      </c>
      <c r="G412" s="137">
        <v>2</v>
      </c>
      <c r="H412" s="137">
        <v>2</v>
      </c>
      <c r="J412" s="153">
        <v>1328</v>
      </c>
      <c r="K412" s="137">
        <v>0</v>
      </c>
      <c r="L412" s="137">
        <v>2</v>
      </c>
      <c r="M412" s="137">
        <v>0</v>
      </c>
      <c r="N412" s="137">
        <v>0</v>
      </c>
      <c r="O412" s="137">
        <v>0</v>
      </c>
      <c r="P412" s="137">
        <v>2</v>
      </c>
      <c r="Q412" s="154">
        <v>2</v>
      </c>
    </row>
    <row r="413" spans="1:17" x14ac:dyDescent="0.25">
      <c r="A413" s="137">
        <v>1329</v>
      </c>
      <c r="B413" s="137">
        <v>2</v>
      </c>
      <c r="C413" s="137">
        <v>0</v>
      </c>
      <c r="D413" s="137">
        <v>0</v>
      </c>
      <c r="E413" s="137">
        <v>0</v>
      </c>
      <c r="F413" s="137">
        <v>0</v>
      </c>
      <c r="G413" s="137">
        <v>2</v>
      </c>
      <c r="H413" s="137">
        <v>2</v>
      </c>
      <c r="J413" s="153">
        <v>1329</v>
      </c>
      <c r="K413" s="137">
        <v>2</v>
      </c>
      <c r="L413" s="137">
        <v>0</v>
      </c>
      <c r="M413" s="137">
        <v>0</v>
      </c>
      <c r="N413" s="137">
        <v>0</v>
      </c>
      <c r="O413" s="137">
        <v>0</v>
      </c>
      <c r="P413" s="137">
        <v>2</v>
      </c>
      <c r="Q413" s="154">
        <v>2</v>
      </c>
    </row>
    <row r="414" spans="1:17" x14ac:dyDescent="0.25">
      <c r="A414" s="137">
        <v>1341</v>
      </c>
      <c r="B414" s="137">
        <v>2</v>
      </c>
      <c r="C414" s="137">
        <v>0</v>
      </c>
      <c r="D414" s="137">
        <v>0</v>
      </c>
      <c r="E414" s="137">
        <v>0</v>
      </c>
      <c r="F414" s="137">
        <v>0</v>
      </c>
      <c r="G414" s="137">
        <v>3</v>
      </c>
      <c r="H414" s="137">
        <v>2</v>
      </c>
      <c r="J414" s="153">
        <v>1341</v>
      </c>
      <c r="K414" s="137">
        <v>2</v>
      </c>
      <c r="L414" s="137">
        <v>0</v>
      </c>
      <c r="M414" s="137">
        <v>0</v>
      </c>
      <c r="N414" s="137">
        <v>0</v>
      </c>
      <c r="O414" s="137">
        <v>0</v>
      </c>
      <c r="P414" s="137">
        <v>3</v>
      </c>
      <c r="Q414" s="154">
        <f>SUM(K414:O414)</f>
        <v>2</v>
      </c>
    </row>
    <row r="415" spans="1:17" x14ac:dyDescent="0.25">
      <c r="A415" s="137">
        <v>1343</v>
      </c>
      <c r="B415" s="137">
        <v>2</v>
      </c>
      <c r="C415" s="137">
        <v>0</v>
      </c>
      <c r="D415" s="137">
        <v>0</v>
      </c>
      <c r="E415" s="137">
        <v>0</v>
      </c>
      <c r="F415" s="137">
        <v>0</v>
      </c>
      <c r="G415" s="137">
        <v>2</v>
      </c>
      <c r="H415" s="137">
        <v>2</v>
      </c>
      <c r="J415" s="153">
        <v>1343</v>
      </c>
      <c r="K415" s="137">
        <v>2</v>
      </c>
      <c r="L415" s="137">
        <v>0</v>
      </c>
      <c r="M415" s="137">
        <v>0</v>
      </c>
      <c r="N415" s="137">
        <v>0</v>
      </c>
      <c r="O415" s="137">
        <v>0</v>
      </c>
      <c r="P415" s="137">
        <v>2</v>
      </c>
      <c r="Q415" s="154">
        <v>2</v>
      </c>
    </row>
    <row r="416" spans="1:17" x14ac:dyDescent="0.25">
      <c r="A416" s="137">
        <v>1344</v>
      </c>
      <c r="B416" s="137">
        <v>0</v>
      </c>
      <c r="C416" s="137">
        <v>2</v>
      </c>
      <c r="D416" s="137">
        <v>0</v>
      </c>
      <c r="E416" s="137">
        <v>0</v>
      </c>
      <c r="F416" s="137">
        <v>0</v>
      </c>
      <c r="G416" s="137">
        <v>3</v>
      </c>
      <c r="H416" s="137">
        <v>2</v>
      </c>
      <c r="J416" s="153">
        <v>1344</v>
      </c>
      <c r="K416" s="137">
        <v>0</v>
      </c>
      <c r="L416" s="137">
        <v>2</v>
      </c>
      <c r="M416" s="137">
        <v>0</v>
      </c>
      <c r="N416" s="137">
        <v>0</v>
      </c>
      <c r="O416" s="137">
        <v>0</v>
      </c>
      <c r="P416" s="137">
        <v>3</v>
      </c>
      <c r="Q416" s="154">
        <f t="shared" ref="Q416:Q417" si="10">SUM(K416:O416)</f>
        <v>2</v>
      </c>
    </row>
    <row r="417" spans="1:17" x14ac:dyDescent="0.25">
      <c r="A417" s="137">
        <v>1349</v>
      </c>
      <c r="B417" s="137">
        <v>0</v>
      </c>
      <c r="C417" s="137">
        <v>2</v>
      </c>
      <c r="D417" s="137">
        <v>0</v>
      </c>
      <c r="E417" s="137">
        <v>0</v>
      </c>
      <c r="F417" s="137">
        <v>0</v>
      </c>
      <c r="G417" s="137">
        <v>3</v>
      </c>
      <c r="H417" s="137">
        <v>2</v>
      </c>
      <c r="J417" s="153">
        <v>1349</v>
      </c>
      <c r="K417" s="137">
        <v>0</v>
      </c>
      <c r="L417" s="137">
        <v>2</v>
      </c>
      <c r="M417" s="137">
        <v>0</v>
      </c>
      <c r="N417" s="137">
        <v>0</v>
      </c>
      <c r="O417" s="137">
        <v>0</v>
      </c>
      <c r="P417" s="137">
        <v>3</v>
      </c>
      <c r="Q417" s="154">
        <f t="shared" si="10"/>
        <v>2</v>
      </c>
    </row>
    <row r="418" spans="1:17" x14ac:dyDescent="0.25">
      <c r="A418" s="137">
        <v>1351</v>
      </c>
      <c r="B418" s="137">
        <v>0</v>
      </c>
      <c r="C418" s="137">
        <v>2</v>
      </c>
      <c r="D418" s="137">
        <v>0</v>
      </c>
      <c r="E418" s="137">
        <v>0</v>
      </c>
      <c r="F418" s="137">
        <v>0</v>
      </c>
      <c r="G418" s="137">
        <v>2</v>
      </c>
      <c r="H418" s="137">
        <v>2</v>
      </c>
      <c r="J418" s="153">
        <v>1351</v>
      </c>
      <c r="K418" s="137">
        <v>0</v>
      </c>
      <c r="L418" s="137">
        <v>2</v>
      </c>
      <c r="M418" s="137">
        <v>0</v>
      </c>
      <c r="N418" s="137">
        <v>0</v>
      </c>
      <c r="O418" s="137">
        <v>0</v>
      </c>
      <c r="P418" s="137">
        <v>2</v>
      </c>
      <c r="Q418" s="154">
        <v>2</v>
      </c>
    </row>
    <row r="419" spans="1:17" x14ac:dyDescent="0.25">
      <c r="A419" s="137">
        <v>1352</v>
      </c>
      <c r="B419" s="137">
        <v>0</v>
      </c>
      <c r="C419" s="137">
        <v>2</v>
      </c>
      <c r="D419" s="137">
        <v>0</v>
      </c>
      <c r="E419" s="137">
        <v>0</v>
      </c>
      <c r="F419" s="137">
        <v>0</v>
      </c>
      <c r="G419" s="137">
        <v>2</v>
      </c>
      <c r="H419" s="137">
        <v>2</v>
      </c>
      <c r="J419" s="153">
        <v>1352</v>
      </c>
      <c r="K419" s="137">
        <v>0</v>
      </c>
      <c r="L419" s="137">
        <v>2</v>
      </c>
      <c r="M419" s="137">
        <v>0</v>
      </c>
      <c r="N419" s="137">
        <v>0</v>
      </c>
      <c r="O419" s="137">
        <v>0</v>
      </c>
      <c r="P419" s="137">
        <v>2</v>
      </c>
      <c r="Q419" s="154">
        <v>2</v>
      </c>
    </row>
    <row r="420" spans="1:17" x14ac:dyDescent="0.25">
      <c r="A420" s="137">
        <v>1353</v>
      </c>
      <c r="B420" s="137">
        <v>2</v>
      </c>
      <c r="C420" s="137">
        <v>0</v>
      </c>
      <c r="D420" s="137">
        <v>0</v>
      </c>
      <c r="E420" s="137">
        <v>0</v>
      </c>
      <c r="F420" s="137">
        <v>0</v>
      </c>
      <c r="G420" s="137">
        <v>3</v>
      </c>
      <c r="H420" s="137">
        <v>2</v>
      </c>
      <c r="J420" s="153">
        <v>1353</v>
      </c>
      <c r="K420" s="137">
        <v>2</v>
      </c>
      <c r="L420" s="137">
        <v>0</v>
      </c>
      <c r="M420" s="137">
        <v>0</v>
      </c>
      <c r="N420" s="137">
        <v>0</v>
      </c>
      <c r="O420" s="137">
        <v>0</v>
      </c>
      <c r="P420" s="137">
        <v>3</v>
      </c>
      <c r="Q420" s="154">
        <f>SUM(K420:O420)</f>
        <v>2</v>
      </c>
    </row>
    <row r="421" spans="1:17" x14ac:dyDescent="0.25">
      <c r="A421" s="137">
        <v>1354</v>
      </c>
      <c r="B421" s="137">
        <v>0</v>
      </c>
      <c r="C421" s="137">
        <v>2</v>
      </c>
      <c r="D421" s="137">
        <v>0</v>
      </c>
      <c r="E421" s="137">
        <v>0</v>
      </c>
      <c r="F421" s="137">
        <v>0</v>
      </c>
      <c r="G421" s="137">
        <v>2</v>
      </c>
      <c r="H421" s="137">
        <v>2</v>
      </c>
      <c r="J421" s="153">
        <v>1354</v>
      </c>
      <c r="K421" s="137">
        <v>0</v>
      </c>
      <c r="L421" s="137">
        <v>2</v>
      </c>
      <c r="M421" s="137">
        <v>0</v>
      </c>
      <c r="N421" s="137">
        <v>0</v>
      </c>
      <c r="O421" s="137">
        <v>0</v>
      </c>
      <c r="P421" s="137">
        <v>2</v>
      </c>
      <c r="Q421" s="154">
        <v>2</v>
      </c>
    </row>
    <row r="422" spans="1:17" x14ac:dyDescent="0.25">
      <c r="A422" s="137">
        <v>1355</v>
      </c>
      <c r="B422" s="137">
        <v>2</v>
      </c>
      <c r="C422" s="137">
        <v>0</v>
      </c>
      <c r="D422" s="137">
        <v>0</v>
      </c>
      <c r="E422" s="137">
        <v>0</v>
      </c>
      <c r="F422" s="137">
        <v>0</v>
      </c>
      <c r="G422" s="137">
        <v>3</v>
      </c>
      <c r="H422" s="137">
        <v>2</v>
      </c>
      <c r="J422" s="153">
        <v>1355</v>
      </c>
      <c r="K422" s="137">
        <v>2</v>
      </c>
      <c r="L422" s="137">
        <v>0</v>
      </c>
      <c r="M422" s="137">
        <v>0</v>
      </c>
      <c r="N422" s="137">
        <v>0</v>
      </c>
      <c r="O422" s="137">
        <v>0</v>
      </c>
      <c r="P422" s="137">
        <v>3</v>
      </c>
      <c r="Q422" s="154">
        <f t="shared" ref="Q422:Q423" si="11">SUM(K422:O422)</f>
        <v>2</v>
      </c>
    </row>
    <row r="423" spans="1:17" x14ac:dyDescent="0.25">
      <c r="A423" s="137">
        <v>1356</v>
      </c>
      <c r="B423" s="137">
        <v>0</v>
      </c>
      <c r="C423" s="137">
        <v>2</v>
      </c>
      <c r="D423" s="137">
        <v>0</v>
      </c>
      <c r="E423" s="137">
        <v>0</v>
      </c>
      <c r="F423" s="137">
        <v>0</v>
      </c>
      <c r="G423" s="137">
        <v>3</v>
      </c>
      <c r="H423" s="137">
        <v>2</v>
      </c>
      <c r="J423" s="153">
        <v>1356</v>
      </c>
      <c r="K423" s="137">
        <v>0</v>
      </c>
      <c r="L423" s="137">
        <v>2</v>
      </c>
      <c r="M423" s="137">
        <v>0</v>
      </c>
      <c r="N423" s="137">
        <v>0</v>
      </c>
      <c r="O423" s="137">
        <v>0</v>
      </c>
      <c r="P423" s="137">
        <v>3</v>
      </c>
      <c r="Q423" s="154">
        <f t="shared" si="11"/>
        <v>2</v>
      </c>
    </row>
    <row r="424" spans="1:17" x14ac:dyDescent="0.25">
      <c r="A424" s="137">
        <v>1358</v>
      </c>
      <c r="B424" s="137">
        <v>0</v>
      </c>
      <c r="C424" s="137">
        <v>2</v>
      </c>
      <c r="D424" s="137">
        <v>0</v>
      </c>
      <c r="E424" s="137">
        <v>0</v>
      </c>
      <c r="F424" s="137">
        <v>0</v>
      </c>
      <c r="G424" s="137">
        <v>2</v>
      </c>
      <c r="H424" s="137">
        <v>2</v>
      </c>
      <c r="J424" s="153">
        <v>1358</v>
      </c>
      <c r="K424" s="137">
        <v>0</v>
      </c>
      <c r="L424" s="137">
        <v>2</v>
      </c>
      <c r="M424" s="137">
        <v>0</v>
      </c>
      <c r="N424" s="137">
        <v>0</v>
      </c>
      <c r="O424" s="137">
        <v>0</v>
      </c>
      <c r="P424" s="137">
        <v>2</v>
      </c>
      <c r="Q424" s="154">
        <v>2</v>
      </c>
    </row>
    <row r="425" spans="1:17" x14ac:dyDescent="0.25">
      <c r="A425" s="137">
        <v>1361</v>
      </c>
      <c r="B425" s="137">
        <v>0</v>
      </c>
      <c r="C425" s="137">
        <v>2</v>
      </c>
      <c r="D425" s="137">
        <v>0</v>
      </c>
      <c r="E425" s="137">
        <v>0</v>
      </c>
      <c r="F425" s="137">
        <v>0</v>
      </c>
      <c r="G425" s="137">
        <v>3</v>
      </c>
      <c r="H425" s="137">
        <v>2</v>
      </c>
      <c r="J425" s="153">
        <v>1361</v>
      </c>
      <c r="K425" s="137">
        <v>0</v>
      </c>
      <c r="L425" s="137">
        <v>2</v>
      </c>
      <c r="M425" s="137">
        <v>0</v>
      </c>
      <c r="N425" s="137">
        <v>0</v>
      </c>
      <c r="O425" s="137">
        <v>0</v>
      </c>
      <c r="P425" s="137">
        <v>3</v>
      </c>
      <c r="Q425" s="154">
        <f t="shared" ref="Q425:Q427" si="12">SUM(K425:O425)</f>
        <v>2</v>
      </c>
    </row>
    <row r="426" spans="1:17" x14ac:dyDescent="0.25">
      <c r="A426" s="137">
        <v>1388</v>
      </c>
      <c r="B426" s="137">
        <v>0</v>
      </c>
      <c r="C426" s="137">
        <v>0</v>
      </c>
      <c r="D426" s="137">
        <v>2</v>
      </c>
      <c r="E426" s="137">
        <v>0</v>
      </c>
      <c r="F426" s="137">
        <v>0</v>
      </c>
      <c r="G426" s="137">
        <v>3</v>
      </c>
      <c r="H426" s="137">
        <v>2</v>
      </c>
      <c r="J426" s="153">
        <v>1388</v>
      </c>
      <c r="K426" s="137">
        <v>0</v>
      </c>
      <c r="L426" s="137">
        <v>0</v>
      </c>
      <c r="M426" s="137">
        <v>2</v>
      </c>
      <c r="N426" s="137">
        <v>0</v>
      </c>
      <c r="O426" s="137">
        <v>0</v>
      </c>
      <c r="P426" s="137">
        <v>3</v>
      </c>
      <c r="Q426" s="154">
        <f t="shared" si="12"/>
        <v>2</v>
      </c>
    </row>
    <row r="427" spans="1:17" x14ac:dyDescent="0.25">
      <c r="A427" s="137">
        <v>1390</v>
      </c>
      <c r="B427" s="137">
        <v>2</v>
      </c>
      <c r="C427" s="137">
        <v>0</v>
      </c>
      <c r="D427" s="137">
        <v>0</v>
      </c>
      <c r="E427" s="137">
        <v>0</v>
      </c>
      <c r="F427" s="137">
        <v>0</v>
      </c>
      <c r="G427" s="137">
        <v>3</v>
      </c>
      <c r="H427" s="137">
        <v>2</v>
      </c>
      <c r="J427" s="153">
        <v>1390</v>
      </c>
      <c r="K427" s="137">
        <v>2</v>
      </c>
      <c r="L427" s="137">
        <v>0</v>
      </c>
      <c r="M427" s="137">
        <v>0</v>
      </c>
      <c r="N427" s="137">
        <v>0</v>
      </c>
      <c r="O427" s="137">
        <v>0</v>
      </c>
      <c r="P427" s="137">
        <v>3</v>
      </c>
      <c r="Q427" s="154">
        <f t="shared" si="12"/>
        <v>2</v>
      </c>
    </row>
    <row r="428" spans="1:17" x14ac:dyDescent="0.25">
      <c r="A428" s="137">
        <v>1391</v>
      </c>
      <c r="B428" s="137">
        <v>0</v>
      </c>
      <c r="C428" s="137">
        <v>2</v>
      </c>
      <c r="D428" s="137">
        <v>0</v>
      </c>
      <c r="E428" s="137">
        <v>0</v>
      </c>
      <c r="F428" s="137">
        <v>0</v>
      </c>
      <c r="G428" s="137">
        <v>2</v>
      </c>
      <c r="H428" s="137">
        <v>2</v>
      </c>
      <c r="J428" s="153">
        <v>1391</v>
      </c>
      <c r="K428" s="137">
        <v>0</v>
      </c>
      <c r="L428" s="137">
        <v>2</v>
      </c>
      <c r="M428" s="137">
        <v>0</v>
      </c>
      <c r="N428" s="137">
        <v>0</v>
      </c>
      <c r="O428" s="137">
        <v>0</v>
      </c>
      <c r="P428" s="137">
        <v>2</v>
      </c>
      <c r="Q428" s="154">
        <v>2</v>
      </c>
    </row>
    <row r="429" spans="1:17" x14ac:dyDescent="0.25">
      <c r="A429" s="137">
        <v>1392</v>
      </c>
      <c r="B429" s="137">
        <v>2</v>
      </c>
      <c r="C429" s="137">
        <v>0</v>
      </c>
      <c r="D429" s="137">
        <v>0</v>
      </c>
      <c r="E429" s="137">
        <v>0</v>
      </c>
      <c r="F429" s="137">
        <v>0</v>
      </c>
      <c r="G429" s="137">
        <v>2</v>
      </c>
      <c r="H429" s="137">
        <v>2</v>
      </c>
      <c r="J429" s="153">
        <v>1392</v>
      </c>
      <c r="K429" s="137">
        <v>2</v>
      </c>
      <c r="L429" s="137">
        <v>0</v>
      </c>
      <c r="M429" s="137">
        <v>0</v>
      </c>
      <c r="N429" s="137">
        <v>0</v>
      </c>
      <c r="O429" s="137">
        <v>0</v>
      </c>
      <c r="P429" s="137">
        <v>2</v>
      </c>
      <c r="Q429" s="154">
        <v>2</v>
      </c>
    </row>
    <row r="430" spans="1:17" x14ac:dyDescent="0.25">
      <c r="A430" s="137">
        <v>1393</v>
      </c>
      <c r="B430" s="137">
        <v>1</v>
      </c>
      <c r="C430" s="137">
        <v>0</v>
      </c>
      <c r="D430" s="137">
        <v>0</v>
      </c>
      <c r="E430" s="137">
        <v>0</v>
      </c>
      <c r="F430" s="137">
        <v>0</v>
      </c>
      <c r="G430" s="137">
        <v>1</v>
      </c>
      <c r="H430" s="137">
        <v>1</v>
      </c>
      <c r="J430" s="153">
        <v>1393</v>
      </c>
      <c r="K430" s="137">
        <v>1</v>
      </c>
      <c r="L430" s="137">
        <v>0</v>
      </c>
      <c r="M430" s="137">
        <v>0</v>
      </c>
      <c r="N430" s="137">
        <v>0</v>
      </c>
      <c r="O430" s="137">
        <v>0</v>
      </c>
      <c r="P430" s="137">
        <v>1</v>
      </c>
      <c r="Q430" s="154">
        <v>1</v>
      </c>
    </row>
    <row r="431" spans="1:17" x14ac:dyDescent="0.25">
      <c r="A431" s="137">
        <v>1395</v>
      </c>
      <c r="B431" s="137">
        <v>0</v>
      </c>
      <c r="C431" s="137">
        <v>1</v>
      </c>
      <c r="D431" s="137">
        <v>0</v>
      </c>
      <c r="E431" s="137">
        <v>0</v>
      </c>
      <c r="F431" s="137">
        <v>0</v>
      </c>
      <c r="G431" s="137">
        <v>1</v>
      </c>
      <c r="H431" s="137">
        <v>1</v>
      </c>
      <c r="J431" s="153">
        <v>1395</v>
      </c>
      <c r="K431" s="137">
        <v>0</v>
      </c>
      <c r="L431" s="137">
        <v>1</v>
      </c>
      <c r="M431" s="137">
        <v>0</v>
      </c>
      <c r="N431" s="137">
        <v>0</v>
      </c>
      <c r="O431" s="137">
        <v>0</v>
      </c>
      <c r="P431" s="137">
        <v>1</v>
      </c>
      <c r="Q431" s="154">
        <v>1</v>
      </c>
    </row>
    <row r="432" spans="1:17" x14ac:dyDescent="0.25">
      <c r="A432" s="137">
        <v>1396</v>
      </c>
      <c r="B432" s="137">
        <v>2</v>
      </c>
      <c r="C432" s="137">
        <v>0</v>
      </c>
      <c r="D432" s="137">
        <v>0</v>
      </c>
      <c r="E432" s="137">
        <v>0</v>
      </c>
      <c r="F432" s="137">
        <v>0</v>
      </c>
      <c r="G432" s="137">
        <v>2</v>
      </c>
      <c r="H432" s="137">
        <v>2</v>
      </c>
      <c r="J432" s="153">
        <v>1396</v>
      </c>
      <c r="K432" s="137">
        <v>2</v>
      </c>
      <c r="L432" s="137">
        <v>0</v>
      </c>
      <c r="M432" s="137">
        <v>0</v>
      </c>
      <c r="N432" s="137">
        <v>0</v>
      </c>
      <c r="O432" s="137">
        <v>0</v>
      </c>
      <c r="P432" s="137">
        <v>2</v>
      </c>
      <c r="Q432" s="154">
        <v>2</v>
      </c>
    </row>
    <row r="433" spans="1:17" x14ac:dyDescent="0.25">
      <c r="A433" s="137">
        <v>1453</v>
      </c>
      <c r="B433" s="137">
        <v>0</v>
      </c>
      <c r="C433" s="137">
        <v>2</v>
      </c>
      <c r="D433" s="137">
        <v>0</v>
      </c>
      <c r="E433" s="137">
        <v>0</v>
      </c>
      <c r="F433" s="137">
        <v>0</v>
      </c>
      <c r="G433" s="137">
        <v>3</v>
      </c>
      <c r="H433" s="137">
        <v>2</v>
      </c>
      <c r="J433" s="153">
        <v>1453</v>
      </c>
      <c r="K433" s="137">
        <v>0</v>
      </c>
      <c r="L433" s="137">
        <v>2</v>
      </c>
      <c r="M433" s="137">
        <v>0</v>
      </c>
      <c r="N433" s="137">
        <v>0</v>
      </c>
      <c r="O433" s="137">
        <v>0</v>
      </c>
      <c r="P433" s="137">
        <v>3</v>
      </c>
      <c r="Q433" s="154">
        <f t="shared" ref="Q433:Q435" si="13">SUM(K433:O433)</f>
        <v>2</v>
      </c>
    </row>
    <row r="434" spans="1:17" x14ac:dyDescent="0.25">
      <c r="A434" s="137">
        <v>1456</v>
      </c>
      <c r="B434" s="137">
        <v>2</v>
      </c>
      <c r="C434" s="137">
        <v>0</v>
      </c>
      <c r="D434" s="137">
        <v>0</v>
      </c>
      <c r="E434" s="137">
        <v>0</v>
      </c>
      <c r="F434" s="137">
        <v>0</v>
      </c>
      <c r="G434" s="137">
        <v>4</v>
      </c>
      <c r="H434" s="137">
        <v>2</v>
      </c>
      <c r="J434" s="153">
        <v>1456</v>
      </c>
      <c r="K434" s="137">
        <v>2</v>
      </c>
      <c r="L434" s="137">
        <v>0</v>
      </c>
      <c r="M434" s="137">
        <v>0</v>
      </c>
      <c r="N434" s="137">
        <v>0</v>
      </c>
      <c r="O434" s="137">
        <v>0</v>
      </c>
      <c r="P434" s="137">
        <v>4</v>
      </c>
      <c r="Q434" s="154">
        <f t="shared" si="13"/>
        <v>2</v>
      </c>
    </row>
    <row r="435" spans="1:17" x14ac:dyDescent="0.25">
      <c r="A435" s="137">
        <v>1458</v>
      </c>
      <c r="B435" s="137">
        <v>0</v>
      </c>
      <c r="C435" s="137">
        <v>2</v>
      </c>
      <c r="D435" s="137">
        <v>0</v>
      </c>
      <c r="E435" s="137">
        <v>0</v>
      </c>
      <c r="F435" s="137">
        <v>0</v>
      </c>
      <c r="G435" s="137">
        <v>3</v>
      </c>
      <c r="H435" s="137">
        <v>2</v>
      </c>
      <c r="J435" s="153">
        <v>1458</v>
      </c>
      <c r="K435" s="137">
        <v>0</v>
      </c>
      <c r="L435" s="137">
        <v>2</v>
      </c>
      <c r="M435" s="137">
        <v>0</v>
      </c>
      <c r="N435" s="137">
        <v>0</v>
      </c>
      <c r="O435" s="137">
        <v>0</v>
      </c>
      <c r="P435" s="137">
        <v>3</v>
      </c>
      <c r="Q435" s="154">
        <f t="shared" si="13"/>
        <v>2</v>
      </c>
    </row>
    <row r="436" spans="1:17" x14ac:dyDescent="0.25">
      <c r="A436" s="137">
        <v>1461</v>
      </c>
      <c r="B436" s="137">
        <v>0</v>
      </c>
      <c r="C436" s="137">
        <v>2</v>
      </c>
      <c r="D436" s="137">
        <v>0</v>
      </c>
      <c r="E436" s="137">
        <v>0</v>
      </c>
      <c r="F436" s="137">
        <v>0</v>
      </c>
      <c r="G436" s="137">
        <v>2</v>
      </c>
      <c r="H436" s="137">
        <v>2</v>
      </c>
      <c r="J436" s="153">
        <v>1461</v>
      </c>
      <c r="K436" s="137">
        <v>0</v>
      </c>
      <c r="L436" s="137">
        <v>2</v>
      </c>
      <c r="M436" s="137">
        <v>0</v>
      </c>
      <c r="N436" s="137">
        <v>0</v>
      </c>
      <c r="O436" s="137">
        <v>0</v>
      </c>
      <c r="P436" s="137">
        <v>2</v>
      </c>
      <c r="Q436" s="154">
        <v>2</v>
      </c>
    </row>
    <row r="437" spans="1:17" x14ac:dyDescent="0.25">
      <c r="A437" s="137">
        <v>1462</v>
      </c>
      <c r="B437" s="137">
        <v>0</v>
      </c>
      <c r="C437" s="137">
        <v>2</v>
      </c>
      <c r="D437" s="137">
        <v>0</v>
      </c>
      <c r="E437" s="137">
        <v>0</v>
      </c>
      <c r="F437" s="137">
        <v>0</v>
      </c>
      <c r="G437" s="137">
        <v>2</v>
      </c>
      <c r="H437" s="137">
        <v>2</v>
      </c>
      <c r="J437" s="153">
        <v>1462</v>
      </c>
      <c r="K437" s="137">
        <v>0</v>
      </c>
      <c r="L437" s="137">
        <v>2</v>
      </c>
      <c r="M437" s="137">
        <v>0</v>
      </c>
      <c r="N437" s="137">
        <v>0</v>
      </c>
      <c r="O437" s="137">
        <v>0</v>
      </c>
      <c r="P437" s="137">
        <v>2</v>
      </c>
      <c r="Q437" s="154">
        <v>2</v>
      </c>
    </row>
    <row r="438" spans="1:17" x14ac:dyDescent="0.25">
      <c r="A438" s="137">
        <v>1463</v>
      </c>
      <c r="B438" s="137">
        <v>0</v>
      </c>
      <c r="C438" s="137">
        <v>2</v>
      </c>
      <c r="D438" s="137">
        <v>0</v>
      </c>
      <c r="E438" s="137">
        <v>0</v>
      </c>
      <c r="F438" s="137">
        <v>0</v>
      </c>
      <c r="G438" s="137">
        <v>2</v>
      </c>
      <c r="H438" s="137">
        <v>2</v>
      </c>
      <c r="J438" s="153">
        <v>1463</v>
      </c>
      <c r="K438" s="137">
        <v>0</v>
      </c>
      <c r="L438" s="137">
        <v>2</v>
      </c>
      <c r="M438" s="137">
        <v>0</v>
      </c>
      <c r="N438" s="137">
        <v>0</v>
      </c>
      <c r="O438" s="137">
        <v>0</v>
      </c>
      <c r="P438" s="137">
        <v>2</v>
      </c>
      <c r="Q438" s="154">
        <v>2</v>
      </c>
    </row>
    <row r="439" spans="1:17" x14ac:dyDescent="0.25">
      <c r="A439" s="137">
        <v>1464</v>
      </c>
      <c r="B439" s="137">
        <v>0</v>
      </c>
      <c r="C439" s="137">
        <v>2</v>
      </c>
      <c r="D439" s="137">
        <v>0</v>
      </c>
      <c r="E439" s="137">
        <v>0</v>
      </c>
      <c r="F439" s="137">
        <v>0</v>
      </c>
      <c r="G439" s="137">
        <v>2</v>
      </c>
      <c r="H439" s="137">
        <v>2</v>
      </c>
      <c r="J439" s="153">
        <v>1464</v>
      </c>
      <c r="K439" s="137">
        <v>0</v>
      </c>
      <c r="L439" s="137">
        <v>2</v>
      </c>
      <c r="M439" s="137">
        <v>0</v>
      </c>
      <c r="N439" s="137">
        <v>0</v>
      </c>
      <c r="O439" s="137">
        <v>0</v>
      </c>
      <c r="P439" s="137">
        <v>2</v>
      </c>
      <c r="Q439" s="154">
        <v>2</v>
      </c>
    </row>
    <row r="440" spans="1:17" x14ac:dyDescent="0.25">
      <c r="A440" s="137">
        <v>1465</v>
      </c>
      <c r="B440" s="137">
        <v>0</v>
      </c>
      <c r="C440" s="137">
        <v>2</v>
      </c>
      <c r="D440" s="137">
        <v>0</v>
      </c>
      <c r="E440" s="137">
        <v>0</v>
      </c>
      <c r="F440" s="137">
        <v>0</v>
      </c>
      <c r="G440" s="137">
        <v>2</v>
      </c>
      <c r="H440" s="137">
        <v>2</v>
      </c>
      <c r="J440" s="153">
        <v>1465</v>
      </c>
      <c r="K440" s="137">
        <v>0</v>
      </c>
      <c r="L440" s="137">
        <v>2</v>
      </c>
      <c r="M440" s="137">
        <v>0</v>
      </c>
      <c r="N440" s="137">
        <v>0</v>
      </c>
      <c r="O440" s="137">
        <v>0</v>
      </c>
      <c r="P440" s="137">
        <v>2</v>
      </c>
      <c r="Q440" s="154">
        <v>2</v>
      </c>
    </row>
    <row r="441" spans="1:17" x14ac:dyDescent="0.25">
      <c r="A441" s="137">
        <v>1466</v>
      </c>
      <c r="B441" s="137">
        <v>0</v>
      </c>
      <c r="C441" s="137">
        <v>0</v>
      </c>
      <c r="D441" s="137">
        <v>2</v>
      </c>
      <c r="E441" s="137">
        <v>0</v>
      </c>
      <c r="F441" s="137">
        <v>0</v>
      </c>
      <c r="G441" s="137">
        <v>3</v>
      </c>
      <c r="H441" s="137">
        <v>2</v>
      </c>
      <c r="J441" s="153">
        <v>1466</v>
      </c>
      <c r="K441" s="137">
        <v>0</v>
      </c>
      <c r="L441" s="137">
        <v>0</v>
      </c>
      <c r="M441" s="137">
        <v>2</v>
      </c>
      <c r="N441" s="137">
        <v>0</v>
      </c>
      <c r="O441" s="137">
        <v>0</v>
      </c>
      <c r="P441" s="137">
        <v>3</v>
      </c>
      <c r="Q441" s="154">
        <f>SUM(K441:O441)</f>
        <v>2</v>
      </c>
    </row>
    <row r="442" spans="1:17" x14ac:dyDescent="0.25">
      <c r="A442" s="137">
        <v>1467</v>
      </c>
      <c r="B442" s="137">
        <v>0</v>
      </c>
      <c r="C442" s="137">
        <v>2</v>
      </c>
      <c r="D442" s="137">
        <v>0</v>
      </c>
      <c r="E442" s="137">
        <v>0</v>
      </c>
      <c r="F442" s="137">
        <v>0</v>
      </c>
      <c r="G442" s="137">
        <v>2</v>
      </c>
      <c r="H442" s="137">
        <v>2</v>
      </c>
      <c r="J442" s="153">
        <v>1467</v>
      </c>
      <c r="K442" s="137">
        <v>0</v>
      </c>
      <c r="L442" s="137">
        <v>2</v>
      </c>
      <c r="M442" s="137">
        <v>0</v>
      </c>
      <c r="N442" s="137">
        <v>0</v>
      </c>
      <c r="O442" s="137">
        <v>0</v>
      </c>
      <c r="P442" s="137">
        <v>2</v>
      </c>
      <c r="Q442" s="154">
        <v>2</v>
      </c>
    </row>
    <row r="443" spans="1:17" x14ac:dyDescent="0.25">
      <c r="A443" s="137">
        <v>1468</v>
      </c>
      <c r="B443" s="137">
        <v>0</v>
      </c>
      <c r="C443" s="137">
        <v>2</v>
      </c>
      <c r="D443" s="137">
        <v>0</v>
      </c>
      <c r="E443" s="137">
        <v>0</v>
      </c>
      <c r="F443" s="137">
        <v>0</v>
      </c>
      <c r="G443" s="137">
        <v>2</v>
      </c>
      <c r="H443" s="137">
        <v>2</v>
      </c>
      <c r="J443" s="153">
        <v>1468</v>
      </c>
      <c r="K443" s="137">
        <v>0</v>
      </c>
      <c r="L443" s="137">
        <v>2</v>
      </c>
      <c r="M443" s="137">
        <v>0</v>
      </c>
      <c r="N443" s="137">
        <v>0</v>
      </c>
      <c r="O443" s="137">
        <v>0</v>
      </c>
      <c r="P443" s="137">
        <v>2</v>
      </c>
      <c r="Q443" s="154">
        <v>2</v>
      </c>
    </row>
    <row r="444" spans="1:17" x14ac:dyDescent="0.25">
      <c r="A444" s="137">
        <v>1469</v>
      </c>
      <c r="B444" s="137">
        <v>2</v>
      </c>
      <c r="C444" s="137">
        <v>0</v>
      </c>
      <c r="D444" s="137">
        <v>0</v>
      </c>
      <c r="E444" s="137">
        <v>0</v>
      </c>
      <c r="F444" s="137">
        <v>0</v>
      </c>
      <c r="G444" s="137">
        <v>2</v>
      </c>
      <c r="H444" s="137">
        <v>2</v>
      </c>
      <c r="J444" s="153">
        <v>1469</v>
      </c>
      <c r="K444" s="137">
        <v>2</v>
      </c>
      <c r="L444" s="137">
        <v>0</v>
      </c>
      <c r="M444" s="137">
        <v>0</v>
      </c>
      <c r="N444" s="137">
        <v>0</v>
      </c>
      <c r="O444" s="137">
        <v>0</v>
      </c>
      <c r="P444" s="137">
        <v>2</v>
      </c>
      <c r="Q444" s="154">
        <v>2</v>
      </c>
    </row>
    <row r="445" spans="1:17" x14ac:dyDescent="0.25">
      <c r="A445" s="137">
        <v>1472</v>
      </c>
      <c r="B445" s="137">
        <v>0</v>
      </c>
      <c r="C445" s="137">
        <v>2</v>
      </c>
      <c r="D445" s="137">
        <v>0</v>
      </c>
      <c r="E445" s="137">
        <v>0</v>
      </c>
      <c r="F445" s="137">
        <v>0</v>
      </c>
      <c r="G445" s="137">
        <v>2</v>
      </c>
      <c r="H445" s="137">
        <v>2</v>
      </c>
      <c r="J445" s="153">
        <v>1472</v>
      </c>
      <c r="K445" s="137">
        <v>0</v>
      </c>
      <c r="L445" s="137">
        <v>2</v>
      </c>
      <c r="M445" s="137">
        <v>0</v>
      </c>
      <c r="N445" s="137">
        <v>0</v>
      </c>
      <c r="O445" s="137">
        <v>0</v>
      </c>
      <c r="P445" s="137">
        <v>2</v>
      </c>
      <c r="Q445" s="154">
        <v>2</v>
      </c>
    </row>
    <row r="446" spans="1:17" x14ac:dyDescent="0.25">
      <c r="A446" s="137">
        <v>1473</v>
      </c>
      <c r="B446" s="137">
        <v>2</v>
      </c>
      <c r="C446" s="137">
        <v>0</v>
      </c>
      <c r="D446" s="137">
        <v>0</v>
      </c>
      <c r="E446" s="137">
        <v>0</v>
      </c>
      <c r="F446" s="137">
        <v>0</v>
      </c>
      <c r="G446" s="137">
        <v>3</v>
      </c>
      <c r="H446" s="137">
        <v>2</v>
      </c>
      <c r="J446" s="153">
        <v>1473</v>
      </c>
      <c r="K446" s="137">
        <v>2</v>
      </c>
      <c r="L446" s="137">
        <v>0</v>
      </c>
      <c r="M446" s="137">
        <v>0</v>
      </c>
      <c r="N446" s="137">
        <v>0</v>
      </c>
      <c r="O446" s="137">
        <v>0</v>
      </c>
      <c r="P446" s="137">
        <v>3</v>
      </c>
      <c r="Q446" s="154">
        <f>SUM(K446:O446)</f>
        <v>2</v>
      </c>
    </row>
    <row r="447" spans="1:17" x14ac:dyDescent="0.25">
      <c r="A447" s="137">
        <v>1474</v>
      </c>
      <c r="B447" s="137">
        <v>2</v>
      </c>
      <c r="C447" s="137">
        <v>0</v>
      </c>
      <c r="D447" s="137">
        <v>0</v>
      </c>
      <c r="E447" s="137">
        <v>0</v>
      </c>
      <c r="F447" s="137">
        <v>0</v>
      </c>
      <c r="G447" s="137">
        <v>2</v>
      </c>
      <c r="H447" s="137">
        <v>2</v>
      </c>
      <c r="J447" s="153">
        <v>1474</v>
      </c>
      <c r="K447" s="137">
        <v>2</v>
      </c>
      <c r="L447" s="137">
        <v>0</v>
      </c>
      <c r="M447" s="137">
        <v>0</v>
      </c>
      <c r="N447" s="137">
        <v>0</v>
      </c>
      <c r="O447" s="137">
        <v>0</v>
      </c>
      <c r="P447" s="137">
        <v>2</v>
      </c>
      <c r="Q447" s="154">
        <v>2</v>
      </c>
    </row>
    <row r="448" spans="1:17" x14ac:dyDescent="0.25">
      <c r="A448" s="137">
        <v>1479</v>
      </c>
      <c r="B448" s="137">
        <v>2</v>
      </c>
      <c r="C448" s="137">
        <v>0</v>
      </c>
      <c r="D448" s="137">
        <v>0</v>
      </c>
      <c r="E448" s="137">
        <v>0</v>
      </c>
      <c r="F448" s="137">
        <v>0</v>
      </c>
      <c r="G448" s="137">
        <v>3</v>
      </c>
      <c r="H448" s="137">
        <v>2</v>
      </c>
      <c r="J448" s="153">
        <v>1479</v>
      </c>
      <c r="K448" s="137">
        <v>2</v>
      </c>
      <c r="L448" s="137">
        <v>0</v>
      </c>
      <c r="M448" s="137">
        <v>0</v>
      </c>
      <c r="N448" s="137">
        <v>0</v>
      </c>
      <c r="O448" s="137">
        <v>0</v>
      </c>
      <c r="P448" s="137">
        <v>3</v>
      </c>
      <c r="Q448" s="154">
        <f t="shared" ref="Q448:Q449" si="14">SUM(K448:O448)</f>
        <v>2</v>
      </c>
    </row>
    <row r="449" spans="1:17" x14ac:dyDescent="0.25">
      <c r="A449" s="137">
        <v>1480</v>
      </c>
      <c r="B449" s="137">
        <v>0</v>
      </c>
      <c r="C449" s="137">
        <v>2</v>
      </c>
      <c r="D449" s="137">
        <v>0</v>
      </c>
      <c r="E449" s="137">
        <v>0</v>
      </c>
      <c r="F449" s="137">
        <v>0</v>
      </c>
      <c r="G449" s="137">
        <v>3</v>
      </c>
      <c r="H449" s="137">
        <v>2</v>
      </c>
      <c r="J449" s="153">
        <v>1480</v>
      </c>
      <c r="K449" s="137">
        <v>0</v>
      </c>
      <c r="L449" s="137">
        <v>2</v>
      </c>
      <c r="M449" s="137">
        <v>0</v>
      </c>
      <c r="N449" s="137">
        <v>0</v>
      </c>
      <c r="O449" s="137">
        <v>0</v>
      </c>
      <c r="P449" s="137">
        <v>3</v>
      </c>
      <c r="Q449" s="154">
        <f t="shared" si="14"/>
        <v>2</v>
      </c>
    </row>
    <row r="450" spans="1:17" x14ac:dyDescent="0.25">
      <c r="A450" s="137">
        <v>1481</v>
      </c>
      <c r="B450" s="137">
        <v>2</v>
      </c>
      <c r="C450" s="137">
        <v>0</v>
      </c>
      <c r="D450" s="137">
        <v>0</v>
      </c>
      <c r="E450" s="137">
        <v>0</v>
      </c>
      <c r="F450" s="137">
        <v>0</v>
      </c>
      <c r="G450" s="137">
        <v>2</v>
      </c>
      <c r="H450" s="137">
        <v>2</v>
      </c>
      <c r="J450" s="153">
        <v>1481</v>
      </c>
      <c r="K450" s="137">
        <v>2</v>
      </c>
      <c r="L450" s="137">
        <v>0</v>
      </c>
      <c r="M450" s="137">
        <v>0</v>
      </c>
      <c r="N450" s="137">
        <v>0</v>
      </c>
      <c r="O450" s="137">
        <v>0</v>
      </c>
      <c r="P450" s="137">
        <v>2</v>
      </c>
      <c r="Q450" s="154">
        <v>2</v>
      </c>
    </row>
    <row r="451" spans="1:17" x14ac:dyDescent="0.25">
      <c r="A451" s="137">
        <v>1484</v>
      </c>
      <c r="B451" s="137">
        <v>0</v>
      </c>
      <c r="C451" s="137">
        <v>2</v>
      </c>
      <c r="D451" s="137">
        <v>0</v>
      </c>
      <c r="E451" s="137">
        <v>0</v>
      </c>
      <c r="F451" s="137">
        <v>0</v>
      </c>
      <c r="G451" s="137">
        <v>3</v>
      </c>
      <c r="H451" s="137">
        <v>2</v>
      </c>
      <c r="J451" s="153">
        <v>1484</v>
      </c>
      <c r="K451" s="137">
        <v>0</v>
      </c>
      <c r="L451" s="137">
        <v>2</v>
      </c>
      <c r="M451" s="137">
        <v>0</v>
      </c>
      <c r="N451" s="137">
        <v>0</v>
      </c>
      <c r="O451" s="137">
        <v>0</v>
      </c>
      <c r="P451" s="137">
        <v>3</v>
      </c>
      <c r="Q451" s="154">
        <f t="shared" ref="Q451:Q452" si="15">SUM(K451:O451)</f>
        <v>2</v>
      </c>
    </row>
    <row r="452" spans="1:17" x14ac:dyDescent="0.25">
      <c r="A452" s="137">
        <v>1494</v>
      </c>
      <c r="B452" s="137">
        <v>0</v>
      </c>
      <c r="C452" s="137">
        <v>2</v>
      </c>
      <c r="D452" s="137">
        <v>0</v>
      </c>
      <c r="E452" s="137">
        <v>0</v>
      </c>
      <c r="F452" s="137">
        <v>0</v>
      </c>
      <c r="G452" s="137">
        <v>3</v>
      </c>
      <c r="H452" s="137">
        <v>2</v>
      </c>
      <c r="J452" s="153">
        <v>1494</v>
      </c>
      <c r="K452" s="137">
        <v>0</v>
      </c>
      <c r="L452" s="137">
        <v>2</v>
      </c>
      <c r="M452" s="137">
        <v>0</v>
      </c>
      <c r="N452" s="137">
        <v>0</v>
      </c>
      <c r="O452" s="137">
        <v>0</v>
      </c>
      <c r="P452" s="137">
        <v>3</v>
      </c>
      <c r="Q452" s="154">
        <f t="shared" si="15"/>
        <v>2</v>
      </c>
    </row>
    <row r="453" spans="1:17" x14ac:dyDescent="0.25">
      <c r="A453" s="137">
        <v>1509</v>
      </c>
      <c r="B453" s="137">
        <v>0</v>
      </c>
      <c r="C453" s="137">
        <v>2</v>
      </c>
      <c r="D453" s="137">
        <v>0</v>
      </c>
      <c r="E453" s="137">
        <v>0</v>
      </c>
      <c r="F453" s="137">
        <v>0</v>
      </c>
      <c r="G453" s="137">
        <v>2</v>
      </c>
      <c r="H453" s="137">
        <v>2</v>
      </c>
      <c r="J453" s="153">
        <v>1509</v>
      </c>
      <c r="K453" s="137">
        <v>0</v>
      </c>
      <c r="L453" s="137">
        <v>2</v>
      </c>
      <c r="M453" s="137">
        <v>0</v>
      </c>
      <c r="N453" s="137">
        <v>0</v>
      </c>
      <c r="O453" s="137">
        <v>0</v>
      </c>
      <c r="P453" s="137">
        <v>2</v>
      </c>
      <c r="Q453" s="154">
        <v>2</v>
      </c>
    </row>
    <row r="454" spans="1:17" x14ac:dyDescent="0.25">
      <c r="A454" s="137">
        <v>1510</v>
      </c>
      <c r="B454" s="137">
        <v>1</v>
      </c>
      <c r="C454" s="137">
        <v>0</v>
      </c>
      <c r="D454" s="137">
        <v>0</v>
      </c>
      <c r="E454" s="137">
        <v>0</v>
      </c>
      <c r="F454" s="137">
        <v>0</v>
      </c>
      <c r="G454" s="137">
        <v>1</v>
      </c>
      <c r="H454" s="137">
        <v>1</v>
      </c>
      <c r="J454" s="153">
        <v>1510</v>
      </c>
      <c r="K454" s="137">
        <v>1</v>
      </c>
      <c r="L454" s="137">
        <v>0</v>
      </c>
      <c r="M454" s="137">
        <v>0</v>
      </c>
      <c r="N454" s="137">
        <v>0</v>
      </c>
      <c r="O454" s="137">
        <v>0</v>
      </c>
      <c r="P454" s="137">
        <v>1</v>
      </c>
      <c r="Q454" s="154">
        <v>1</v>
      </c>
    </row>
    <row r="455" spans="1:17" x14ac:dyDescent="0.25">
      <c r="A455" s="137">
        <v>1511</v>
      </c>
      <c r="B455" s="137">
        <v>0</v>
      </c>
      <c r="C455" s="137">
        <v>1</v>
      </c>
      <c r="D455" s="137">
        <v>0</v>
      </c>
      <c r="E455" s="137">
        <v>0</v>
      </c>
      <c r="F455" s="137">
        <v>0</v>
      </c>
      <c r="G455" s="137">
        <v>1</v>
      </c>
      <c r="H455" s="137">
        <v>1</v>
      </c>
      <c r="J455" s="153">
        <v>1511</v>
      </c>
      <c r="K455" s="137">
        <v>0</v>
      </c>
      <c r="L455" s="137">
        <v>1</v>
      </c>
      <c r="M455" s="137">
        <v>0</v>
      </c>
      <c r="N455" s="137">
        <v>0</v>
      </c>
      <c r="O455" s="137">
        <v>0</v>
      </c>
      <c r="P455" s="137">
        <v>1</v>
      </c>
      <c r="Q455" s="154">
        <v>1</v>
      </c>
    </row>
    <row r="456" spans="1:17" x14ac:dyDescent="0.25">
      <c r="A456" s="137">
        <v>1512</v>
      </c>
      <c r="B456" s="137">
        <v>0</v>
      </c>
      <c r="C456" s="137">
        <v>2</v>
      </c>
      <c r="D456" s="137">
        <v>0</v>
      </c>
      <c r="E456" s="137">
        <v>0</v>
      </c>
      <c r="F456" s="137">
        <v>0</v>
      </c>
      <c r="G456" s="137">
        <v>2</v>
      </c>
      <c r="H456" s="137">
        <v>2</v>
      </c>
      <c r="J456" s="153">
        <v>1512</v>
      </c>
      <c r="K456" s="137">
        <v>0</v>
      </c>
      <c r="L456" s="137">
        <v>2</v>
      </c>
      <c r="M456" s="137">
        <v>0</v>
      </c>
      <c r="N456" s="137">
        <v>0</v>
      </c>
      <c r="O456" s="137">
        <v>0</v>
      </c>
      <c r="P456" s="137">
        <v>2</v>
      </c>
      <c r="Q456" s="154">
        <v>2</v>
      </c>
    </row>
    <row r="457" spans="1:17" x14ac:dyDescent="0.25">
      <c r="A457" s="137">
        <v>1513</v>
      </c>
      <c r="B457" s="137">
        <v>0</v>
      </c>
      <c r="C457" s="137">
        <v>2</v>
      </c>
      <c r="D457" s="137">
        <v>0</v>
      </c>
      <c r="E457" s="137">
        <v>0</v>
      </c>
      <c r="F457" s="137">
        <v>0</v>
      </c>
      <c r="G457" s="137">
        <v>2</v>
      </c>
      <c r="H457" s="137">
        <v>2</v>
      </c>
      <c r="J457" s="153">
        <v>1513</v>
      </c>
      <c r="K457" s="137">
        <v>0</v>
      </c>
      <c r="L457" s="137">
        <v>2</v>
      </c>
      <c r="M457" s="137">
        <v>0</v>
      </c>
      <c r="N457" s="137">
        <v>0</v>
      </c>
      <c r="O457" s="137">
        <v>0</v>
      </c>
      <c r="P457" s="137">
        <v>2</v>
      </c>
      <c r="Q457" s="154">
        <v>2</v>
      </c>
    </row>
    <row r="458" spans="1:17" x14ac:dyDescent="0.25">
      <c r="A458" s="137">
        <v>1538</v>
      </c>
      <c r="B458" s="137">
        <v>0</v>
      </c>
      <c r="C458" s="137">
        <v>2</v>
      </c>
      <c r="D458" s="137">
        <v>0</v>
      </c>
      <c r="E458" s="137">
        <v>0</v>
      </c>
      <c r="F458" s="137">
        <v>0</v>
      </c>
      <c r="G458" s="137">
        <v>2</v>
      </c>
      <c r="H458" s="137">
        <v>2</v>
      </c>
      <c r="J458" s="153">
        <v>1538</v>
      </c>
      <c r="K458" s="137">
        <v>0</v>
      </c>
      <c r="L458" s="137">
        <v>2</v>
      </c>
      <c r="M458" s="137">
        <v>0</v>
      </c>
      <c r="N458" s="137">
        <v>0</v>
      </c>
      <c r="O458" s="137">
        <v>0</v>
      </c>
      <c r="P458" s="137">
        <v>2</v>
      </c>
      <c r="Q458" s="154">
        <v>2</v>
      </c>
    </row>
    <row r="459" spans="1:17" x14ac:dyDescent="0.25">
      <c r="A459" s="137">
        <v>1539</v>
      </c>
      <c r="B459" s="137">
        <v>2</v>
      </c>
      <c r="C459" s="137">
        <v>0</v>
      </c>
      <c r="D459" s="137">
        <v>0</v>
      </c>
      <c r="E459" s="137">
        <v>0</v>
      </c>
      <c r="F459" s="137">
        <v>0</v>
      </c>
      <c r="G459" s="137">
        <v>2</v>
      </c>
      <c r="H459" s="137">
        <v>2</v>
      </c>
      <c r="J459" s="153">
        <v>1539</v>
      </c>
      <c r="K459" s="137">
        <v>2</v>
      </c>
      <c r="L459" s="137">
        <v>0</v>
      </c>
      <c r="M459" s="137">
        <v>0</v>
      </c>
      <c r="N459" s="137">
        <v>0</v>
      </c>
      <c r="O459" s="137">
        <v>0</v>
      </c>
      <c r="P459" s="137">
        <v>2</v>
      </c>
      <c r="Q459" s="154">
        <v>2</v>
      </c>
    </row>
    <row r="460" spans="1:17" x14ac:dyDescent="0.25">
      <c r="A460" s="137">
        <v>1541</v>
      </c>
      <c r="B460" s="137">
        <v>0</v>
      </c>
      <c r="C460" s="137">
        <v>2</v>
      </c>
      <c r="D460" s="137">
        <v>0</v>
      </c>
      <c r="E460" s="137">
        <v>0</v>
      </c>
      <c r="F460" s="137">
        <v>0</v>
      </c>
      <c r="G460" s="137">
        <v>2</v>
      </c>
      <c r="H460" s="137">
        <v>2</v>
      </c>
      <c r="J460" s="153">
        <v>1541</v>
      </c>
      <c r="K460" s="137">
        <v>0</v>
      </c>
      <c r="L460" s="137">
        <v>2</v>
      </c>
      <c r="M460" s="137">
        <v>0</v>
      </c>
      <c r="N460" s="137">
        <v>0</v>
      </c>
      <c r="O460" s="137">
        <v>0</v>
      </c>
      <c r="P460" s="137">
        <v>2</v>
      </c>
      <c r="Q460" s="154">
        <v>2</v>
      </c>
    </row>
    <row r="461" spans="1:17" x14ac:dyDescent="0.25">
      <c r="A461" s="137">
        <v>1577</v>
      </c>
      <c r="B461" s="137">
        <v>0</v>
      </c>
      <c r="C461" s="137">
        <v>1</v>
      </c>
      <c r="D461" s="137">
        <v>0</v>
      </c>
      <c r="E461" s="137">
        <v>0</v>
      </c>
      <c r="F461" s="137">
        <v>0</v>
      </c>
      <c r="G461" s="137">
        <v>1</v>
      </c>
      <c r="H461" s="137">
        <v>1</v>
      </c>
      <c r="J461" s="153">
        <v>1577</v>
      </c>
      <c r="K461" s="137">
        <v>0</v>
      </c>
      <c r="L461" s="137">
        <v>1</v>
      </c>
      <c r="M461" s="137">
        <v>0</v>
      </c>
      <c r="N461" s="137">
        <v>0</v>
      </c>
      <c r="O461" s="137">
        <v>0</v>
      </c>
      <c r="P461" s="137">
        <v>1</v>
      </c>
      <c r="Q461" s="154">
        <v>1</v>
      </c>
    </row>
    <row r="462" spans="1:17" x14ac:dyDescent="0.25">
      <c r="A462" s="137">
        <v>1578</v>
      </c>
      <c r="B462" s="137">
        <v>0</v>
      </c>
      <c r="C462" s="137">
        <v>2</v>
      </c>
      <c r="D462" s="137">
        <v>0</v>
      </c>
      <c r="E462" s="137">
        <v>0</v>
      </c>
      <c r="F462" s="137">
        <v>0</v>
      </c>
      <c r="G462" s="137">
        <v>2</v>
      </c>
      <c r="H462" s="137">
        <v>2</v>
      </c>
      <c r="J462" s="153">
        <v>1578</v>
      </c>
      <c r="K462" s="137">
        <v>0</v>
      </c>
      <c r="L462" s="137">
        <v>2</v>
      </c>
      <c r="M462" s="137">
        <v>0</v>
      </c>
      <c r="N462" s="137">
        <v>0</v>
      </c>
      <c r="O462" s="137">
        <v>0</v>
      </c>
      <c r="P462" s="137">
        <v>2</v>
      </c>
      <c r="Q462" s="154">
        <v>2</v>
      </c>
    </row>
    <row r="463" spans="1:17" x14ac:dyDescent="0.25">
      <c r="A463" s="137">
        <v>1579</v>
      </c>
      <c r="B463" s="137">
        <v>0</v>
      </c>
      <c r="C463" s="137">
        <v>2</v>
      </c>
      <c r="D463" s="137">
        <v>0</v>
      </c>
      <c r="E463" s="137">
        <v>0</v>
      </c>
      <c r="F463" s="137">
        <v>0</v>
      </c>
      <c r="G463" s="137">
        <v>3</v>
      </c>
      <c r="H463" s="137">
        <v>2</v>
      </c>
      <c r="J463" s="153">
        <v>1579</v>
      </c>
      <c r="K463" s="137">
        <v>0</v>
      </c>
      <c r="L463" s="137">
        <v>2</v>
      </c>
      <c r="M463" s="137">
        <v>0</v>
      </c>
      <c r="N463" s="137">
        <v>0</v>
      </c>
      <c r="O463" s="137">
        <v>0</v>
      </c>
      <c r="P463" s="137">
        <v>3</v>
      </c>
      <c r="Q463" s="154">
        <f t="shared" ref="Q463:Q467" si="16">SUM(K463:O463)</f>
        <v>2</v>
      </c>
    </row>
    <row r="464" spans="1:17" x14ac:dyDescent="0.25">
      <c r="A464" s="137">
        <v>1580</v>
      </c>
      <c r="B464" s="137">
        <v>2</v>
      </c>
      <c r="C464" s="137">
        <v>0</v>
      </c>
      <c r="D464" s="137">
        <v>0</v>
      </c>
      <c r="E464" s="137">
        <v>0</v>
      </c>
      <c r="F464" s="137">
        <v>0</v>
      </c>
      <c r="G464" s="137">
        <v>3</v>
      </c>
      <c r="H464" s="137">
        <v>2</v>
      </c>
      <c r="J464" s="153">
        <v>1580</v>
      </c>
      <c r="K464" s="137">
        <v>2</v>
      </c>
      <c r="L464" s="137">
        <v>0</v>
      </c>
      <c r="M464" s="137">
        <v>0</v>
      </c>
      <c r="N464" s="137">
        <v>0</v>
      </c>
      <c r="O464" s="137">
        <v>0</v>
      </c>
      <c r="P464" s="137">
        <v>3</v>
      </c>
      <c r="Q464" s="154">
        <f t="shared" si="16"/>
        <v>2</v>
      </c>
    </row>
    <row r="465" spans="1:17" x14ac:dyDescent="0.25">
      <c r="A465" s="137">
        <v>1581</v>
      </c>
      <c r="B465" s="137">
        <v>2</v>
      </c>
      <c r="C465" s="137">
        <v>0</v>
      </c>
      <c r="D465" s="137">
        <v>0</v>
      </c>
      <c r="E465" s="137">
        <v>0</v>
      </c>
      <c r="F465" s="137">
        <v>0</v>
      </c>
      <c r="G465" s="137">
        <v>4</v>
      </c>
      <c r="H465" s="137">
        <v>2</v>
      </c>
      <c r="J465" s="153">
        <v>1581</v>
      </c>
      <c r="K465" s="137">
        <v>2</v>
      </c>
      <c r="L465" s="137">
        <v>0</v>
      </c>
      <c r="M465" s="137">
        <v>0</v>
      </c>
      <c r="N465" s="137">
        <v>0</v>
      </c>
      <c r="O465" s="137">
        <v>0</v>
      </c>
      <c r="P465" s="137">
        <v>4</v>
      </c>
      <c r="Q465" s="154">
        <f t="shared" si="16"/>
        <v>2</v>
      </c>
    </row>
    <row r="466" spans="1:17" x14ac:dyDescent="0.25">
      <c r="A466" s="137">
        <v>1601</v>
      </c>
      <c r="B466" s="137">
        <v>2</v>
      </c>
      <c r="C466" s="137">
        <v>0</v>
      </c>
      <c r="D466" s="137">
        <v>0</v>
      </c>
      <c r="E466" s="137">
        <v>0</v>
      </c>
      <c r="F466" s="137">
        <v>0</v>
      </c>
      <c r="G466" s="137">
        <v>3</v>
      </c>
      <c r="H466" s="137">
        <v>2</v>
      </c>
      <c r="J466" s="153">
        <v>1601</v>
      </c>
      <c r="K466" s="137">
        <v>2</v>
      </c>
      <c r="L466" s="137">
        <v>0</v>
      </c>
      <c r="M466" s="137">
        <v>0</v>
      </c>
      <c r="N466" s="137">
        <v>0</v>
      </c>
      <c r="O466" s="137">
        <v>0</v>
      </c>
      <c r="P466" s="137">
        <v>3</v>
      </c>
      <c r="Q466" s="154">
        <f t="shared" si="16"/>
        <v>2</v>
      </c>
    </row>
    <row r="467" spans="1:17" x14ac:dyDescent="0.25">
      <c r="A467" s="137">
        <v>1602</v>
      </c>
      <c r="B467" s="137">
        <v>2</v>
      </c>
      <c r="C467" s="137">
        <v>0</v>
      </c>
      <c r="D467" s="137">
        <v>0</v>
      </c>
      <c r="E467" s="137">
        <v>0</v>
      </c>
      <c r="F467" s="137">
        <v>0</v>
      </c>
      <c r="G467" s="137">
        <v>3</v>
      </c>
      <c r="H467" s="137">
        <v>2</v>
      </c>
      <c r="J467" s="153">
        <v>1602</v>
      </c>
      <c r="K467" s="137">
        <v>2</v>
      </c>
      <c r="L467" s="137">
        <v>0</v>
      </c>
      <c r="M467" s="137">
        <v>0</v>
      </c>
      <c r="N467" s="137">
        <v>0</v>
      </c>
      <c r="O467" s="137">
        <v>0</v>
      </c>
      <c r="P467" s="137">
        <v>3</v>
      </c>
      <c r="Q467" s="154">
        <f t="shared" si="16"/>
        <v>2</v>
      </c>
    </row>
    <row r="468" spans="1:17" x14ac:dyDescent="0.25">
      <c r="A468" s="137">
        <v>1606</v>
      </c>
      <c r="B468" s="137">
        <v>2</v>
      </c>
      <c r="C468" s="137">
        <v>0</v>
      </c>
      <c r="D468" s="137">
        <v>0</v>
      </c>
      <c r="E468" s="137">
        <v>0</v>
      </c>
      <c r="F468" s="137">
        <v>0</v>
      </c>
      <c r="G468" s="137">
        <v>2</v>
      </c>
      <c r="H468" s="137">
        <v>2</v>
      </c>
      <c r="J468" s="153">
        <v>1606</v>
      </c>
      <c r="K468" s="137">
        <v>2</v>
      </c>
      <c r="L468" s="137">
        <v>0</v>
      </c>
      <c r="M468" s="137">
        <v>0</v>
      </c>
      <c r="N468" s="137">
        <v>0</v>
      </c>
      <c r="O468" s="137">
        <v>0</v>
      </c>
      <c r="P468" s="137">
        <v>2</v>
      </c>
      <c r="Q468" s="154">
        <v>2</v>
      </c>
    </row>
    <row r="469" spans="1:17" x14ac:dyDescent="0.25">
      <c r="A469" s="137">
        <v>1607</v>
      </c>
      <c r="B469" s="137">
        <v>0</v>
      </c>
      <c r="C469" s="137">
        <v>1</v>
      </c>
      <c r="D469" s="137">
        <v>0</v>
      </c>
      <c r="E469" s="137">
        <v>0</v>
      </c>
      <c r="F469" s="137">
        <v>0</v>
      </c>
      <c r="G469" s="137">
        <v>1</v>
      </c>
      <c r="H469" s="137">
        <v>1</v>
      </c>
      <c r="J469" s="153">
        <v>1607</v>
      </c>
      <c r="K469" s="137">
        <v>0</v>
      </c>
      <c r="L469" s="137">
        <v>1</v>
      </c>
      <c r="M469" s="137">
        <v>0</v>
      </c>
      <c r="N469" s="137">
        <v>0</v>
      </c>
      <c r="O469" s="137">
        <v>0</v>
      </c>
      <c r="P469" s="137">
        <v>1</v>
      </c>
      <c r="Q469" s="154">
        <v>1</v>
      </c>
    </row>
    <row r="470" spans="1:17" x14ac:dyDescent="0.25">
      <c r="A470" s="137">
        <v>1609</v>
      </c>
      <c r="B470" s="137">
        <v>1</v>
      </c>
      <c r="C470" s="137">
        <v>0</v>
      </c>
      <c r="D470" s="137">
        <v>0</v>
      </c>
      <c r="E470" s="137">
        <v>0</v>
      </c>
      <c r="F470" s="137">
        <v>0</v>
      </c>
      <c r="G470" s="137">
        <v>1</v>
      </c>
      <c r="H470" s="137">
        <v>1</v>
      </c>
      <c r="J470" s="153">
        <v>1609</v>
      </c>
      <c r="K470" s="137">
        <v>1</v>
      </c>
      <c r="L470" s="137">
        <v>0</v>
      </c>
      <c r="M470" s="137">
        <v>0</v>
      </c>
      <c r="N470" s="137">
        <v>0</v>
      </c>
      <c r="O470" s="137">
        <v>0</v>
      </c>
      <c r="P470" s="137">
        <v>1</v>
      </c>
      <c r="Q470" s="154">
        <v>1</v>
      </c>
    </row>
    <row r="471" spans="1:17" x14ac:dyDescent="0.25">
      <c r="A471" s="137">
        <v>1610</v>
      </c>
      <c r="B471" s="137">
        <v>2</v>
      </c>
      <c r="C471" s="137">
        <v>0</v>
      </c>
      <c r="D471" s="137">
        <v>0</v>
      </c>
      <c r="E471" s="137">
        <v>0</v>
      </c>
      <c r="F471" s="137">
        <v>0</v>
      </c>
      <c r="G471" s="137">
        <v>2</v>
      </c>
      <c r="H471" s="137">
        <v>2</v>
      </c>
      <c r="J471" s="153">
        <v>1610</v>
      </c>
      <c r="K471" s="137">
        <v>2</v>
      </c>
      <c r="L471" s="137">
        <v>0</v>
      </c>
      <c r="M471" s="137">
        <v>0</v>
      </c>
      <c r="N471" s="137">
        <v>0</v>
      </c>
      <c r="O471" s="137">
        <v>0</v>
      </c>
      <c r="P471" s="137">
        <v>2</v>
      </c>
      <c r="Q471" s="154">
        <v>2</v>
      </c>
    </row>
    <row r="472" spans="1:17" x14ac:dyDescent="0.25">
      <c r="A472" s="137">
        <v>1611</v>
      </c>
      <c r="B472" s="137">
        <v>2</v>
      </c>
      <c r="C472" s="137">
        <v>0</v>
      </c>
      <c r="D472" s="137">
        <v>0</v>
      </c>
      <c r="E472" s="137">
        <v>0</v>
      </c>
      <c r="F472" s="137">
        <v>0</v>
      </c>
      <c r="G472" s="137">
        <v>2</v>
      </c>
      <c r="H472" s="137">
        <v>2</v>
      </c>
      <c r="J472" s="153">
        <v>1611</v>
      </c>
      <c r="K472" s="137">
        <v>2</v>
      </c>
      <c r="L472" s="137">
        <v>0</v>
      </c>
      <c r="M472" s="137">
        <v>0</v>
      </c>
      <c r="N472" s="137">
        <v>0</v>
      </c>
      <c r="O472" s="137">
        <v>0</v>
      </c>
      <c r="P472" s="137">
        <v>2</v>
      </c>
      <c r="Q472" s="154">
        <v>2</v>
      </c>
    </row>
    <row r="473" spans="1:17" x14ac:dyDescent="0.25">
      <c r="A473" s="137">
        <v>1612</v>
      </c>
      <c r="B473" s="137">
        <v>2</v>
      </c>
      <c r="C473" s="137">
        <v>0</v>
      </c>
      <c r="D473" s="137">
        <v>0</v>
      </c>
      <c r="E473" s="137">
        <v>0</v>
      </c>
      <c r="F473" s="137">
        <v>0</v>
      </c>
      <c r="G473" s="137">
        <v>2</v>
      </c>
      <c r="H473" s="137">
        <v>2</v>
      </c>
      <c r="J473" s="153">
        <v>1612</v>
      </c>
      <c r="K473" s="137">
        <v>2</v>
      </c>
      <c r="L473" s="137">
        <v>0</v>
      </c>
      <c r="M473" s="137">
        <v>0</v>
      </c>
      <c r="N473" s="137">
        <v>0</v>
      </c>
      <c r="O473" s="137">
        <v>0</v>
      </c>
      <c r="P473" s="137">
        <v>2</v>
      </c>
      <c r="Q473" s="154">
        <v>2</v>
      </c>
    </row>
    <row r="474" spans="1:17" x14ac:dyDescent="0.25">
      <c r="A474" s="137">
        <v>1614</v>
      </c>
      <c r="B474" s="137">
        <v>2</v>
      </c>
      <c r="C474" s="137">
        <v>0</v>
      </c>
      <c r="D474" s="137">
        <v>0</v>
      </c>
      <c r="E474" s="137">
        <v>0</v>
      </c>
      <c r="F474" s="137">
        <v>0</v>
      </c>
      <c r="G474" s="137">
        <v>2</v>
      </c>
      <c r="H474" s="137">
        <v>2</v>
      </c>
      <c r="J474" s="153">
        <v>1614</v>
      </c>
      <c r="K474" s="137">
        <v>2</v>
      </c>
      <c r="L474" s="137">
        <v>0</v>
      </c>
      <c r="M474" s="137">
        <v>0</v>
      </c>
      <c r="N474" s="137">
        <v>0</v>
      </c>
      <c r="O474" s="137">
        <v>0</v>
      </c>
      <c r="P474" s="137">
        <v>2</v>
      </c>
      <c r="Q474" s="154">
        <v>2</v>
      </c>
    </row>
    <row r="475" spans="1:17" x14ac:dyDescent="0.25">
      <c r="A475" s="137">
        <v>1615</v>
      </c>
      <c r="B475" s="137">
        <v>0</v>
      </c>
      <c r="C475" s="137">
        <v>2</v>
      </c>
      <c r="D475" s="137">
        <v>0</v>
      </c>
      <c r="E475" s="137">
        <v>0</v>
      </c>
      <c r="F475" s="137">
        <v>0</v>
      </c>
      <c r="G475" s="137">
        <v>3</v>
      </c>
      <c r="H475" s="137">
        <v>2</v>
      </c>
      <c r="J475" s="153">
        <v>1615</v>
      </c>
      <c r="K475" s="137">
        <v>0</v>
      </c>
      <c r="L475" s="137">
        <v>2</v>
      </c>
      <c r="M475" s="137">
        <v>0</v>
      </c>
      <c r="N475" s="137">
        <v>0</v>
      </c>
      <c r="O475" s="137">
        <v>0</v>
      </c>
      <c r="P475" s="137">
        <v>3</v>
      </c>
      <c r="Q475" s="154">
        <f>SUM(K475:O475)</f>
        <v>2</v>
      </c>
    </row>
    <row r="476" spans="1:17" x14ac:dyDescent="0.25">
      <c r="A476" s="137">
        <v>1616</v>
      </c>
      <c r="B476" s="137">
        <v>1</v>
      </c>
      <c r="C476" s="137">
        <v>0</v>
      </c>
      <c r="D476" s="137">
        <v>0</v>
      </c>
      <c r="E476" s="137">
        <v>0</v>
      </c>
      <c r="F476" s="137">
        <v>0</v>
      </c>
      <c r="G476" s="137">
        <v>1</v>
      </c>
      <c r="H476" s="137">
        <v>1</v>
      </c>
      <c r="J476" s="153">
        <v>1616</v>
      </c>
      <c r="K476" s="137">
        <v>1</v>
      </c>
      <c r="L476" s="137">
        <v>0</v>
      </c>
      <c r="M476" s="137">
        <v>0</v>
      </c>
      <c r="N476" s="137">
        <v>0</v>
      </c>
      <c r="O476" s="137">
        <v>0</v>
      </c>
      <c r="P476" s="137">
        <v>1</v>
      </c>
      <c r="Q476" s="154">
        <v>1</v>
      </c>
    </row>
    <row r="477" spans="1:17" x14ac:dyDescent="0.25">
      <c r="A477" s="137">
        <v>1619</v>
      </c>
      <c r="B477" s="137">
        <v>0</v>
      </c>
      <c r="C477" s="137">
        <v>2</v>
      </c>
      <c r="D477" s="137">
        <v>0</v>
      </c>
      <c r="E477" s="137">
        <v>0</v>
      </c>
      <c r="F477" s="137">
        <v>0</v>
      </c>
      <c r="G477" s="137">
        <v>3</v>
      </c>
      <c r="H477" s="137">
        <v>2</v>
      </c>
      <c r="J477" s="153">
        <v>1619</v>
      </c>
      <c r="K477" s="137">
        <v>0</v>
      </c>
      <c r="L477" s="137">
        <v>2</v>
      </c>
      <c r="M477" s="137">
        <v>0</v>
      </c>
      <c r="N477" s="137">
        <v>0</v>
      </c>
      <c r="O477" s="137">
        <v>0</v>
      </c>
      <c r="P477" s="137">
        <v>3</v>
      </c>
      <c r="Q477" s="154">
        <f t="shared" ref="Q477:Q479" si="17">SUM(K477:O477)</f>
        <v>2</v>
      </c>
    </row>
    <row r="478" spans="1:17" x14ac:dyDescent="0.25">
      <c r="A478" s="137">
        <v>1622</v>
      </c>
      <c r="B478" s="137">
        <v>0</v>
      </c>
      <c r="C478" s="137">
        <v>2</v>
      </c>
      <c r="D478" s="137">
        <v>0</v>
      </c>
      <c r="E478" s="137">
        <v>0</v>
      </c>
      <c r="F478" s="137">
        <v>0</v>
      </c>
      <c r="G478" s="137">
        <v>3</v>
      </c>
      <c r="H478" s="137">
        <v>2</v>
      </c>
      <c r="J478" s="153">
        <v>1622</v>
      </c>
      <c r="K478" s="137">
        <v>0</v>
      </c>
      <c r="L478" s="137">
        <v>2</v>
      </c>
      <c r="M478" s="137">
        <v>0</v>
      </c>
      <c r="N478" s="137">
        <v>0</v>
      </c>
      <c r="O478" s="137">
        <v>0</v>
      </c>
      <c r="P478" s="137">
        <v>3</v>
      </c>
      <c r="Q478" s="154">
        <f t="shared" si="17"/>
        <v>2</v>
      </c>
    </row>
    <row r="479" spans="1:17" x14ac:dyDescent="0.25">
      <c r="A479" s="137">
        <v>1686</v>
      </c>
      <c r="B479" s="137">
        <v>2</v>
      </c>
      <c r="C479" s="137">
        <v>0</v>
      </c>
      <c r="D479" s="137">
        <v>0</v>
      </c>
      <c r="E479" s="137">
        <v>0</v>
      </c>
      <c r="F479" s="137">
        <v>0</v>
      </c>
      <c r="G479" s="137">
        <v>3</v>
      </c>
      <c r="H479" s="137">
        <v>2</v>
      </c>
      <c r="J479" s="153">
        <v>1686</v>
      </c>
      <c r="K479" s="137">
        <v>2</v>
      </c>
      <c r="L479" s="137">
        <v>0</v>
      </c>
      <c r="M479" s="137">
        <v>0</v>
      </c>
      <c r="N479" s="137">
        <v>0</v>
      </c>
      <c r="O479" s="137">
        <v>0</v>
      </c>
      <c r="P479" s="137">
        <v>3</v>
      </c>
      <c r="Q479" s="154">
        <f t="shared" si="17"/>
        <v>2</v>
      </c>
    </row>
    <row r="480" spans="1:17" x14ac:dyDescent="0.25">
      <c r="A480" s="137">
        <v>1721</v>
      </c>
      <c r="B480" s="137">
        <v>0</v>
      </c>
      <c r="C480" s="137">
        <v>1</v>
      </c>
      <c r="D480" s="137">
        <v>0</v>
      </c>
      <c r="E480" s="137">
        <v>0</v>
      </c>
      <c r="F480" s="137">
        <v>0</v>
      </c>
      <c r="G480" s="137">
        <v>1</v>
      </c>
      <c r="H480" s="137">
        <v>1</v>
      </c>
      <c r="J480" s="153">
        <v>1721</v>
      </c>
      <c r="K480" s="137">
        <v>0</v>
      </c>
      <c r="L480" s="137">
        <v>1</v>
      </c>
      <c r="M480" s="137">
        <v>0</v>
      </c>
      <c r="N480" s="137">
        <v>0</v>
      </c>
      <c r="O480" s="137">
        <v>0</v>
      </c>
      <c r="P480" s="137">
        <v>1</v>
      </c>
      <c r="Q480" s="154">
        <v>1</v>
      </c>
    </row>
    <row r="481" spans="1:17" x14ac:dyDescent="0.25">
      <c r="A481" s="137">
        <v>1722</v>
      </c>
      <c r="B481" s="137">
        <v>0</v>
      </c>
      <c r="C481" s="137">
        <v>2</v>
      </c>
      <c r="D481" s="137">
        <v>0</v>
      </c>
      <c r="E481" s="137">
        <v>0</v>
      </c>
      <c r="F481" s="137">
        <v>0</v>
      </c>
      <c r="G481" s="137">
        <v>2</v>
      </c>
      <c r="H481" s="137">
        <v>2</v>
      </c>
      <c r="J481" s="153">
        <v>1722</v>
      </c>
      <c r="K481" s="137">
        <v>0</v>
      </c>
      <c r="L481" s="137">
        <v>2</v>
      </c>
      <c r="M481" s="137">
        <v>0</v>
      </c>
      <c r="N481" s="137">
        <v>0</v>
      </c>
      <c r="O481" s="137">
        <v>0</v>
      </c>
      <c r="P481" s="137">
        <v>2</v>
      </c>
      <c r="Q481" s="154">
        <v>2</v>
      </c>
    </row>
    <row r="482" spans="1:17" x14ac:dyDescent="0.25">
      <c r="A482" s="137">
        <v>1723</v>
      </c>
      <c r="B482" s="137">
        <v>0</v>
      </c>
      <c r="C482" s="137">
        <v>1</v>
      </c>
      <c r="D482" s="137">
        <v>0</v>
      </c>
      <c r="E482" s="137">
        <v>0</v>
      </c>
      <c r="F482" s="137">
        <v>0</v>
      </c>
      <c r="G482" s="137">
        <v>1</v>
      </c>
      <c r="H482" s="137">
        <v>1</v>
      </c>
      <c r="J482" s="153">
        <v>1723</v>
      </c>
      <c r="K482" s="137">
        <v>0</v>
      </c>
      <c r="L482" s="137">
        <v>1</v>
      </c>
      <c r="M482" s="137">
        <v>0</v>
      </c>
      <c r="N482" s="137">
        <v>0</v>
      </c>
      <c r="O482" s="137">
        <v>0</v>
      </c>
      <c r="P482" s="137">
        <v>1</v>
      </c>
      <c r="Q482" s="154">
        <v>1</v>
      </c>
    </row>
    <row r="483" spans="1:17" x14ac:dyDescent="0.25">
      <c r="A483" s="137">
        <v>1724</v>
      </c>
      <c r="B483" s="137">
        <v>0</v>
      </c>
      <c r="C483" s="137">
        <v>2</v>
      </c>
      <c r="D483" s="137">
        <v>0</v>
      </c>
      <c r="E483" s="137">
        <v>0</v>
      </c>
      <c r="F483" s="137">
        <v>0</v>
      </c>
      <c r="G483" s="137">
        <v>3</v>
      </c>
      <c r="H483" s="137">
        <v>2</v>
      </c>
      <c r="J483" s="153">
        <v>1724</v>
      </c>
      <c r="K483" s="137">
        <v>0</v>
      </c>
      <c r="L483" s="137">
        <v>2</v>
      </c>
      <c r="M483" s="137">
        <v>0</v>
      </c>
      <c r="N483" s="137">
        <v>0</v>
      </c>
      <c r="O483" s="137">
        <v>0</v>
      </c>
      <c r="P483" s="137">
        <v>3</v>
      </c>
      <c r="Q483" s="154">
        <f t="shared" ref="Q483:Q484" si="18">SUM(K483:O483)</f>
        <v>2</v>
      </c>
    </row>
    <row r="484" spans="1:17" x14ac:dyDescent="0.25">
      <c r="A484" s="137">
        <v>1751</v>
      </c>
      <c r="B484" s="137">
        <v>0</v>
      </c>
      <c r="C484" s="137">
        <v>2</v>
      </c>
      <c r="D484" s="137">
        <v>0</v>
      </c>
      <c r="E484" s="137">
        <v>0</v>
      </c>
      <c r="F484" s="137">
        <v>0</v>
      </c>
      <c r="G484" s="137">
        <v>4</v>
      </c>
      <c r="H484" s="137">
        <v>2</v>
      </c>
      <c r="J484" s="153">
        <v>1751</v>
      </c>
      <c r="K484" s="137">
        <v>0</v>
      </c>
      <c r="L484" s="137">
        <v>2</v>
      </c>
      <c r="M484" s="137">
        <v>0</v>
      </c>
      <c r="N484" s="137">
        <v>0</v>
      </c>
      <c r="O484" s="137">
        <v>0</v>
      </c>
      <c r="P484" s="137">
        <v>4</v>
      </c>
      <c r="Q484" s="154">
        <f t="shared" si="18"/>
        <v>2</v>
      </c>
    </row>
    <row r="485" spans="1:17" x14ac:dyDescent="0.25">
      <c r="A485" s="137">
        <v>1752</v>
      </c>
      <c r="B485" s="137">
        <v>0</v>
      </c>
      <c r="C485" s="137">
        <v>2</v>
      </c>
      <c r="D485" s="137">
        <v>0</v>
      </c>
      <c r="E485" s="137">
        <v>0</v>
      </c>
      <c r="F485" s="137">
        <v>0</v>
      </c>
      <c r="G485" s="137">
        <v>2</v>
      </c>
      <c r="H485" s="137">
        <v>2</v>
      </c>
      <c r="J485" s="153">
        <v>1752</v>
      </c>
      <c r="K485" s="137">
        <v>0</v>
      </c>
      <c r="L485" s="137">
        <v>2</v>
      </c>
      <c r="M485" s="137">
        <v>0</v>
      </c>
      <c r="N485" s="137">
        <v>0</v>
      </c>
      <c r="O485" s="137">
        <v>0</v>
      </c>
      <c r="P485" s="137">
        <v>2</v>
      </c>
      <c r="Q485" s="154">
        <v>2</v>
      </c>
    </row>
    <row r="486" spans="1:17" x14ac:dyDescent="0.25">
      <c r="A486" s="137">
        <v>1801</v>
      </c>
      <c r="B486" s="137">
        <v>0</v>
      </c>
      <c r="C486" s="137">
        <v>2</v>
      </c>
      <c r="D486" s="137">
        <v>0</v>
      </c>
      <c r="E486" s="137">
        <v>0</v>
      </c>
      <c r="F486" s="137">
        <v>0</v>
      </c>
      <c r="G486" s="137">
        <v>2</v>
      </c>
      <c r="H486" s="137">
        <v>2</v>
      </c>
      <c r="J486" s="153">
        <v>1801</v>
      </c>
      <c r="K486" s="137">
        <v>0</v>
      </c>
      <c r="L486" s="137">
        <v>2</v>
      </c>
      <c r="M486" s="137">
        <v>0</v>
      </c>
      <c r="N486" s="137">
        <v>0</v>
      </c>
      <c r="O486" s="137">
        <v>0</v>
      </c>
      <c r="P486" s="137">
        <v>2</v>
      </c>
      <c r="Q486" s="154">
        <v>2</v>
      </c>
    </row>
    <row r="487" spans="1:17" x14ac:dyDescent="0.25">
      <c r="A487" s="137">
        <v>1802</v>
      </c>
      <c r="B487" s="137">
        <v>0</v>
      </c>
      <c r="C487" s="137">
        <v>1</v>
      </c>
      <c r="D487" s="137">
        <v>0</v>
      </c>
      <c r="E487" s="137">
        <v>0</v>
      </c>
      <c r="F487" s="137">
        <v>0</v>
      </c>
      <c r="G487" s="137">
        <v>1</v>
      </c>
      <c r="H487" s="137">
        <v>1</v>
      </c>
      <c r="J487" s="153">
        <v>1802</v>
      </c>
      <c r="K487" s="137">
        <v>0</v>
      </c>
      <c r="L487" s="137">
        <v>1</v>
      </c>
      <c r="M487" s="137">
        <v>0</v>
      </c>
      <c r="N487" s="137">
        <v>0</v>
      </c>
      <c r="O487" s="137">
        <v>0</v>
      </c>
      <c r="P487" s="137">
        <v>1</v>
      </c>
      <c r="Q487" s="154">
        <v>1</v>
      </c>
    </row>
    <row r="488" spans="1:17" x14ac:dyDescent="0.25">
      <c r="A488" s="137">
        <v>1803</v>
      </c>
      <c r="B488" s="137">
        <v>2</v>
      </c>
      <c r="C488" s="137">
        <v>0</v>
      </c>
      <c r="D488" s="137">
        <v>0</v>
      </c>
      <c r="E488" s="137">
        <v>0</v>
      </c>
      <c r="F488" s="137">
        <v>0</v>
      </c>
      <c r="G488" s="137">
        <v>2</v>
      </c>
      <c r="H488" s="137">
        <v>2</v>
      </c>
      <c r="J488" s="153">
        <v>1803</v>
      </c>
      <c r="K488" s="137">
        <v>2</v>
      </c>
      <c r="L488" s="137">
        <v>0</v>
      </c>
      <c r="M488" s="137">
        <v>0</v>
      </c>
      <c r="N488" s="137">
        <v>0</v>
      </c>
      <c r="O488" s="137">
        <v>0</v>
      </c>
      <c r="P488" s="137">
        <v>2</v>
      </c>
      <c r="Q488" s="154">
        <v>2</v>
      </c>
    </row>
    <row r="489" spans="1:17" x14ac:dyDescent="0.25">
      <c r="A489" s="137">
        <v>1804</v>
      </c>
      <c r="B489" s="137">
        <v>0</v>
      </c>
      <c r="C489" s="137">
        <v>2</v>
      </c>
      <c r="D489" s="137">
        <v>0</v>
      </c>
      <c r="E489" s="137">
        <v>0</v>
      </c>
      <c r="F489" s="137">
        <v>0</v>
      </c>
      <c r="G489" s="137">
        <v>2</v>
      </c>
      <c r="H489" s="137">
        <v>2</v>
      </c>
      <c r="J489" s="153">
        <v>1804</v>
      </c>
      <c r="K489" s="137">
        <v>0</v>
      </c>
      <c r="L489" s="137">
        <v>2</v>
      </c>
      <c r="M489" s="137">
        <v>0</v>
      </c>
      <c r="N489" s="137">
        <v>0</v>
      </c>
      <c r="O489" s="137">
        <v>0</v>
      </c>
      <c r="P489" s="137">
        <v>2</v>
      </c>
      <c r="Q489" s="154">
        <v>2</v>
      </c>
    </row>
    <row r="490" spans="1:17" x14ac:dyDescent="0.25">
      <c r="A490" s="137">
        <v>1805</v>
      </c>
      <c r="B490" s="137">
        <v>0</v>
      </c>
      <c r="C490" s="137">
        <v>2</v>
      </c>
      <c r="D490" s="137">
        <v>0</v>
      </c>
      <c r="E490" s="137">
        <v>0</v>
      </c>
      <c r="F490" s="137">
        <v>0</v>
      </c>
      <c r="G490" s="137">
        <v>2</v>
      </c>
      <c r="H490" s="137">
        <v>2</v>
      </c>
      <c r="J490" s="153">
        <v>1805</v>
      </c>
      <c r="K490" s="137">
        <v>0</v>
      </c>
      <c r="L490" s="137">
        <v>2</v>
      </c>
      <c r="M490" s="137">
        <v>0</v>
      </c>
      <c r="N490" s="137">
        <v>0</v>
      </c>
      <c r="O490" s="137">
        <v>0</v>
      </c>
      <c r="P490" s="137">
        <v>2</v>
      </c>
      <c r="Q490" s="154">
        <v>2</v>
      </c>
    </row>
    <row r="491" spans="1:17" x14ac:dyDescent="0.25">
      <c r="A491" s="137">
        <v>1806</v>
      </c>
      <c r="B491" s="137">
        <v>0</v>
      </c>
      <c r="C491" s="137">
        <v>2</v>
      </c>
      <c r="D491" s="137">
        <v>0</v>
      </c>
      <c r="E491" s="137">
        <v>0</v>
      </c>
      <c r="F491" s="137">
        <v>0</v>
      </c>
      <c r="G491" s="137">
        <v>2</v>
      </c>
      <c r="H491" s="137">
        <v>2</v>
      </c>
      <c r="J491" s="153">
        <v>1806</v>
      </c>
      <c r="K491" s="137">
        <v>0</v>
      </c>
      <c r="L491" s="137">
        <v>2</v>
      </c>
      <c r="M491" s="137">
        <v>0</v>
      </c>
      <c r="N491" s="137">
        <v>0</v>
      </c>
      <c r="O491" s="137">
        <v>0</v>
      </c>
      <c r="P491" s="137">
        <v>2</v>
      </c>
      <c r="Q491" s="154">
        <v>2</v>
      </c>
    </row>
    <row r="492" spans="1:17" x14ac:dyDescent="0.25">
      <c r="A492" s="137">
        <v>1807</v>
      </c>
      <c r="B492" s="137">
        <v>0</v>
      </c>
      <c r="C492" s="137">
        <v>2</v>
      </c>
      <c r="D492" s="137">
        <v>0</v>
      </c>
      <c r="E492" s="137">
        <v>0</v>
      </c>
      <c r="F492" s="137">
        <v>0</v>
      </c>
      <c r="G492" s="137">
        <v>3</v>
      </c>
      <c r="H492" s="137">
        <v>2</v>
      </c>
      <c r="J492" s="153">
        <v>1807</v>
      </c>
      <c r="K492" s="137">
        <v>0</v>
      </c>
      <c r="L492" s="137">
        <v>2</v>
      </c>
      <c r="M492" s="137">
        <v>0</v>
      </c>
      <c r="N492" s="137">
        <v>0</v>
      </c>
      <c r="O492" s="137">
        <v>0</v>
      </c>
      <c r="P492" s="137">
        <v>3</v>
      </c>
      <c r="Q492" s="154">
        <f>SUM(K492:O492)</f>
        <v>2</v>
      </c>
    </row>
    <row r="493" spans="1:17" x14ac:dyDescent="0.25">
      <c r="A493" s="137">
        <v>1808</v>
      </c>
      <c r="B493" s="137">
        <v>0</v>
      </c>
      <c r="C493" s="137">
        <v>2</v>
      </c>
      <c r="D493" s="137">
        <v>0</v>
      </c>
      <c r="E493" s="137">
        <v>0</v>
      </c>
      <c r="F493" s="137">
        <v>0</v>
      </c>
      <c r="G493" s="137">
        <v>2</v>
      </c>
      <c r="H493" s="137">
        <v>2</v>
      </c>
      <c r="J493" s="153">
        <v>1808</v>
      </c>
      <c r="K493" s="137">
        <v>0</v>
      </c>
      <c r="L493" s="137">
        <v>2</v>
      </c>
      <c r="M493" s="137">
        <v>0</v>
      </c>
      <c r="N493" s="137">
        <v>0</v>
      </c>
      <c r="O493" s="137">
        <v>0</v>
      </c>
      <c r="P493" s="137">
        <v>2</v>
      </c>
      <c r="Q493" s="154">
        <v>2</v>
      </c>
    </row>
    <row r="494" spans="1:17" x14ac:dyDescent="0.25">
      <c r="A494" s="137">
        <v>1809</v>
      </c>
      <c r="B494" s="137">
        <v>0</v>
      </c>
      <c r="C494" s="137">
        <v>2</v>
      </c>
      <c r="D494" s="137">
        <v>0</v>
      </c>
      <c r="E494" s="137">
        <v>0</v>
      </c>
      <c r="F494" s="137">
        <v>0</v>
      </c>
      <c r="G494" s="137">
        <v>2</v>
      </c>
      <c r="H494" s="137">
        <v>2</v>
      </c>
      <c r="J494" s="153">
        <v>1809</v>
      </c>
      <c r="K494" s="137">
        <v>0</v>
      </c>
      <c r="L494" s="137">
        <v>2</v>
      </c>
      <c r="M494" s="137">
        <v>0</v>
      </c>
      <c r="N494" s="137">
        <v>0</v>
      </c>
      <c r="O494" s="137">
        <v>0</v>
      </c>
      <c r="P494" s="137">
        <v>2</v>
      </c>
      <c r="Q494" s="154">
        <v>2</v>
      </c>
    </row>
    <row r="495" spans="1:17" x14ac:dyDescent="0.25">
      <c r="A495" s="137">
        <v>1811</v>
      </c>
      <c r="B495" s="137">
        <v>0</v>
      </c>
      <c r="C495" s="137">
        <v>0</v>
      </c>
      <c r="D495" s="137">
        <v>2</v>
      </c>
      <c r="E495" s="137">
        <v>0</v>
      </c>
      <c r="F495" s="137">
        <v>0</v>
      </c>
      <c r="G495" s="137">
        <v>3</v>
      </c>
      <c r="H495" s="137">
        <v>2</v>
      </c>
      <c r="J495" s="153">
        <v>1811</v>
      </c>
      <c r="K495" s="137">
        <v>0</v>
      </c>
      <c r="L495" s="137">
        <v>0</v>
      </c>
      <c r="M495" s="137">
        <v>2</v>
      </c>
      <c r="N495" s="137">
        <v>0</v>
      </c>
      <c r="O495" s="137">
        <v>0</v>
      </c>
      <c r="P495" s="137">
        <v>3</v>
      </c>
      <c r="Q495" s="154">
        <f t="shared" ref="Q495:Q496" si="19">SUM(K495:O495)</f>
        <v>2</v>
      </c>
    </row>
    <row r="496" spans="1:17" x14ac:dyDescent="0.25">
      <c r="A496" s="137">
        <v>1812</v>
      </c>
      <c r="B496" s="137">
        <v>0</v>
      </c>
      <c r="C496" s="137">
        <v>2</v>
      </c>
      <c r="D496" s="137">
        <v>0</v>
      </c>
      <c r="E496" s="137">
        <v>0</v>
      </c>
      <c r="F496" s="137">
        <v>0</v>
      </c>
      <c r="G496" s="137">
        <v>3</v>
      </c>
      <c r="H496" s="137">
        <v>2</v>
      </c>
      <c r="J496" s="153">
        <v>1812</v>
      </c>
      <c r="K496" s="137">
        <v>0</v>
      </c>
      <c r="L496" s="137">
        <v>2</v>
      </c>
      <c r="M496" s="137">
        <v>0</v>
      </c>
      <c r="N496" s="137">
        <v>0</v>
      </c>
      <c r="O496" s="137">
        <v>0</v>
      </c>
      <c r="P496" s="137">
        <v>3</v>
      </c>
      <c r="Q496" s="154">
        <f t="shared" si="19"/>
        <v>2</v>
      </c>
    </row>
    <row r="497" spans="1:17" x14ac:dyDescent="0.25">
      <c r="A497" s="137">
        <v>1813</v>
      </c>
      <c r="B497" s="137">
        <v>0</v>
      </c>
      <c r="C497" s="137">
        <v>2</v>
      </c>
      <c r="D497" s="137">
        <v>0</v>
      </c>
      <c r="E497" s="137">
        <v>0</v>
      </c>
      <c r="F497" s="137">
        <v>0</v>
      </c>
      <c r="G497" s="137">
        <v>2</v>
      </c>
      <c r="H497" s="137">
        <v>2</v>
      </c>
      <c r="J497" s="153">
        <v>1813</v>
      </c>
      <c r="K497" s="137">
        <v>0</v>
      </c>
      <c r="L497" s="137">
        <v>2</v>
      </c>
      <c r="M497" s="137">
        <v>0</v>
      </c>
      <c r="N497" s="137">
        <v>0</v>
      </c>
      <c r="O497" s="137">
        <v>0</v>
      </c>
      <c r="P497" s="137">
        <v>2</v>
      </c>
      <c r="Q497" s="154">
        <v>2</v>
      </c>
    </row>
    <row r="498" spans="1:17" x14ac:dyDescent="0.25">
      <c r="A498" s="137">
        <v>1814</v>
      </c>
      <c r="B498" s="137">
        <v>0</v>
      </c>
      <c r="C498" s="137">
        <v>2</v>
      </c>
      <c r="D498" s="137">
        <v>0</v>
      </c>
      <c r="E498" s="137">
        <v>0</v>
      </c>
      <c r="F498" s="137">
        <v>0</v>
      </c>
      <c r="G498" s="137">
        <v>2</v>
      </c>
      <c r="H498" s="137">
        <v>2</v>
      </c>
      <c r="J498" s="153">
        <v>1814</v>
      </c>
      <c r="K498" s="137">
        <v>0</v>
      </c>
      <c r="L498" s="137">
        <v>2</v>
      </c>
      <c r="M498" s="137">
        <v>0</v>
      </c>
      <c r="N498" s="137">
        <v>0</v>
      </c>
      <c r="O498" s="137">
        <v>0</v>
      </c>
      <c r="P498" s="137">
        <v>2</v>
      </c>
      <c r="Q498" s="154">
        <v>2</v>
      </c>
    </row>
    <row r="499" spans="1:17" x14ac:dyDescent="0.25">
      <c r="A499" s="137">
        <v>1815</v>
      </c>
      <c r="B499" s="137">
        <v>0</v>
      </c>
      <c r="C499" s="137">
        <v>0</v>
      </c>
      <c r="D499" s="137">
        <v>0</v>
      </c>
      <c r="E499" s="137">
        <v>0</v>
      </c>
      <c r="F499" s="137">
        <v>1</v>
      </c>
      <c r="G499" s="137">
        <v>0</v>
      </c>
      <c r="H499" s="137">
        <v>0</v>
      </c>
      <c r="J499" s="153">
        <v>1815</v>
      </c>
      <c r="K499" s="137">
        <v>0</v>
      </c>
      <c r="L499" s="137">
        <v>0</v>
      </c>
      <c r="M499" s="137">
        <v>0</v>
      </c>
      <c r="N499" s="137">
        <v>0</v>
      </c>
      <c r="O499" s="137">
        <v>1</v>
      </c>
      <c r="P499" s="137">
        <v>0</v>
      </c>
      <c r="Q499" s="154">
        <v>0</v>
      </c>
    </row>
    <row r="500" spans="1:17" x14ac:dyDescent="0.25">
      <c r="A500" s="137">
        <v>1816</v>
      </c>
      <c r="B500" s="137">
        <v>0</v>
      </c>
      <c r="C500" s="137">
        <v>2</v>
      </c>
      <c r="D500" s="137">
        <v>0</v>
      </c>
      <c r="E500" s="137">
        <v>0</v>
      </c>
      <c r="F500" s="137">
        <v>0</v>
      </c>
      <c r="G500" s="137">
        <v>2</v>
      </c>
      <c r="H500" s="137">
        <v>2</v>
      </c>
      <c r="J500" s="153">
        <v>1816</v>
      </c>
      <c r="K500" s="137">
        <v>0</v>
      </c>
      <c r="L500" s="137">
        <v>2</v>
      </c>
      <c r="M500" s="137">
        <v>0</v>
      </c>
      <c r="N500" s="137">
        <v>0</v>
      </c>
      <c r="O500" s="137">
        <v>0</v>
      </c>
      <c r="P500" s="137">
        <v>2</v>
      </c>
      <c r="Q500" s="154">
        <v>2</v>
      </c>
    </row>
    <row r="501" spans="1:17" x14ac:dyDescent="0.25">
      <c r="A501" s="137">
        <v>1851</v>
      </c>
      <c r="B501" s="137">
        <v>0</v>
      </c>
      <c r="C501" s="137">
        <v>1</v>
      </c>
      <c r="D501" s="137">
        <v>0</v>
      </c>
      <c r="E501" s="137">
        <v>0</v>
      </c>
      <c r="F501" s="137">
        <v>0</v>
      </c>
      <c r="G501" s="137">
        <v>1</v>
      </c>
      <c r="H501" s="137">
        <v>1</v>
      </c>
      <c r="J501" s="153">
        <v>1851</v>
      </c>
      <c r="K501" s="137">
        <v>0</v>
      </c>
      <c r="L501" s="137">
        <v>1</v>
      </c>
      <c r="M501" s="137">
        <v>0</v>
      </c>
      <c r="N501" s="137">
        <v>0</v>
      </c>
      <c r="O501" s="137">
        <v>0</v>
      </c>
      <c r="P501" s="137">
        <v>1</v>
      </c>
      <c r="Q501" s="154">
        <v>1</v>
      </c>
    </row>
    <row r="502" spans="1:17" x14ac:dyDescent="0.25">
      <c r="A502" s="137">
        <v>1852</v>
      </c>
      <c r="B502" s="137">
        <v>2</v>
      </c>
      <c r="C502" s="137">
        <v>0</v>
      </c>
      <c r="D502" s="137">
        <v>0</v>
      </c>
      <c r="E502" s="137">
        <v>0</v>
      </c>
      <c r="F502" s="137">
        <v>0</v>
      </c>
      <c r="G502" s="137">
        <v>3</v>
      </c>
      <c r="H502" s="137">
        <v>2</v>
      </c>
      <c r="J502" s="153">
        <v>1852</v>
      </c>
      <c r="K502" s="137">
        <v>2</v>
      </c>
      <c r="L502" s="137">
        <v>0</v>
      </c>
      <c r="M502" s="137">
        <v>0</v>
      </c>
      <c r="N502" s="137">
        <v>0</v>
      </c>
      <c r="O502" s="137">
        <v>0</v>
      </c>
      <c r="P502" s="137">
        <v>3</v>
      </c>
      <c r="Q502" s="154">
        <f>SUM(K502:O502)</f>
        <v>2</v>
      </c>
    </row>
    <row r="503" spans="1:17" x14ac:dyDescent="0.25">
      <c r="A503" s="137">
        <v>1853</v>
      </c>
      <c r="B503" s="137">
        <v>0</v>
      </c>
      <c r="C503" s="137">
        <v>1</v>
      </c>
      <c r="D503" s="137">
        <v>0</v>
      </c>
      <c r="E503" s="137">
        <v>0</v>
      </c>
      <c r="F503" s="137">
        <v>0</v>
      </c>
      <c r="G503" s="137">
        <v>1</v>
      </c>
      <c r="H503" s="137">
        <v>1</v>
      </c>
      <c r="J503" s="153">
        <v>1853</v>
      </c>
      <c r="K503" s="137">
        <v>0</v>
      </c>
      <c r="L503" s="137">
        <v>1</v>
      </c>
      <c r="M503" s="137">
        <v>0</v>
      </c>
      <c r="N503" s="137">
        <v>0</v>
      </c>
      <c r="O503" s="137">
        <v>0</v>
      </c>
      <c r="P503" s="137">
        <v>1</v>
      </c>
      <c r="Q503" s="154">
        <v>1</v>
      </c>
    </row>
    <row r="504" spans="1:17" x14ac:dyDescent="0.25">
      <c r="A504" s="137">
        <v>1854</v>
      </c>
      <c r="B504" s="137">
        <v>0</v>
      </c>
      <c r="C504" s="137">
        <v>1</v>
      </c>
      <c r="D504" s="137">
        <v>0</v>
      </c>
      <c r="E504" s="137">
        <v>0</v>
      </c>
      <c r="F504" s="137">
        <v>0</v>
      </c>
      <c r="G504" s="137">
        <v>1</v>
      </c>
      <c r="H504" s="137">
        <v>1</v>
      </c>
      <c r="J504" s="153">
        <v>1854</v>
      </c>
      <c r="K504" s="137">
        <v>0</v>
      </c>
      <c r="L504" s="137">
        <v>1</v>
      </c>
      <c r="M504" s="137">
        <v>0</v>
      </c>
      <c r="N504" s="137">
        <v>0</v>
      </c>
      <c r="O504" s="137">
        <v>0</v>
      </c>
      <c r="P504" s="137">
        <v>1</v>
      </c>
      <c r="Q504" s="154">
        <v>1</v>
      </c>
    </row>
    <row r="505" spans="1:17" x14ac:dyDescent="0.25">
      <c r="A505" s="137">
        <v>1855</v>
      </c>
      <c r="B505" s="137">
        <v>2</v>
      </c>
      <c r="C505" s="137">
        <v>0</v>
      </c>
      <c r="D505" s="137">
        <v>0</v>
      </c>
      <c r="E505" s="137">
        <v>0</v>
      </c>
      <c r="F505" s="137">
        <v>0</v>
      </c>
      <c r="G505" s="137">
        <v>2</v>
      </c>
      <c r="H505" s="137">
        <v>2</v>
      </c>
      <c r="J505" s="153">
        <v>1855</v>
      </c>
      <c r="K505" s="137">
        <v>2</v>
      </c>
      <c r="L505" s="137">
        <v>0</v>
      </c>
      <c r="M505" s="137">
        <v>0</v>
      </c>
      <c r="N505" s="137">
        <v>0</v>
      </c>
      <c r="O505" s="137">
        <v>0</v>
      </c>
      <c r="P505" s="137">
        <v>2</v>
      </c>
      <c r="Q505" s="154">
        <v>2</v>
      </c>
    </row>
    <row r="506" spans="1:17" x14ac:dyDescent="0.25">
      <c r="A506" s="137">
        <v>1856</v>
      </c>
      <c r="B506" s="137">
        <v>0</v>
      </c>
      <c r="C506" s="137">
        <v>2</v>
      </c>
      <c r="D506" s="137">
        <v>0</v>
      </c>
      <c r="E506" s="137">
        <v>0</v>
      </c>
      <c r="F506" s="137">
        <v>0</v>
      </c>
      <c r="G506" s="137">
        <v>3</v>
      </c>
      <c r="H506" s="137">
        <v>2</v>
      </c>
      <c r="J506" s="153">
        <v>1856</v>
      </c>
      <c r="K506" s="137">
        <v>0</v>
      </c>
      <c r="L506" s="137">
        <v>2</v>
      </c>
      <c r="M506" s="137">
        <v>0</v>
      </c>
      <c r="N506" s="137">
        <v>0</v>
      </c>
      <c r="O506" s="137">
        <v>0</v>
      </c>
      <c r="P506" s="137">
        <v>3</v>
      </c>
      <c r="Q506" s="154">
        <f>SUM(K506:O506)</f>
        <v>2</v>
      </c>
    </row>
    <row r="507" spans="1:17" x14ac:dyDescent="0.25">
      <c r="A507" s="137">
        <v>1901</v>
      </c>
      <c r="B507" s="137">
        <v>0</v>
      </c>
      <c r="C507" s="137">
        <v>0</v>
      </c>
      <c r="D507" s="137">
        <v>0</v>
      </c>
      <c r="E507" s="137">
        <v>0</v>
      </c>
      <c r="F507" s="137">
        <v>1</v>
      </c>
      <c r="G507" s="137">
        <v>0</v>
      </c>
      <c r="H507" s="137">
        <v>0</v>
      </c>
      <c r="J507" s="153">
        <v>1901</v>
      </c>
      <c r="K507" s="137">
        <v>0</v>
      </c>
      <c r="L507" s="137">
        <v>0</v>
      </c>
      <c r="M507" s="137">
        <v>0</v>
      </c>
      <c r="N507" s="137">
        <v>0</v>
      </c>
      <c r="O507" s="137">
        <v>1</v>
      </c>
      <c r="P507" s="137">
        <v>0</v>
      </c>
      <c r="Q507" s="154">
        <v>0</v>
      </c>
    </row>
    <row r="508" spans="1:17" x14ac:dyDescent="0.25">
      <c r="A508" s="137">
        <v>1902</v>
      </c>
      <c r="B508" s="137">
        <v>0</v>
      </c>
      <c r="C508" s="137">
        <v>2</v>
      </c>
      <c r="D508" s="137">
        <v>0</v>
      </c>
      <c r="E508" s="137">
        <v>0</v>
      </c>
      <c r="F508" s="137">
        <v>0</v>
      </c>
      <c r="G508" s="137">
        <v>2</v>
      </c>
      <c r="H508" s="137">
        <v>2</v>
      </c>
      <c r="J508" s="153">
        <v>1902</v>
      </c>
      <c r="K508" s="137">
        <v>0</v>
      </c>
      <c r="L508" s="137">
        <v>2</v>
      </c>
      <c r="M508" s="137">
        <v>0</v>
      </c>
      <c r="N508" s="137">
        <v>0</v>
      </c>
      <c r="O508" s="137">
        <v>0</v>
      </c>
      <c r="P508" s="137">
        <v>2</v>
      </c>
      <c r="Q508" s="154">
        <v>2</v>
      </c>
    </row>
    <row r="509" spans="1:17" x14ac:dyDescent="0.25">
      <c r="A509" s="137">
        <v>1904</v>
      </c>
      <c r="B509" s="137">
        <v>0</v>
      </c>
      <c r="C509" s="137">
        <v>0</v>
      </c>
      <c r="D509" s="137">
        <v>0</v>
      </c>
      <c r="E509" s="137">
        <v>0</v>
      </c>
      <c r="F509" s="137">
        <v>1</v>
      </c>
      <c r="G509" s="137">
        <v>0</v>
      </c>
      <c r="H509" s="137">
        <v>0</v>
      </c>
      <c r="J509" s="153">
        <v>1904</v>
      </c>
      <c r="K509" s="137">
        <v>0</v>
      </c>
      <c r="L509" s="137">
        <v>0</v>
      </c>
      <c r="M509" s="137">
        <v>0</v>
      </c>
      <c r="N509" s="137">
        <v>0</v>
      </c>
      <c r="O509" s="137">
        <v>1</v>
      </c>
      <c r="P509" s="137">
        <v>0</v>
      </c>
      <c r="Q509" s="154">
        <v>0</v>
      </c>
    </row>
    <row r="510" spans="1:17" x14ac:dyDescent="0.25">
      <c r="A510" s="137">
        <v>1906</v>
      </c>
      <c r="B510" s="137">
        <v>0</v>
      </c>
      <c r="C510" s="137">
        <v>0</v>
      </c>
      <c r="D510" s="137">
        <v>2</v>
      </c>
      <c r="E510" s="137">
        <v>0</v>
      </c>
      <c r="F510" s="137">
        <v>0</v>
      </c>
      <c r="G510" s="137">
        <v>3</v>
      </c>
      <c r="H510" s="137">
        <v>2</v>
      </c>
      <c r="J510" s="153">
        <v>1906</v>
      </c>
      <c r="K510" s="137">
        <v>0</v>
      </c>
      <c r="L510" s="137">
        <v>0</v>
      </c>
      <c r="M510" s="137">
        <v>2</v>
      </c>
      <c r="N510" s="137">
        <v>0</v>
      </c>
      <c r="O510" s="137">
        <v>0</v>
      </c>
      <c r="P510" s="137">
        <v>3</v>
      </c>
      <c r="Q510" s="154">
        <f>SUM(K510:O510)</f>
        <v>2</v>
      </c>
    </row>
    <row r="511" spans="1:17" x14ac:dyDescent="0.25">
      <c r="A511" s="137">
        <v>1907</v>
      </c>
      <c r="B511" s="137">
        <v>0</v>
      </c>
      <c r="C511" s="137">
        <v>2</v>
      </c>
      <c r="D511" s="137">
        <v>0</v>
      </c>
      <c r="E511" s="137">
        <v>0</v>
      </c>
      <c r="F511" s="137">
        <v>0</v>
      </c>
      <c r="G511" s="137">
        <v>2</v>
      </c>
      <c r="H511" s="137">
        <v>2</v>
      </c>
      <c r="J511" s="153">
        <v>1907</v>
      </c>
      <c r="K511" s="137">
        <v>0</v>
      </c>
      <c r="L511" s="137">
        <v>2</v>
      </c>
      <c r="M511" s="137">
        <v>0</v>
      </c>
      <c r="N511" s="137">
        <v>0</v>
      </c>
      <c r="O511" s="137">
        <v>0</v>
      </c>
      <c r="P511" s="137">
        <v>2</v>
      </c>
      <c r="Q511" s="154">
        <v>2</v>
      </c>
    </row>
    <row r="512" spans="1:17" x14ac:dyDescent="0.25">
      <c r="A512" s="137">
        <v>1909</v>
      </c>
      <c r="B512" s="137">
        <v>0</v>
      </c>
      <c r="C512" s="137">
        <v>2</v>
      </c>
      <c r="D512" s="137">
        <v>0</v>
      </c>
      <c r="E512" s="137">
        <v>0</v>
      </c>
      <c r="F512" s="137">
        <v>0</v>
      </c>
      <c r="G512" s="137">
        <v>2</v>
      </c>
      <c r="H512" s="137">
        <v>2</v>
      </c>
      <c r="J512" s="153">
        <v>1909</v>
      </c>
      <c r="K512" s="137">
        <v>0</v>
      </c>
      <c r="L512" s="137">
        <v>2</v>
      </c>
      <c r="M512" s="137">
        <v>0</v>
      </c>
      <c r="N512" s="137">
        <v>0</v>
      </c>
      <c r="O512" s="137">
        <v>0</v>
      </c>
      <c r="P512" s="137">
        <v>2</v>
      </c>
      <c r="Q512" s="154">
        <v>2</v>
      </c>
    </row>
    <row r="513" spans="1:17" x14ac:dyDescent="0.25">
      <c r="A513" s="137">
        <v>2301</v>
      </c>
      <c r="B513" s="137">
        <v>2</v>
      </c>
      <c r="C513" s="137">
        <v>0</v>
      </c>
      <c r="D513" s="137">
        <v>0</v>
      </c>
      <c r="E513" s="137">
        <v>0</v>
      </c>
      <c r="F513" s="137">
        <v>0</v>
      </c>
      <c r="G513" s="137">
        <v>4</v>
      </c>
      <c r="H513" s="137">
        <v>2</v>
      </c>
      <c r="J513" s="153">
        <v>2301</v>
      </c>
      <c r="K513" s="137">
        <v>2</v>
      </c>
      <c r="L513" s="137">
        <v>0</v>
      </c>
      <c r="M513" s="137">
        <v>0</v>
      </c>
      <c r="N513" s="137">
        <v>0</v>
      </c>
      <c r="O513" s="137">
        <v>0</v>
      </c>
      <c r="P513" s="137">
        <v>4</v>
      </c>
      <c r="Q513" s="154">
        <f>SUM(K513:O513)</f>
        <v>2</v>
      </c>
    </row>
    <row r="514" spans="1:17" x14ac:dyDescent="0.25">
      <c r="A514" s="137">
        <v>2302</v>
      </c>
      <c r="B514" s="137">
        <v>2</v>
      </c>
      <c r="C514" s="137">
        <v>0</v>
      </c>
      <c r="D514" s="137">
        <v>0</v>
      </c>
      <c r="E514" s="137">
        <v>0</v>
      </c>
      <c r="F514" s="137">
        <v>0</v>
      </c>
      <c r="G514" s="137">
        <v>2</v>
      </c>
      <c r="H514" s="137">
        <v>2</v>
      </c>
      <c r="J514" s="153">
        <v>2302</v>
      </c>
      <c r="K514" s="137">
        <v>2</v>
      </c>
      <c r="L514" s="137">
        <v>0</v>
      </c>
      <c r="M514" s="137">
        <v>0</v>
      </c>
      <c r="N514" s="137">
        <v>0</v>
      </c>
      <c r="O514" s="137">
        <v>0</v>
      </c>
      <c r="P514" s="137">
        <v>2</v>
      </c>
      <c r="Q514" s="154">
        <v>2</v>
      </c>
    </row>
    <row r="515" spans="1:17" x14ac:dyDescent="0.25">
      <c r="A515" s="137">
        <v>2303</v>
      </c>
      <c r="B515" s="137">
        <v>2</v>
      </c>
      <c r="C515" s="137">
        <v>0</v>
      </c>
      <c r="D515" s="137">
        <v>0</v>
      </c>
      <c r="E515" s="137">
        <v>0</v>
      </c>
      <c r="F515" s="137">
        <v>0</v>
      </c>
      <c r="G515" s="137">
        <v>3</v>
      </c>
      <c r="H515" s="137">
        <v>2</v>
      </c>
      <c r="J515" s="153">
        <v>2303</v>
      </c>
      <c r="K515" s="137">
        <v>2</v>
      </c>
      <c r="L515" s="137">
        <v>0</v>
      </c>
      <c r="M515" s="137">
        <v>0</v>
      </c>
      <c r="N515" s="137">
        <v>0</v>
      </c>
      <c r="O515" s="137">
        <v>0</v>
      </c>
      <c r="P515" s="137">
        <v>3</v>
      </c>
      <c r="Q515" s="154">
        <f t="shared" ref="Q515:Q516" si="20">SUM(K515:O515)</f>
        <v>2</v>
      </c>
    </row>
    <row r="516" spans="1:17" x14ac:dyDescent="0.25">
      <c r="A516" s="137">
        <v>2304</v>
      </c>
      <c r="B516" s="137">
        <v>2</v>
      </c>
      <c r="C516" s="137">
        <v>0</v>
      </c>
      <c r="D516" s="137">
        <v>0</v>
      </c>
      <c r="E516" s="137">
        <v>0</v>
      </c>
      <c r="F516" s="137">
        <v>0</v>
      </c>
      <c r="G516" s="137">
        <v>3</v>
      </c>
      <c r="H516" s="137">
        <v>2</v>
      </c>
      <c r="J516" s="153">
        <v>2304</v>
      </c>
      <c r="K516" s="137">
        <v>2</v>
      </c>
      <c r="L516" s="137">
        <v>0</v>
      </c>
      <c r="M516" s="137">
        <v>0</v>
      </c>
      <c r="N516" s="137">
        <v>0</v>
      </c>
      <c r="O516" s="137">
        <v>0</v>
      </c>
      <c r="P516" s="137">
        <v>3</v>
      </c>
      <c r="Q516" s="154">
        <f t="shared" si="20"/>
        <v>2</v>
      </c>
    </row>
    <row r="517" spans="1:17" x14ac:dyDescent="0.25">
      <c r="A517" s="137">
        <v>2501</v>
      </c>
      <c r="B517" s="137">
        <v>1</v>
      </c>
      <c r="C517" s="137">
        <v>0</v>
      </c>
      <c r="D517" s="137">
        <v>0</v>
      </c>
      <c r="E517" s="137">
        <v>0</v>
      </c>
      <c r="F517" s="137">
        <v>0</v>
      </c>
      <c r="G517" s="137">
        <v>1</v>
      </c>
      <c r="H517" s="137">
        <v>1</v>
      </c>
      <c r="J517" s="153">
        <v>2501</v>
      </c>
      <c r="K517" s="137">
        <v>1</v>
      </c>
      <c r="L517" s="137">
        <v>0</v>
      </c>
      <c r="M517" s="137">
        <v>0</v>
      </c>
      <c r="N517" s="137">
        <v>0</v>
      </c>
      <c r="O517" s="137">
        <v>0</v>
      </c>
      <c r="P517" s="137">
        <v>1</v>
      </c>
      <c r="Q517" s="154">
        <v>1</v>
      </c>
    </row>
    <row r="518" spans="1:17" x14ac:dyDescent="0.25">
      <c r="A518" s="137">
        <v>2502</v>
      </c>
      <c r="B518" s="137">
        <v>1</v>
      </c>
      <c r="C518" s="137">
        <v>0</v>
      </c>
      <c r="D518" s="137">
        <v>0</v>
      </c>
      <c r="E518" s="137">
        <v>0</v>
      </c>
      <c r="F518" s="137">
        <v>0</v>
      </c>
      <c r="G518" s="137">
        <v>1</v>
      </c>
      <c r="H518" s="137">
        <v>1</v>
      </c>
      <c r="J518" s="153">
        <v>2502</v>
      </c>
      <c r="K518" s="137">
        <v>1</v>
      </c>
      <c r="L518" s="137">
        <v>0</v>
      </c>
      <c r="M518" s="137">
        <v>0</v>
      </c>
      <c r="N518" s="137">
        <v>0</v>
      </c>
      <c r="O518" s="137">
        <v>0</v>
      </c>
      <c r="P518" s="137">
        <v>1</v>
      </c>
      <c r="Q518" s="154">
        <v>1</v>
      </c>
    </row>
    <row r="519" spans="1:17" x14ac:dyDescent="0.25">
      <c r="A519" s="137">
        <v>2504</v>
      </c>
      <c r="B519" s="137">
        <v>1</v>
      </c>
      <c r="C519" s="137">
        <v>0</v>
      </c>
      <c r="D519" s="137">
        <v>0</v>
      </c>
      <c r="E519" s="137">
        <v>0</v>
      </c>
      <c r="F519" s="137">
        <v>0</v>
      </c>
      <c r="G519" s="137">
        <v>1</v>
      </c>
      <c r="H519" s="137">
        <v>1</v>
      </c>
      <c r="J519" s="153">
        <v>2504</v>
      </c>
      <c r="K519" s="137">
        <v>1</v>
      </c>
      <c r="L519" s="137">
        <v>0</v>
      </c>
      <c r="M519" s="137">
        <v>0</v>
      </c>
      <c r="N519" s="137">
        <v>0</v>
      </c>
      <c r="O519" s="137">
        <v>0</v>
      </c>
      <c r="P519" s="137">
        <v>1</v>
      </c>
      <c r="Q519" s="154">
        <v>1</v>
      </c>
    </row>
    <row r="520" spans="1:17" x14ac:dyDescent="0.25">
      <c r="A520" s="137">
        <v>2518</v>
      </c>
      <c r="B520" s="137">
        <v>1</v>
      </c>
      <c r="C520" s="137">
        <v>0</v>
      </c>
      <c r="D520" s="137">
        <v>0</v>
      </c>
      <c r="E520" s="137">
        <v>0</v>
      </c>
      <c r="F520" s="137">
        <v>0</v>
      </c>
      <c r="G520" s="137">
        <v>1</v>
      </c>
      <c r="H520" s="137">
        <v>1</v>
      </c>
      <c r="J520" s="153">
        <v>2518</v>
      </c>
      <c r="K520" s="137">
        <v>1</v>
      </c>
      <c r="L520" s="137">
        <v>0</v>
      </c>
      <c r="M520" s="137">
        <v>0</v>
      </c>
      <c r="N520" s="137">
        <v>0</v>
      </c>
      <c r="O520" s="137">
        <v>0</v>
      </c>
      <c r="P520" s="137">
        <v>1</v>
      </c>
      <c r="Q520" s="154">
        <v>1</v>
      </c>
    </row>
    <row r="521" spans="1:17" x14ac:dyDescent="0.25">
      <c r="A521" s="137">
        <v>2527</v>
      </c>
      <c r="B521" s="137">
        <v>2</v>
      </c>
      <c r="C521" s="137">
        <v>0</v>
      </c>
      <c r="D521" s="137">
        <v>0</v>
      </c>
      <c r="E521" s="137">
        <v>0</v>
      </c>
      <c r="F521" s="137">
        <v>0</v>
      </c>
      <c r="G521" s="137">
        <v>2</v>
      </c>
      <c r="H521" s="137">
        <v>2</v>
      </c>
      <c r="J521" s="153">
        <v>2527</v>
      </c>
      <c r="K521" s="137">
        <v>2</v>
      </c>
      <c r="L521" s="137">
        <v>0</v>
      </c>
      <c r="M521" s="137">
        <v>0</v>
      </c>
      <c r="N521" s="137">
        <v>0</v>
      </c>
      <c r="O521" s="137">
        <v>0</v>
      </c>
      <c r="P521" s="137">
        <v>2</v>
      </c>
      <c r="Q521" s="154">
        <v>2</v>
      </c>
    </row>
    <row r="522" spans="1:17" x14ac:dyDescent="0.25">
      <c r="A522" s="137">
        <v>2528</v>
      </c>
      <c r="B522" s="137">
        <v>2</v>
      </c>
      <c r="C522" s="137">
        <v>0</v>
      </c>
      <c r="D522" s="137">
        <v>0</v>
      </c>
      <c r="E522" s="137">
        <v>0</v>
      </c>
      <c r="F522" s="137">
        <v>0</v>
      </c>
      <c r="G522" s="137">
        <v>2</v>
      </c>
      <c r="H522" s="137">
        <v>2</v>
      </c>
      <c r="J522" s="153">
        <v>2528</v>
      </c>
      <c r="K522" s="137">
        <v>2</v>
      </c>
      <c r="L522" s="137">
        <v>0</v>
      </c>
      <c r="M522" s="137">
        <v>0</v>
      </c>
      <c r="N522" s="137">
        <v>0</v>
      </c>
      <c r="O522" s="137">
        <v>0</v>
      </c>
      <c r="P522" s="137">
        <v>2</v>
      </c>
      <c r="Q522" s="154">
        <v>2</v>
      </c>
    </row>
    <row r="523" spans="1:17" x14ac:dyDescent="0.25">
      <c r="A523" s="137">
        <v>2529</v>
      </c>
      <c r="B523" s="137">
        <v>2</v>
      </c>
      <c r="C523" s="137">
        <v>0</v>
      </c>
      <c r="D523" s="137">
        <v>0</v>
      </c>
      <c r="E523" s="137">
        <v>0</v>
      </c>
      <c r="F523" s="137">
        <v>0</v>
      </c>
      <c r="G523" s="137">
        <v>2</v>
      </c>
      <c r="H523" s="137">
        <v>2</v>
      </c>
      <c r="J523" s="153">
        <v>2529</v>
      </c>
      <c r="K523" s="137">
        <v>2</v>
      </c>
      <c r="L523" s="137">
        <v>0</v>
      </c>
      <c r="M523" s="137">
        <v>0</v>
      </c>
      <c r="N523" s="137">
        <v>0</v>
      </c>
      <c r="O523" s="137">
        <v>0</v>
      </c>
      <c r="P523" s="137">
        <v>2</v>
      </c>
      <c r="Q523" s="154">
        <v>2</v>
      </c>
    </row>
    <row r="524" spans="1:17" x14ac:dyDescent="0.25">
      <c r="A524" s="137">
        <v>2530</v>
      </c>
      <c r="B524" s="137">
        <v>2</v>
      </c>
      <c r="C524" s="137">
        <v>0</v>
      </c>
      <c r="D524" s="137">
        <v>0</v>
      </c>
      <c r="E524" s="137">
        <v>0</v>
      </c>
      <c r="F524" s="137">
        <v>0</v>
      </c>
      <c r="G524" s="137">
        <v>2</v>
      </c>
      <c r="H524" s="137">
        <v>2</v>
      </c>
      <c r="J524" s="153">
        <v>2530</v>
      </c>
      <c r="K524" s="137">
        <v>2</v>
      </c>
      <c r="L524" s="137">
        <v>0</v>
      </c>
      <c r="M524" s="137">
        <v>0</v>
      </c>
      <c r="N524" s="137">
        <v>0</v>
      </c>
      <c r="O524" s="137">
        <v>0</v>
      </c>
      <c r="P524" s="137">
        <v>2</v>
      </c>
      <c r="Q524" s="154">
        <v>2</v>
      </c>
    </row>
    <row r="525" spans="1:17" x14ac:dyDescent="0.25">
      <c r="A525" s="137">
        <v>2531</v>
      </c>
      <c r="B525" s="137">
        <v>2</v>
      </c>
      <c r="C525" s="137">
        <v>0</v>
      </c>
      <c r="D525" s="137">
        <v>0</v>
      </c>
      <c r="E525" s="137">
        <v>0</v>
      </c>
      <c r="F525" s="137">
        <v>0</v>
      </c>
      <c r="G525" s="137">
        <v>2</v>
      </c>
      <c r="H525" s="137">
        <v>2</v>
      </c>
      <c r="J525" s="153">
        <v>2531</v>
      </c>
      <c r="K525" s="137">
        <v>2</v>
      </c>
      <c r="L525" s="137">
        <v>0</v>
      </c>
      <c r="M525" s="137">
        <v>0</v>
      </c>
      <c r="N525" s="137">
        <v>0</v>
      </c>
      <c r="O525" s="137">
        <v>0</v>
      </c>
      <c r="P525" s="137">
        <v>2</v>
      </c>
      <c r="Q525" s="154">
        <v>2</v>
      </c>
    </row>
    <row r="526" spans="1:17" x14ac:dyDescent="0.25">
      <c r="A526" s="137">
        <v>2537</v>
      </c>
      <c r="B526" s="137">
        <v>1</v>
      </c>
      <c r="C526" s="137">
        <v>0</v>
      </c>
      <c r="D526" s="137">
        <v>0</v>
      </c>
      <c r="E526" s="137">
        <v>0</v>
      </c>
      <c r="F526" s="137">
        <v>0</v>
      </c>
      <c r="G526" s="137">
        <v>1</v>
      </c>
      <c r="H526" s="137">
        <v>1</v>
      </c>
      <c r="J526" s="153">
        <v>2537</v>
      </c>
      <c r="K526" s="137">
        <v>1</v>
      </c>
      <c r="L526" s="137">
        <v>0</v>
      </c>
      <c r="M526" s="137">
        <v>0</v>
      </c>
      <c r="N526" s="137">
        <v>0</v>
      </c>
      <c r="O526" s="137">
        <v>0</v>
      </c>
      <c r="P526" s="137">
        <v>1</v>
      </c>
      <c r="Q526" s="154">
        <v>1</v>
      </c>
    </row>
    <row r="527" spans="1:17" x14ac:dyDescent="0.25">
      <c r="A527" s="137">
        <v>2538</v>
      </c>
      <c r="B527" s="137">
        <v>1</v>
      </c>
      <c r="C527" s="137">
        <v>0</v>
      </c>
      <c r="D527" s="137">
        <v>0</v>
      </c>
      <c r="E527" s="137">
        <v>0</v>
      </c>
      <c r="F527" s="137">
        <v>0</v>
      </c>
      <c r="G527" s="137">
        <v>1</v>
      </c>
      <c r="H527" s="137">
        <v>1</v>
      </c>
      <c r="J527" s="153">
        <v>2538</v>
      </c>
      <c r="K527" s="137">
        <v>1</v>
      </c>
      <c r="L527" s="137">
        <v>0</v>
      </c>
      <c r="M527" s="137">
        <v>0</v>
      </c>
      <c r="N527" s="137">
        <v>0</v>
      </c>
      <c r="O527" s="137">
        <v>0</v>
      </c>
      <c r="P527" s="137">
        <v>1</v>
      </c>
      <c r="Q527" s="154">
        <v>1</v>
      </c>
    </row>
    <row r="528" spans="1:17" x14ac:dyDescent="0.25">
      <c r="A528" s="137">
        <v>2545</v>
      </c>
      <c r="B528" s="137">
        <v>2</v>
      </c>
      <c r="C528" s="137">
        <v>0</v>
      </c>
      <c r="D528" s="137">
        <v>0</v>
      </c>
      <c r="E528" s="137">
        <v>0</v>
      </c>
      <c r="F528" s="137">
        <v>0</v>
      </c>
      <c r="G528" s="137">
        <v>2</v>
      </c>
      <c r="H528" s="137">
        <v>2</v>
      </c>
      <c r="J528" s="153">
        <v>2545</v>
      </c>
      <c r="K528" s="137">
        <v>2</v>
      </c>
      <c r="L528" s="137">
        <v>0</v>
      </c>
      <c r="M528" s="137">
        <v>0</v>
      </c>
      <c r="N528" s="137">
        <v>0</v>
      </c>
      <c r="O528" s="137">
        <v>0</v>
      </c>
      <c r="P528" s="137">
        <v>2</v>
      </c>
      <c r="Q528" s="154">
        <v>2</v>
      </c>
    </row>
    <row r="529" spans="1:17" x14ac:dyDescent="0.25">
      <c r="A529" s="137">
        <v>2552</v>
      </c>
      <c r="B529" s="137">
        <v>1</v>
      </c>
      <c r="C529" s="137">
        <v>0</v>
      </c>
      <c r="D529" s="137">
        <v>0</v>
      </c>
      <c r="E529" s="137">
        <v>0</v>
      </c>
      <c r="F529" s="137">
        <v>0</v>
      </c>
      <c r="G529" s="137">
        <v>1</v>
      </c>
      <c r="H529" s="137">
        <v>1</v>
      </c>
      <c r="J529" s="153">
        <v>2552</v>
      </c>
      <c r="K529" s="137">
        <v>1</v>
      </c>
      <c r="L529" s="137">
        <v>0</v>
      </c>
      <c r="M529" s="137">
        <v>0</v>
      </c>
      <c r="N529" s="137">
        <v>0</v>
      </c>
      <c r="O529" s="137">
        <v>0</v>
      </c>
      <c r="P529" s="137">
        <v>1</v>
      </c>
      <c r="Q529" s="154">
        <v>1</v>
      </c>
    </row>
    <row r="530" spans="1:17" x14ac:dyDescent="0.25">
      <c r="A530" s="137">
        <v>2557</v>
      </c>
      <c r="B530" s="137">
        <v>1</v>
      </c>
      <c r="C530" s="137">
        <v>0</v>
      </c>
      <c r="D530" s="137">
        <v>0</v>
      </c>
      <c r="E530" s="137">
        <v>0</v>
      </c>
      <c r="F530" s="137">
        <v>0</v>
      </c>
      <c r="G530" s="137">
        <v>1</v>
      </c>
      <c r="H530" s="137">
        <v>1</v>
      </c>
      <c r="J530" s="153">
        <v>2557</v>
      </c>
      <c r="K530" s="137">
        <v>1</v>
      </c>
      <c r="L530" s="137">
        <v>0</v>
      </c>
      <c r="M530" s="137">
        <v>0</v>
      </c>
      <c r="N530" s="137">
        <v>0</v>
      </c>
      <c r="O530" s="137">
        <v>0</v>
      </c>
      <c r="P530" s="137">
        <v>1</v>
      </c>
      <c r="Q530" s="154">
        <v>1</v>
      </c>
    </row>
    <row r="531" spans="1:17" x14ac:dyDescent="0.25">
      <c r="A531" s="137">
        <v>2559</v>
      </c>
      <c r="B531" s="137">
        <v>2</v>
      </c>
      <c r="C531" s="137">
        <v>0</v>
      </c>
      <c r="D531" s="137">
        <v>0</v>
      </c>
      <c r="E531" s="137">
        <v>0</v>
      </c>
      <c r="F531" s="137">
        <v>0</v>
      </c>
      <c r="G531" s="137">
        <v>2</v>
      </c>
      <c r="H531" s="137">
        <v>2</v>
      </c>
      <c r="J531" s="153">
        <v>2559</v>
      </c>
      <c r="K531" s="137">
        <v>2</v>
      </c>
      <c r="L531" s="137">
        <v>0</v>
      </c>
      <c r="M531" s="137">
        <v>0</v>
      </c>
      <c r="N531" s="137">
        <v>0</v>
      </c>
      <c r="O531" s="137">
        <v>0</v>
      </c>
      <c r="P531" s="137">
        <v>2</v>
      </c>
      <c r="Q531" s="154">
        <v>2</v>
      </c>
    </row>
    <row r="532" spans="1:17" x14ac:dyDescent="0.25">
      <c r="A532" s="137">
        <v>2561</v>
      </c>
      <c r="B532" s="137">
        <v>0</v>
      </c>
      <c r="C532" s="137">
        <v>0</v>
      </c>
      <c r="D532" s="137">
        <v>0</v>
      </c>
      <c r="E532" s="137">
        <v>0</v>
      </c>
      <c r="F532" s="137">
        <v>1</v>
      </c>
      <c r="G532" s="137">
        <v>0</v>
      </c>
      <c r="H532" s="137">
        <v>0</v>
      </c>
      <c r="J532" s="153">
        <v>2561</v>
      </c>
      <c r="K532" s="137">
        <v>0</v>
      </c>
      <c r="L532" s="137">
        <v>0</v>
      </c>
      <c r="M532" s="137">
        <v>0</v>
      </c>
      <c r="N532" s="137">
        <v>0</v>
      </c>
      <c r="O532" s="137">
        <v>1</v>
      </c>
      <c r="P532" s="137">
        <v>0</v>
      </c>
      <c r="Q532" s="154">
        <v>0</v>
      </c>
    </row>
    <row r="533" spans="1:17" x14ac:dyDescent="0.25">
      <c r="A533" s="137">
        <v>2567</v>
      </c>
      <c r="B533" s="137">
        <v>1</v>
      </c>
      <c r="C533" s="137">
        <v>0</v>
      </c>
      <c r="D533" s="137">
        <v>0</v>
      </c>
      <c r="E533" s="137">
        <v>0</v>
      </c>
      <c r="F533" s="137">
        <v>0</v>
      </c>
      <c r="G533" s="137">
        <v>1</v>
      </c>
      <c r="H533" s="137">
        <v>1</v>
      </c>
      <c r="J533" s="153">
        <v>2567</v>
      </c>
      <c r="K533" s="137">
        <v>1</v>
      </c>
      <c r="L533" s="137">
        <v>0</v>
      </c>
      <c r="M533" s="137">
        <v>0</v>
      </c>
      <c r="N533" s="137">
        <v>0</v>
      </c>
      <c r="O533" s="137">
        <v>0</v>
      </c>
      <c r="P533" s="137">
        <v>1</v>
      </c>
      <c r="Q533" s="154">
        <v>1</v>
      </c>
    </row>
    <row r="534" spans="1:17" x14ac:dyDescent="0.25">
      <c r="A534" s="137">
        <v>2568</v>
      </c>
      <c r="B534" s="137">
        <v>1</v>
      </c>
      <c r="C534" s="137">
        <v>0</v>
      </c>
      <c r="D534" s="137">
        <v>0</v>
      </c>
      <c r="E534" s="137">
        <v>0</v>
      </c>
      <c r="F534" s="137">
        <v>0</v>
      </c>
      <c r="G534" s="137">
        <v>1</v>
      </c>
      <c r="H534" s="137">
        <v>1</v>
      </c>
      <c r="J534" s="153">
        <v>2568</v>
      </c>
      <c r="K534" s="137">
        <v>1</v>
      </c>
      <c r="L534" s="137">
        <v>0</v>
      </c>
      <c r="M534" s="137">
        <v>0</v>
      </c>
      <c r="N534" s="137">
        <v>0</v>
      </c>
      <c r="O534" s="137">
        <v>0</v>
      </c>
      <c r="P534" s="137">
        <v>1</v>
      </c>
      <c r="Q534" s="154">
        <v>1</v>
      </c>
    </row>
    <row r="535" spans="1:17" x14ac:dyDescent="0.25">
      <c r="A535" s="137">
        <v>2570</v>
      </c>
      <c r="B535" s="137">
        <v>2</v>
      </c>
      <c r="C535" s="137">
        <v>0</v>
      </c>
      <c r="D535" s="137">
        <v>0</v>
      </c>
      <c r="E535" s="137">
        <v>0</v>
      </c>
      <c r="F535" s="137">
        <v>0</v>
      </c>
      <c r="G535" s="137">
        <v>2</v>
      </c>
      <c r="H535" s="137">
        <v>2</v>
      </c>
      <c r="J535" s="153">
        <v>2570</v>
      </c>
      <c r="K535" s="137">
        <v>2</v>
      </c>
      <c r="L535" s="137">
        <v>0</v>
      </c>
      <c r="M535" s="137">
        <v>0</v>
      </c>
      <c r="N535" s="137">
        <v>0</v>
      </c>
      <c r="O535" s="137">
        <v>0</v>
      </c>
      <c r="P535" s="137">
        <v>2</v>
      </c>
      <c r="Q535" s="154">
        <v>2</v>
      </c>
    </row>
    <row r="536" spans="1:17" x14ac:dyDescent="0.25">
      <c r="A536" s="137">
        <v>2580</v>
      </c>
      <c r="B536" s="137">
        <v>0</v>
      </c>
      <c r="C536" s="137">
        <v>0</v>
      </c>
      <c r="D536" s="137">
        <v>0</v>
      </c>
      <c r="E536" s="137">
        <v>0</v>
      </c>
      <c r="F536" s="137">
        <v>1</v>
      </c>
      <c r="G536" s="137">
        <v>0</v>
      </c>
      <c r="H536" s="137">
        <v>0</v>
      </c>
      <c r="J536" s="153">
        <v>2580</v>
      </c>
      <c r="K536" s="137">
        <v>0</v>
      </c>
      <c r="L536" s="137">
        <v>0</v>
      </c>
      <c r="M536" s="137">
        <v>0</v>
      </c>
      <c r="N536" s="137">
        <v>0</v>
      </c>
      <c r="O536" s="137">
        <v>1</v>
      </c>
      <c r="P536" s="137">
        <v>0</v>
      </c>
      <c r="Q536" s="154">
        <v>0</v>
      </c>
    </row>
    <row r="537" spans="1:17" x14ac:dyDescent="0.25">
      <c r="A537" s="137">
        <v>2642</v>
      </c>
      <c r="B537" s="137">
        <v>1</v>
      </c>
      <c r="C537" s="137">
        <v>0</v>
      </c>
      <c r="D537" s="137">
        <v>0</v>
      </c>
      <c r="E537" s="137">
        <v>0</v>
      </c>
      <c r="F537" s="137">
        <v>0</v>
      </c>
      <c r="G537" s="137">
        <v>1</v>
      </c>
      <c r="H537" s="137">
        <v>1</v>
      </c>
      <c r="J537" s="153">
        <v>2642</v>
      </c>
      <c r="K537" s="137">
        <v>1</v>
      </c>
      <c r="L537" s="137">
        <v>0</v>
      </c>
      <c r="M537" s="137">
        <v>0</v>
      </c>
      <c r="N537" s="137">
        <v>0</v>
      </c>
      <c r="O537" s="137">
        <v>0</v>
      </c>
      <c r="P537" s="137">
        <v>1</v>
      </c>
      <c r="Q537" s="154">
        <v>1</v>
      </c>
    </row>
    <row r="538" spans="1:17" x14ac:dyDescent="0.25">
      <c r="A538" s="137">
        <v>2644</v>
      </c>
      <c r="B538" s="137">
        <v>0</v>
      </c>
      <c r="C538" s="137">
        <v>0</v>
      </c>
      <c r="D538" s="137">
        <v>0</v>
      </c>
      <c r="E538" s="137">
        <v>1</v>
      </c>
      <c r="F538" s="137">
        <v>0</v>
      </c>
      <c r="G538" s="137">
        <v>1</v>
      </c>
      <c r="H538" s="137">
        <v>1</v>
      </c>
      <c r="J538" s="158">
        <v>2644</v>
      </c>
      <c r="K538" s="159">
        <v>0</v>
      </c>
      <c r="L538" s="159">
        <v>0</v>
      </c>
      <c r="M538" s="159">
        <v>0</v>
      </c>
      <c r="N538" s="159">
        <v>1</v>
      </c>
      <c r="O538" s="159">
        <v>0</v>
      </c>
      <c r="P538" s="159">
        <v>1</v>
      </c>
      <c r="Q538" s="160">
        <v>1</v>
      </c>
    </row>
  </sheetData>
  <conditionalFormatting sqref="A4:H538">
    <cfRule type="expression" dxfId="2" priority="2">
      <formula>ISEVEN(ROW())</formula>
    </cfRule>
  </conditionalFormatting>
  <conditionalFormatting sqref="J4:Q538">
    <cfRule type="expression" dxfId="1" priority="1">
      <formula>ISEVEN(ROW())</formula>
    </cfRule>
  </conditionalFormatting>
  <hyperlinks>
    <hyperlink ref="F1" r:id="rId1" display="https://mistercarwash.sharepoint.com/:x:/s/MarketingTeam/IQApru7GeCI7SKDcGMekS1X-ASW7mUge9n39iNzQOZP8lK8?e=69xcQp" xr:uid="{F2D85588-1B59-4F89-B4FE-6FE83A2D5D01}"/>
  </hyperlinks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EEABB-3C3D-4E10-A009-DB22B0E85F7F}">
  <dimension ref="A1:AI198"/>
  <sheetViews>
    <sheetView topLeftCell="D1" workbookViewId="0">
      <selection activeCell="M16" sqref="M16"/>
    </sheetView>
  </sheetViews>
  <sheetFormatPr defaultRowHeight="15.75" x14ac:dyDescent="0.25"/>
  <cols>
    <col min="1" max="1" width="10.75" bestFit="1" customWidth="1"/>
    <col min="2" max="2" width="8.25" bestFit="1" customWidth="1"/>
    <col min="3" max="3" width="23.125" bestFit="1" customWidth="1"/>
    <col min="4" max="4" width="30.75" bestFit="1" customWidth="1"/>
    <col min="5" max="5" width="14.875" bestFit="1" customWidth="1"/>
    <col min="6" max="6" width="17.25" customWidth="1"/>
    <col min="7" max="7" width="17.75" bestFit="1" customWidth="1"/>
    <col min="8" max="8" width="40.375" hidden="1" customWidth="1"/>
    <col min="9" max="9" width="16.75" hidden="1" customWidth="1"/>
    <col min="10" max="10" width="11.375" hidden="1" customWidth="1"/>
    <col min="11" max="11" width="9.875" bestFit="1" customWidth="1"/>
  </cols>
  <sheetData>
    <row r="1" spans="1:35" x14ac:dyDescent="0.25">
      <c r="D1" s="82" t="s">
        <v>4006</v>
      </c>
      <c r="E1" s="25" t="s">
        <v>4007</v>
      </c>
    </row>
    <row r="2" spans="1:35" ht="47.25" x14ac:dyDescent="0.25">
      <c r="O2" s="116" t="s">
        <v>4027</v>
      </c>
      <c r="P2" s="114" t="s">
        <v>4028</v>
      </c>
      <c r="Q2" s="16" t="s">
        <v>4030</v>
      </c>
    </row>
    <row r="3" spans="1:35" ht="31.5" x14ac:dyDescent="0.25">
      <c r="A3" s="92" t="s">
        <v>3724</v>
      </c>
      <c r="B3" s="93" t="s">
        <v>3725</v>
      </c>
      <c r="C3" s="92" t="s">
        <v>3726</v>
      </c>
      <c r="D3" s="92" t="s">
        <v>4</v>
      </c>
      <c r="E3" s="92" t="s">
        <v>3727</v>
      </c>
      <c r="F3" s="92" t="s">
        <v>3728</v>
      </c>
      <c r="G3" s="94" t="s">
        <v>4005</v>
      </c>
      <c r="H3" s="95" t="s">
        <v>3729</v>
      </c>
      <c r="I3" s="96" t="s">
        <v>3730</v>
      </c>
      <c r="J3" s="96" t="s">
        <v>3731</v>
      </c>
      <c r="K3" s="96" t="s">
        <v>3732</v>
      </c>
      <c r="M3" t="str" cm="1">
        <f t="array" ref="M3:M197">_xlfn.UNIQUE(A4:A198)</f>
        <v>2552</v>
      </c>
      <c r="O3" s="117" t="str" cm="1">
        <f t="array" ref="O3:O22">_xlfn.UNIQUE(K4:K198)</f>
        <v>D01</v>
      </c>
      <c r="P3" s="115" t="s">
        <v>4011</v>
      </c>
      <c r="Q3" s="115" t="s">
        <v>4011</v>
      </c>
      <c r="R3" s="115" t="s">
        <v>4018</v>
      </c>
      <c r="S3" s="115" t="s">
        <v>4020</v>
      </c>
      <c r="T3" s="115" t="s">
        <v>4013</v>
      </c>
      <c r="U3" s="115" t="s">
        <v>4022</v>
      </c>
      <c r="V3" s="115" t="s">
        <v>4016</v>
      </c>
      <c r="W3" s="115" t="s">
        <v>3839</v>
      </c>
      <c r="X3" s="115" t="s">
        <v>3929</v>
      </c>
      <c r="Y3" s="115" t="s">
        <v>3951</v>
      </c>
      <c r="Z3" s="115" t="s">
        <v>3955</v>
      </c>
      <c r="AA3" s="115" t="s">
        <v>3845</v>
      </c>
      <c r="AB3" s="115" t="s">
        <v>3945</v>
      </c>
      <c r="AC3" s="115" t="s">
        <v>3739</v>
      </c>
      <c r="AD3" s="115" t="s">
        <v>3802</v>
      </c>
      <c r="AE3" s="115" t="s">
        <v>3963</v>
      </c>
      <c r="AF3" s="115" t="s">
        <v>3851</v>
      </c>
      <c r="AG3" s="115" t="s">
        <v>3776</v>
      </c>
      <c r="AH3" s="115" t="s">
        <v>3969</v>
      </c>
      <c r="AI3" s="115" t="s">
        <v>3828</v>
      </c>
    </row>
    <row r="4" spans="1:35" x14ac:dyDescent="0.25">
      <c r="A4" s="83" t="s">
        <v>3692</v>
      </c>
      <c r="B4" s="83">
        <v>2552</v>
      </c>
      <c r="C4" s="84" t="s">
        <v>3733</v>
      </c>
      <c r="D4" s="85" t="s">
        <v>3734</v>
      </c>
      <c r="E4" s="85" t="s">
        <v>3735</v>
      </c>
      <c r="F4" s="85" t="s">
        <v>3736</v>
      </c>
      <c r="G4" s="86" t="s">
        <v>3737</v>
      </c>
      <c r="H4" s="87"/>
      <c r="I4" s="88" t="s">
        <v>4010</v>
      </c>
      <c r="J4" s="88" t="s">
        <v>3738</v>
      </c>
      <c r="K4" s="88" t="s">
        <v>3739</v>
      </c>
      <c r="M4" t="str">
        <v>1329</v>
      </c>
      <c r="O4" s="117" t="str">
        <v>10F-101</v>
      </c>
      <c r="P4" s="115" t="s">
        <v>4018</v>
      </c>
    </row>
    <row r="5" spans="1:35" x14ac:dyDescent="0.25">
      <c r="A5" s="83" t="s">
        <v>3466</v>
      </c>
      <c r="B5" s="83">
        <v>1329</v>
      </c>
      <c r="C5" s="84" t="s">
        <v>3740</v>
      </c>
      <c r="D5" s="85" t="s">
        <v>3734</v>
      </c>
      <c r="E5" s="85" t="s">
        <v>3735</v>
      </c>
      <c r="F5" s="85" t="s">
        <v>3736</v>
      </c>
      <c r="G5" s="86" t="s">
        <v>3737</v>
      </c>
      <c r="H5" s="87"/>
      <c r="I5" s="88" t="s">
        <v>4010</v>
      </c>
      <c r="J5" s="88" t="s">
        <v>3738</v>
      </c>
      <c r="K5" s="88" t="s">
        <v>3739</v>
      </c>
      <c r="M5" t="str">
        <v>1331</v>
      </c>
      <c r="O5" s="117" t="str">
        <v>E01</v>
      </c>
      <c r="P5" s="115" t="s">
        <v>4020</v>
      </c>
    </row>
    <row r="6" spans="1:35" x14ac:dyDescent="0.25">
      <c r="A6" s="83" t="s">
        <v>3468</v>
      </c>
      <c r="B6" s="83">
        <v>1331</v>
      </c>
      <c r="C6" s="84" t="s">
        <v>3741</v>
      </c>
      <c r="D6" s="85" t="s">
        <v>3734</v>
      </c>
      <c r="E6" s="85" t="s">
        <v>3735</v>
      </c>
      <c r="F6" s="85" t="s">
        <v>3736</v>
      </c>
      <c r="G6" s="86" t="s">
        <v>3737</v>
      </c>
      <c r="H6" s="87"/>
      <c r="I6" s="88" t="s">
        <v>4010</v>
      </c>
      <c r="J6" s="88" t="s">
        <v>3738</v>
      </c>
      <c r="K6" s="88" t="s">
        <v>3739</v>
      </c>
      <c r="M6" t="str">
        <v>2557</v>
      </c>
      <c r="O6" s="117" t="str">
        <v>8D-04</v>
      </c>
      <c r="P6" s="115" t="s">
        <v>4013</v>
      </c>
    </row>
    <row r="7" spans="1:35" x14ac:dyDescent="0.25">
      <c r="A7" s="83" t="s">
        <v>3695</v>
      </c>
      <c r="B7" s="83">
        <v>2557</v>
      </c>
      <c r="C7" s="84" t="s">
        <v>3742</v>
      </c>
      <c r="D7" s="85" t="s">
        <v>3734</v>
      </c>
      <c r="E7" s="85" t="s">
        <v>3735</v>
      </c>
      <c r="F7" s="85" t="s">
        <v>3736</v>
      </c>
      <c r="G7" s="86" t="s">
        <v>3737</v>
      </c>
      <c r="H7" s="87"/>
      <c r="I7" s="88" t="s">
        <v>4010</v>
      </c>
      <c r="J7" s="88" t="s">
        <v>3738</v>
      </c>
      <c r="K7" s="88" t="s">
        <v>3739</v>
      </c>
      <c r="M7" t="str">
        <v>0327</v>
      </c>
      <c r="O7" s="117" t="str">
        <v>D02</v>
      </c>
      <c r="P7" s="115" t="s">
        <v>4022</v>
      </c>
    </row>
    <row r="8" spans="1:35" x14ac:dyDescent="0.25">
      <c r="A8" s="83" t="s">
        <v>550</v>
      </c>
      <c r="B8" s="83">
        <v>327</v>
      </c>
      <c r="C8" s="84" t="s">
        <v>3743</v>
      </c>
      <c r="D8" s="85" t="s">
        <v>3734</v>
      </c>
      <c r="E8" s="89" t="s">
        <v>3735</v>
      </c>
      <c r="F8" s="84" t="s">
        <v>3744</v>
      </c>
      <c r="G8" s="86" t="s">
        <v>3737</v>
      </c>
      <c r="H8" s="87"/>
      <c r="I8" s="88" t="s">
        <v>4010</v>
      </c>
      <c r="J8" s="88" t="s">
        <v>3738</v>
      </c>
      <c r="K8" s="88" t="s">
        <v>3739</v>
      </c>
      <c r="M8" t="str">
        <v>0326</v>
      </c>
      <c r="O8" s="117" t="str">
        <v>8F-304</v>
      </c>
      <c r="P8" s="115" t="s">
        <v>4016</v>
      </c>
    </row>
    <row r="9" spans="1:35" x14ac:dyDescent="0.25">
      <c r="A9" s="83" t="s">
        <v>545</v>
      </c>
      <c r="B9" s="83">
        <v>326</v>
      </c>
      <c r="C9" s="84" t="s">
        <v>3745</v>
      </c>
      <c r="D9" s="85" t="s">
        <v>3734</v>
      </c>
      <c r="E9" s="85" t="s">
        <v>3735</v>
      </c>
      <c r="F9" s="85" t="s">
        <v>3744</v>
      </c>
      <c r="G9" s="86" t="s">
        <v>3737</v>
      </c>
      <c r="H9" s="87"/>
      <c r="I9" s="88" t="s">
        <v>4010</v>
      </c>
      <c r="J9" s="88" t="s">
        <v>3738</v>
      </c>
      <c r="K9" s="88" t="s">
        <v>3739</v>
      </c>
      <c r="M9" t="str">
        <v>0328</v>
      </c>
      <c r="O9" s="117" t="str">
        <v>E07</v>
      </c>
      <c r="P9" s="115" t="s">
        <v>3839</v>
      </c>
    </row>
    <row r="10" spans="1:35" x14ac:dyDescent="0.25">
      <c r="A10" s="83" t="s">
        <v>101</v>
      </c>
      <c r="B10" s="83">
        <v>328</v>
      </c>
      <c r="C10" s="84" t="s">
        <v>3746</v>
      </c>
      <c r="D10" s="85" t="s">
        <v>3734</v>
      </c>
      <c r="E10" s="85" t="s">
        <v>3735</v>
      </c>
      <c r="F10" s="85" t="s">
        <v>3744</v>
      </c>
      <c r="G10" s="86" t="s">
        <v>3737</v>
      </c>
      <c r="H10" s="87"/>
      <c r="I10" s="88" t="s">
        <v>4010</v>
      </c>
      <c r="J10" s="88" t="s">
        <v>3738</v>
      </c>
      <c r="K10" s="88" t="s">
        <v>3739</v>
      </c>
      <c r="M10" t="str">
        <v>1035</v>
      </c>
      <c r="O10" s="117" t="str">
        <v>10F-104</v>
      </c>
      <c r="P10" s="115" t="s">
        <v>3929</v>
      </c>
    </row>
    <row r="11" spans="1:35" x14ac:dyDescent="0.25">
      <c r="A11" s="83" t="s">
        <v>3346</v>
      </c>
      <c r="B11" s="83">
        <v>1035</v>
      </c>
      <c r="C11" s="84" t="s">
        <v>3747</v>
      </c>
      <c r="D11" s="85" t="s">
        <v>3748</v>
      </c>
      <c r="E11" s="85" t="s">
        <v>3735</v>
      </c>
      <c r="F11" s="85" t="s">
        <v>3736</v>
      </c>
      <c r="G11" s="86" t="s">
        <v>3737</v>
      </c>
      <c r="H11" s="90"/>
      <c r="I11" s="88" t="s">
        <v>3856</v>
      </c>
      <c r="J11" s="88" t="s">
        <v>3738</v>
      </c>
      <c r="K11" s="88" t="s">
        <v>3739</v>
      </c>
      <c r="M11" t="str">
        <v>1038</v>
      </c>
      <c r="O11" s="117" t="str">
        <v>A01</v>
      </c>
      <c r="P11" s="115" t="s">
        <v>3951</v>
      </c>
      <c r="S11" t="str" cm="1">
        <f t="array" ref="S11:S17">_xlfn.UNIQUE(G4:G198)</f>
        <v>$9.99 all plans 1 mo.</v>
      </c>
    </row>
    <row r="12" spans="1:35" x14ac:dyDescent="0.25">
      <c r="A12" s="83" t="s">
        <v>3350</v>
      </c>
      <c r="B12" s="83">
        <v>1038</v>
      </c>
      <c r="C12" s="84" t="s">
        <v>3749</v>
      </c>
      <c r="D12" s="85" t="s">
        <v>3748</v>
      </c>
      <c r="E12" s="85" t="s">
        <v>3735</v>
      </c>
      <c r="F12" s="85" t="s">
        <v>3736</v>
      </c>
      <c r="G12" s="86" t="s">
        <v>3737</v>
      </c>
      <c r="H12" s="90"/>
      <c r="I12" s="88" t="s">
        <v>3856</v>
      </c>
      <c r="J12" s="88" t="s">
        <v>3738</v>
      </c>
      <c r="K12" s="88" t="s">
        <v>3739</v>
      </c>
      <c r="M12" t="str">
        <v>1058</v>
      </c>
      <c r="O12" s="117" t="str">
        <v>C01</v>
      </c>
      <c r="P12" s="115" t="s">
        <v>3955</v>
      </c>
      <c r="S12" t="str">
        <v>All Plans PoR 1 mo.</v>
      </c>
    </row>
    <row r="13" spans="1:35" x14ac:dyDescent="0.25">
      <c r="A13" s="83" t="s">
        <v>3366</v>
      </c>
      <c r="B13" s="83">
        <v>1058</v>
      </c>
      <c r="C13" s="84" t="s">
        <v>3750</v>
      </c>
      <c r="D13" s="85" t="s">
        <v>3748</v>
      </c>
      <c r="E13" s="85" t="s">
        <v>3735</v>
      </c>
      <c r="F13" s="85" t="s">
        <v>3736</v>
      </c>
      <c r="G13" s="86" t="s">
        <v>3737</v>
      </c>
      <c r="H13" s="90"/>
      <c r="I13" s="88" t="s">
        <v>3856</v>
      </c>
      <c r="J13" s="88" t="s">
        <v>3738</v>
      </c>
      <c r="K13" s="88" t="s">
        <v>3739</v>
      </c>
      <c r="M13" t="str">
        <v>1016</v>
      </c>
      <c r="O13" s="117" t="str">
        <v>D06</v>
      </c>
      <c r="P13" s="115" t="s">
        <v>3845</v>
      </c>
      <c r="S13" t="str">
        <v>50% off all plan 1 mo.</v>
      </c>
    </row>
    <row r="14" spans="1:35" x14ac:dyDescent="0.25">
      <c r="A14" s="83" t="s">
        <v>3335</v>
      </c>
      <c r="B14" s="83">
        <v>1016</v>
      </c>
      <c r="C14" s="84" t="s">
        <v>3751</v>
      </c>
      <c r="D14" s="85" t="s">
        <v>3748</v>
      </c>
      <c r="E14" s="85" t="s">
        <v>3735</v>
      </c>
      <c r="F14" s="85" t="s">
        <v>3736</v>
      </c>
      <c r="G14" s="86" t="s">
        <v>3737</v>
      </c>
      <c r="H14" s="90"/>
      <c r="I14" s="88" t="s">
        <v>3856</v>
      </c>
      <c r="J14" s="88" t="s">
        <v>3738</v>
      </c>
      <c r="K14" s="88" t="s">
        <v>3739</v>
      </c>
      <c r="M14" t="str">
        <v>1034</v>
      </c>
      <c r="O14" s="117" t="str">
        <v>G</v>
      </c>
      <c r="P14" s="115" t="s">
        <v>3945</v>
      </c>
      <c r="S14" t="str">
        <v>$10 all plans 3 mos.</v>
      </c>
    </row>
    <row r="15" spans="1:35" x14ac:dyDescent="0.25">
      <c r="A15" s="83" t="s">
        <v>3344</v>
      </c>
      <c r="B15" s="83">
        <v>1034</v>
      </c>
      <c r="C15" s="84" t="s">
        <v>3752</v>
      </c>
      <c r="D15" s="85" t="s">
        <v>3748</v>
      </c>
      <c r="E15" s="85" t="s">
        <v>3735</v>
      </c>
      <c r="F15" s="85" t="s">
        <v>3736</v>
      </c>
      <c r="G15" s="86" t="s">
        <v>3737</v>
      </c>
      <c r="H15" s="90"/>
      <c r="I15" s="88" t="s">
        <v>3856</v>
      </c>
      <c r="J15" s="88" t="s">
        <v>3738</v>
      </c>
      <c r="K15" s="88" t="s">
        <v>3739</v>
      </c>
      <c r="M15" t="str">
        <v>1013</v>
      </c>
      <c r="O15" s="117" t="str">
        <v>10F-201</v>
      </c>
      <c r="P15" s="115" t="s">
        <v>3739</v>
      </c>
      <c r="S15" t="str">
        <v>$5, $10, $15</v>
      </c>
    </row>
    <row r="16" spans="1:35" x14ac:dyDescent="0.25">
      <c r="A16" s="83" t="s">
        <v>3332</v>
      </c>
      <c r="B16" s="83">
        <v>1013</v>
      </c>
      <c r="C16" s="84" t="s">
        <v>3753</v>
      </c>
      <c r="D16" s="85" t="s">
        <v>3754</v>
      </c>
      <c r="E16" s="85" t="s">
        <v>3755</v>
      </c>
      <c r="F16" s="85" t="s">
        <v>3736</v>
      </c>
      <c r="G16" s="86" t="s">
        <v>3737</v>
      </c>
      <c r="H16" s="90"/>
      <c r="I16" s="88" t="s">
        <v>3856</v>
      </c>
      <c r="J16" s="88" t="s">
        <v>3738</v>
      </c>
      <c r="K16" s="88" t="s">
        <v>3739</v>
      </c>
      <c r="M16" t="str">
        <v>1018</v>
      </c>
      <c r="O16" s="117" t="str">
        <v>8D-05</v>
      </c>
      <c r="P16" s="115" t="s">
        <v>3802</v>
      </c>
      <c r="S16" t="str">
        <v>$15 off all plans 1 mo.</v>
      </c>
    </row>
    <row r="17" spans="1:19" x14ac:dyDescent="0.25">
      <c r="A17" s="83" t="s">
        <v>3336</v>
      </c>
      <c r="B17" s="83">
        <v>1018</v>
      </c>
      <c r="C17" s="84" t="s">
        <v>3756</v>
      </c>
      <c r="D17" s="85" t="s">
        <v>3754</v>
      </c>
      <c r="E17" s="85" t="s">
        <v>3755</v>
      </c>
      <c r="F17" s="85" t="s">
        <v>3736</v>
      </c>
      <c r="G17" s="86" t="s">
        <v>3737</v>
      </c>
      <c r="H17" s="90"/>
      <c r="I17" s="88" t="s">
        <v>3856</v>
      </c>
      <c r="J17" s="88" t="s">
        <v>3738</v>
      </c>
      <c r="K17" s="88" t="s">
        <v>3739</v>
      </c>
      <c r="M17" t="str">
        <v>1027</v>
      </c>
      <c r="O17" s="117" t="str">
        <v>B01</v>
      </c>
      <c r="P17" s="115" t="s">
        <v>3963</v>
      </c>
      <c r="S17" t="str">
        <v xml:space="preserve">$9.99 all plans 1 mo. </v>
      </c>
    </row>
    <row r="18" spans="1:19" x14ac:dyDescent="0.25">
      <c r="A18" s="83" t="s">
        <v>3340</v>
      </c>
      <c r="B18" s="83">
        <v>1027</v>
      </c>
      <c r="C18" s="84" t="s">
        <v>3757</v>
      </c>
      <c r="D18" s="85" t="s">
        <v>3754</v>
      </c>
      <c r="E18" s="85" t="s">
        <v>3755</v>
      </c>
      <c r="F18" s="85" t="s">
        <v>3736</v>
      </c>
      <c r="G18" s="86" t="s">
        <v>3737</v>
      </c>
      <c r="H18" s="90"/>
      <c r="I18" s="88" t="s">
        <v>3856</v>
      </c>
      <c r="J18" s="88" t="s">
        <v>3738</v>
      </c>
      <c r="K18" s="88" t="s">
        <v>3739</v>
      </c>
      <c r="M18" t="str">
        <v>1037</v>
      </c>
      <c r="O18" s="117" t="str">
        <v>C04</v>
      </c>
      <c r="P18" s="115" t="s">
        <v>3851</v>
      </c>
    </row>
    <row r="19" spans="1:19" x14ac:dyDescent="0.25">
      <c r="A19" s="83" t="s">
        <v>3348</v>
      </c>
      <c r="B19" s="83">
        <v>1037</v>
      </c>
      <c r="C19" s="84" t="s">
        <v>3758</v>
      </c>
      <c r="D19" s="85" t="s">
        <v>3754</v>
      </c>
      <c r="E19" s="85" t="s">
        <v>3755</v>
      </c>
      <c r="F19" s="85" t="s">
        <v>3736</v>
      </c>
      <c r="G19" s="86" t="s">
        <v>3737</v>
      </c>
      <c r="H19" s="90"/>
      <c r="I19" s="88" t="s">
        <v>3856</v>
      </c>
      <c r="J19" s="88" t="s">
        <v>3738</v>
      </c>
      <c r="K19" s="88" t="s">
        <v>3739</v>
      </c>
      <c r="M19" t="str">
        <v>0915</v>
      </c>
      <c r="O19" s="117" t="str">
        <v>B05</v>
      </c>
      <c r="P19" s="115" t="s">
        <v>3776</v>
      </c>
    </row>
    <row r="20" spans="1:19" x14ac:dyDescent="0.25">
      <c r="A20" s="83" t="s">
        <v>731</v>
      </c>
      <c r="B20" s="83">
        <v>915</v>
      </c>
      <c r="C20" s="84" t="s">
        <v>3759</v>
      </c>
      <c r="D20" s="86" t="s">
        <v>3760</v>
      </c>
      <c r="E20" s="89" t="s">
        <v>3755</v>
      </c>
      <c r="F20" s="84" t="s">
        <v>3761</v>
      </c>
      <c r="G20" s="86" t="s">
        <v>3737</v>
      </c>
      <c r="H20" s="90"/>
      <c r="I20" s="88" t="s">
        <v>3856</v>
      </c>
      <c r="J20" s="88" t="s">
        <v>3738</v>
      </c>
      <c r="K20" s="88" t="s">
        <v>3739</v>
      </c>
      <c r="M20" t="str">
        <v>1076</v>
      </c>
      <c r="O20" s="117" t="str">
        <v>B06</v>
      </c>
      <c r="P20" s="115" t="s">
        <v>3969</v>
      </c>
    </row>
    <row r="21" spans="1:19" x14ac:dyDescent="0.25">
      <c r="A21" s="83" t="s">
        <v>3371</v>
      </c>
      <c r="B21" s="83">
        <v>1076</v>
      </c>
      <c r="C21" s="84" t="s">
        <v>3762</v>
      </c>
      <c r="D21" s="85" t="s">
        <v>3760</v>
      </c>
      <c r="E21" s="85" t="s">
        <v>3755</v>
      </c>
      <c r="F21" s="85" t="s">
        <v>3736</v>
      </c>
      <c r="G21" s="86" t="s">
        <v>3737</v>
      </c>
      <c r="H21" s="90" t="s">
        <v>3763</v>
      </c>
      <c r="I21" s="88" t="s">
        <v>3856</v>
      </c>
      <c r="J21" s="88" t="s">
        <v>3738</v>
      </c>
      <c r="K21" s="88" t="s">
        <v>3739</v>
      </c>
      <c r="M21" t="str">
        <v>1039</v>
      </c>
      <c r="O21" s="117" t="str">
        <v>D03</v>
      </c>
      <c r="P21" s="115" t="s">
        <v>3828</v>
      </c>
    </row>
    <row r="22" spans="1:19" x14ac:dyDescent="0.25">
      <c r="A22" s="83" t="s">
        <v>3352</v>
      </c>
      <c r="B22" s="83">
        <v>1039</v>
      </c>
      <c r="C22" s="84" t="s">
        <v>3764</v>
      </c>
      <c r="D22" s="91" t="s">
        <v>3765</v>
      </c>
      <c r="E22" s="85" t="s">
        <v>3755</v>
      </c>
      <c r="F22" s="84" t="s">
        <v>3761</v>
      </c>
      <c r="G22" s="85" t="s">
        <v>3766</v>
      </c>
      <c r="H22" s="90"/>
      <c r="I22" s="88" t="s">
        <v>3856</v>
      </c>
      <c r="J22" s="88" t="s">
        <v>3738</v>
      </c>
      <c r="K22" s="88" t="s">
        <v>4011</v>
      </c>
      <c r="M22" t="str">
        <v>1072</v>
      </c>
      <c r="O22" t="str">
        <v>E03</v>
      </c>
    </row>
    <row r="23" spans="1:19" x14ac:dyDescent="0.25">
      <c r="A23" s="83" t="s">
        <v>3369</v>
      </c>
      <c r="B23" s="83">
        <v>1072</v>
      </c>
      <c r="C23" s="84" t="s">
        <v>3767</v>
      </c>
      <c r="D23" s="85" t="s">
        <v>3765</v>
      </c>
      <c r="E23" s="85" t="s">
        <v>3755</v>
      </c>
      <c r="F23" s="85" t="s">
        <v>3736</v>
      </c>
      <c r="G23" s="85" t="s">
        <v>3766</v>
      </c>
      <c r="H23" s="90"/>
      <c r="I23" s="88" t="s">
        <v>3856</v>
      </c>
      <c r="J23" s="88" t="s">
        <v>3738</v>
      </c>
      <c r="K23" s="88" t="s">
        <v>4011</v>
      </c>
      <c r="M23" t="str">
        <v>1031</v>
      </c>
    </row>
    <row r="24" spans="1:19" x14ac:dyDescent="0.25">
      <c r="A24" s="83" t="s">
        <v>3342</v>
      </c>
      <c r="B24" s="83">
        <v>1031</v>
      </c>
      <c r="C24" s="84" t="s">
        <v>3768</v>
      </c>
      <c r="D24" s="85" t="s">
        <v>3769</v>
      </c>
      <c r="E24" s="85" t="s">
        <v>3755</v>
      </c>
      <c r="F24" s="85" t="s">
        <v>3736</v>
      </c>
      <c r="G24" s="86" t="s">
        <v>3737</v>
      </c>
      <c r="H24" s="90"/>
      <c r="I24" s="88" t="s">
        <v>4010</v>
      </c>
      <c r="J24" s="88" t="s">
        <v>3738</v>
      </c>
      <c r="K24" s="88" t="s">
        <v>3739</v>
      </c>
      <c r="M24" t="str">
        <v>1064</v>
      </c>
    </row>
    <row r="25" spans="1:19" x14ac:dyDescent="0.25">
      <c r="A25" s="83" t="s">
        <v>3367</v>
      </c>
      <c r="B25" s="83">
        <v>1064</v>
      </c>
      <c r="C25" s="84" t="s">
        <v>3770</v>
      </c>
      <c r="D25" s="85" t="s">
        <v>3769</v>
      </c>
      <c r="E25" s="85" t="s">
        <v>3755</v>
      </c>
      <c r="F25" s="85" t="s">
        <v>3736</v>
      </c>
      <c r="G25" s="86" t="s">
        <v>3737</v>
      </c>
      <c r="H25" s="90"/>
      <c r="I25" s="88" t="s">
        <v>4010</v>
      </c>
      <c r="J25" s="88" t="s">
        <v>3738</v>
      </c>
      <c r="K25" s="88" t="s">
        <v>3739</v>
      </c>
      <c r="M25" t="str">
        <v>1019</v>
      </c>
    </row>
    <row r="26" spans="1:19" x14ac:dyDescent="0.25">
      <c r="A26" s="83" t="s">
        <v>3338</v>
      </c>
      <c r="B26" s="83">
        <v>1019</v>
      </c>
      <c r="C26" s="84" t="s">
        <v>3771</v>
      </c>
      <c r="D26" s="85" t="s">
        <v>3769</v>
      </c>
      <c r="E26" s="85" t="s">
        <v>3755</v>
      </c>
      <c r="F26" s="85" t="s">
        <v>3736</v>
      </c>
      <c r="G26" s="86" t="s">
        <v>3737</v>
      </c>
      <c r="H26" s="90"/>
      <c r="I26" s="88" t="s">
        <v>4010</v>
      </c>
      <c r="J26" s="88" t="s">
        <v>3738</v>
      </c>
      <c r="K26" s="88" t="s">
        <v>3739</v>
      </c>
      <c r="M26" t="str">
        <v>0041</v>
      </c>
    </row>
    <row r="27" spans="1:19" x14ac:dyDescent="0.25">
      <c r="A27" s="83" t="s">
        <v>434</v>
      </c>
      <c r="B27" s="83">
        <v>41</v>
      </c>
      <c r="C27" s="84" t="s">
        <v>3772</v>
      </c>
      <c r="D27" s="91" t="s">
        <v>3773</v>
      </c>
      <c r="E27" s="84" t="s">
        <v>3774</v>
      </c>
      <c r="F27" s="84" t="s">
        <v>3761</v>
      </c>
      <c r="G27" s="85" t="s">
        <v>3775</v>
      </c>
      <c r="H27" s="90"/>
      <c r="I27" s="88" t="s">
        <v>3856</v>
      </c>
      <c r="J27" s="88" t="s">
        <v>3738</v>
      </c>
      <c r="K27" s="88" t="s">
        <v>3776</v>
      </c>
      <c r="M27" t="str">
        <v>0042</v>
      </c>
    </row>
    <row r="28" spans="1:19" x14ac:dyDescent="0.25">
      <c r="A28" s="83" t="s">
        <v>42</v>
      </c>
      <c r="B28" s="83">
        <v>42</v>
      </c>
      <c r="C28" s="84" t="s">
        <v>3777</v>
      </c>
      <c r="D28" s="91" t="s">
        <v>3773</v>
      </c>
      <c r="E28" s="84" t="s">
        <v>3774</v>
      </c>
      <c r="F28" s="84" t="s">
        <v>3761</v>
      </c>
      <c r="G28" s="85" t="s">
        <v>3775</v>
      </c>
      <c r="H28" s="90"/>
      <c r="I28" s="88" t="s">
        <v>3856</v>
      </c>
      <c r="J28" s="88" t="s">
        <v>3738</v>
      </c>
      <c r="K28" s="88" t="s">
        <v>3776</v>
      </c>
      <c r="M28" t="str">
        <v>0043</v>
      </c>
    </row>
    <row r="29" spans="1:19" x14ac:dyDescent="0.25">
      <c r="A29" s="83" t="s">
        <v>442</v>
      </c>
      <c r="B29" s="83">
        <v>43</v>
      </c>
      <c r="C29" s="84" t="s">
        <v>3778</v>
      </c>
      <c r="D29" s="91" t="s">
        <v>3773</v>
      </c>
      <c r="E29" s="84" t="s">
        <v>3774</v>
      </c>
      <c r="F29" s="84" t="s">
        <v>3761</v>
      </c>
      <c r="G29" s="85" t="s">
        <v>3775</v>
      </c>
      <c r="H29" s="90"/>
      <c r="I29" s="88" t="s">
        <v>3856</v>
      </c>
      <c r="J29" s="88" t="s">
        <v>3738</v>
      </c>
      <c r="K29" s="88" t="s">
        <v>3776</v>
      </c>
      <c r="M29" t="str">
        <v>0044</v>
      </c>
    </row>
    <row r="30" spans="1:19" x14ac:dyDescent="0.25">
      <c r="A30" s="83" t="s">
        <v>447</v>
      </c>
      <c r="B30" s="83">
        <v>44</v>
      </c>
      <c r="C30" s="84" t="s">
        <v>3777</v>
      </c>
      <c r="D30" s="91" t="s">
        <v>3773</v>
      </c>
      <c r="E30" s="84" t="s">
        <v>3774</v>
      </c>
      <c r="F30" s="84" t="s">
        <v>3761</v>
      </c>
      <c r="G30" s="85" t="s">
        <v>3775</v>
      </c>
      <c r="H30" s="90"/>
      <c r="I30" s="88" t="s">
        <v>3856</v>
      </c>
      <c r="J30" s="88" t="s">
        <v>3738</v>
      </c>
      <c r="K30" s="88" t="s">
        <v>3776</v>
      </c>
      <c r="M30" t="str">
        <v>0045</v>
      </c>
    </row>
    <row r="31" spans="1:19" x14ac:dyDescent="0.25">
      <c r="A31" s="83" t="s">
        <v>453</v>
      </c>
      <c r="B31" s="83">
        <v>45</v>
      </c>
      <c r="C31" s="84" t="s">
        <v>3779</v>
      </c>
      <c r="D31" s="91" t="s">
        <v>3773</v>
      </c>
      <c r="E31" s="84" t="s">
        <v>3774</v>
      </c>
      <c r="F31" s="84" t="s">
        <v>3761</v>
      </c>
      <c r="G31" s="85" t="s">
        <v>3775</v>
      </c>
      <c r="H31" s="90"/>
      <c r="I31" s="88" t="s">
        <v>3856</v>
      </c>
      <c r="J31" s="88" t="s">
        <v>3738</v>
      </c>
      <c r="K31" s="88" t="s">
        <v>3776</v>
      </c>
      <c r="M31" t="str">
        <v>0046</v>
      </c>
    </row>
    <row r="32" spans="1:19" x14ac:dyDescent="0.25">
      <c r="A32" s="83" t="s">
        <v>458</v>
      </c>
      <c r="B32" s="83">
        <v>46</v>
      </c>
      <c r="C32" s="84" t="s">
        <v>3780</v>
      </c>
      <c r="D32" s="91" t="s">
        <v>3773</v>
      </c>
      <c r="E32" s="84" t="s">
        <v>3774</v>
      </c>
      <c r="F32" s="84" t="s">
        <v>3761</v>
      </c>
      <c r="G32" s="85" t="s">
        <v>3775</v>
      </c>
      <c r="H32" s="90"/>
      <c r="I32" s="88" t="s">
        <v>3856</v>
      </c>
      <c r="J32" s="88" t="s">
        <v>3738</v>
      </c>
      <c r="K32" s="88" t="s">
        <v>3776</v>
      </c>
      <c r="M32" t="str">
        <v>0047</v>
      </c>
    </row>
    <row r="33" spans="1:13" x14ac:dyDescent="0.25">
      <c r="A33" s="83" t="s">
        <v>464</v>
      </c>
      <c r="B33" s="83">
        <v>47</v>
      </c>
      <c r="C33" s="84" t="s">
        <v>3781</v>
      </c>
      <c r="D33" s="91" t="s">
        <v>3773</v>
      </c>
      <c r="E33" s="84" t="s">
        <v>3774</v>
      </c>
      <c r="F33" s="84" t="s">
        <v>3761</v>
      </c>
      <c r="G33" s="85" t="s">
        <v>3775</v>
      </c>
      <c r="H33" s="90"/>
      <c r="I33" s="88" t="s">
        <v>3856</v>
      </c>
      <c r="J33" s="88" t="s">
        <v>3738</v>
      </c>
      <c r="K33" s="88" t="s">
        <v>3776</v>
      </c>
      <c r="M33" t="str">
        <v>0051</v>
      </c>
    </row>
    <row r="34" spans="1:13" x14ac:dyDescent="0.25">
      <c r="A34" s="83" t="s">
        <v>470</v>
      </c>
      <c r="B34" s="83">
        <v>51</v>
      </c>
      <c r="C34" s="84" t="s">
        <v>3782</v>
      </c>
      <c r="D34" s="91" t="s">
        <v>3773</v>
      </c>
      <c r="E34" s="84" t="s">
        <v>3774</v>
      </c>
      <c r="F34" s="84" t="s">
        <v>3761</v>
      </c>
      <c r="G34" s="85" t="s">
        <v>3775</v>
      </c>
      <c r="H34" s="90"/>
      <c r="I34" s="88" t="s">
        <v>3856</v>
      </c>
      <c r="J34" s="88" t="s">
        <v>3738</v>
      </c>
      <c r="K34" s="88" t="s">
        <v>3776</v>
      </c>
      <c r="M34" t="str">
        <v>0052</v>
      </c>
    </row>
    <row r="35" spans="1:13" x14ac:dyDescent="0.25">
      <c r="A35" s="83" t="s">
        <v>477</v>
      </c>
      <c r="B35" s="83">
        <v>52</v>
      </c>
      <c r="C35" s="84" t="s">
        <v>3783</v>
      </c>
      <c r="D35" s="91" t="s">
        <v>3773</v>
      </c>
      <c r="E35" s="84" t="s">
        <v>3774</v>
      </c>
      <c r="F35" s="84" t="s">
        <v>3761</v>
      </c>
      <c r="G35" s="85" t="s">
        <v>3775</v>
      </c>
      <c r="H35" s="90"/>
      <c r="I35" s="88" t="s">
        <v>3856</v>
      </c>
      <c r="J35" s="88" t="s">
        <v>3738</v>
      </c>
      <c r="K35" s="88" t="s">
        <v>3776</v>
      </c>
      <c r="M35" t="str">
        <v>0053</v>
      </c>
    </row>
    <row r="36" spans="1:13" x14ac:dyDescent="0.25">
      <c r="A36" s="83" t="s">
        <v>484</v>
      </c>
      <c r="B36" s="83">
        <v>53</v>
      </c>
      <c r="C36" s="84" t="s">
        <v>3784</v>
      </c>
      <c r="D36" s="91" t="s">
        <v>3773</v>
      </c>
      <c r="E36" s="84" t="s">
        <v>3774</v>
      </c>
      <c r="F36" s="84" t="s">
        <v>3761</v>
      </c>
      <c r="G36" s="85" t="s">
        <v>3775</v>
      </c>
      <c r="H36" s="90"/>
      <c r="I36" s="88" t="s">
        <v>3856</v>
      </c>
      <c r="J36" s="88" t="s">
        <v>3738</v>
      </c>
      <c r="K36" s="88" t="s">
        <v>3776</v>
      </c>
      <c r="M36" t="str">
        <v>1484</v>
      </c>
    </row>
    <row r="37" spans="1:13" x14ac:dyDescent="0.25">
      <c r="A37" s="83" t="s">
        <v>3535</v>
      </c>
      <c r="B37" s="83">
        <v>1484</v>
      </c>
      <c r="C37" s="84" t="s">
        <v>3785</v>
      </c>
      <c r="D37" s="85" t="s">
        <v>3786</v>
      </c>
      <c r="E37" s="85" t="s">
        <v>3774</v>
      </c>
      <c r="F37" s="85" t="s">
        <v>3736</v>
      </c>
      <c r="G37" s="86" t="s">
        <v>3737</v>
      </c>
      <c r="H37" s="90"/>
      <c r="I37" s="88" t="s">
        <v>4012</v>
      </c>
      <c r="J37" s="88" t="s">
        <v>3787</v>
      </c>
      <c r="K37" s="88" t="s">
        <v>4013</v>
      </c>
      <c r="M37" t="str">
        <v>1723</v>
      </c>
    </row>
    <row r="38" spans="1:13" x14ac:dyDescent="0.25">
      <c r="A38" s="83" t="s">
        <v>3602</v>
      </c>
      <c r="B38" s="83">
        <v>1723</v>
      </c>
      <c r="C38" s="84" t="s">
        <v>3788</v>
      </c>
      <c r="D38" s="85" t="s">
        <v>3786</v>
      </c>
      <c r="E38" s="85" t="s">
        <v>3774</v>
      </c>
      <c r="F38" s="85" t="s">
        <v>3736</v>
      </c>
      <c r="G38" s="86" t="s">
        <v>3737</v>
      </c>
      <c r="H38" s="90"/>
      <c r="I38" s="88" t="s">
        <v>4012</v>
      </c>
      <c r="J38" s="88" t="s">
        <v>3787</v>
      </c>
      <c r="K38" s="88" t="s">
        <v>4013</v>
      </c>
      <c r="M38" t="str">
        <v>1724</v>
      </c>
    </row>
    <row r="39" spans="1:13" x14ac:dyDescent="0.25">
      <c r="A39" s="83" t="s">
        <v>3603</v>
      </c>
      <c r="B39" s="83">
        <v>1724</v>
      </c>
      <c r="C39" s="84" t="s">
        <v>3789</v>
      </c>
      <c r="D39" s="85" t="s">
        <v>3786</v>
      </c>
      <c r="E39" s="85" t="s">
        <v>3774</v>
      </c>
      <c r="F39" s="85" t="s">
        <v>3736</v>
      </c>
      <c r="G39" s="86" t="s">
        <v>3737</v>
      </c>
      <c r="H39" s="90"/>
      <c r="I39" s="88" t="s">
        <v>3856</v>
      </c>
      <c r="J39" s="88" t="s">
        <v>3738</v>
      </c>
      <c r="K39" s="88" t="s">
        <v>3739</v>
      </c>
      <c r="M39" t="str">
        <v>1721</v>
      </c>
    </row>
    <row r="40" spans="1:13" x14ac:dyDescent="0.25">
      <c r="A40" s="83" t="s">
        <v>3597</v>
      </c>
      <c r="B40" s="83">
        <v>1721</v>
      </c>
      <c r="C40" s="84" t="s">
        <v>3790</v>
      </c>
      <c r="D40" s="89" t="s">
        <v>3791</v>
      </c>
      <c r="E40" s="85" t="s">
        <v>3774</v>
      </c>
      <c r="F40" s="85" t="s">
        <v>3736</v>
      </c>
      <c r="G40" s="86" t="s">
        <v>3737</v>
      </c>
      <c r="H40" s="90"/>
      <c r="I40" s="88" t="s">
        <v>3856</v>
      </c>
      <c r="J40" s="88" t="s">
        <v>3738</v>
      </c>
      <c r="K40" s="88" t="s">
        <v>3739</v>
      </c>
      <c r="M40" t="str">
        <v>1722</v>
      </c>
    </row>
    <row r="41" spans="1:13" x14ac:dyDescent="0.25">
      <c r="A41" s="83" t="s">
        <v>3599</v>
      </c>
      <c r="B41" s="83">
        <v>1722</v>
      </c>
      <c r="C41" s="84" t="s">
        <v>3792</v>
      </c>
      <c r="D41" s="89" t="s">
        <v>3791</v>
      </c>
      <c r="E41" s="85" t="s">
        <v>3774</v>
      </c>
      <c r="F41" s="85" t="s">
        <v>3736</v>
      </c>
      <c r="G41" s="86" t="s">
        <v>3737</v>
      </c>
      <c r="H41" s="90"/>
      <c r="I41" s="88" t="s">
        <v>3856</v>
      </c>
      <c r="J41" s="88" t="s">
        <v>3738</v>
      </c>
      <c r="K41" s="88" t="s">
        <v>3739</v>
      </c>
      <c r="M41" t="str">
        <v>0734</v>
      </c>
    </row>
    <row r="42" spans="1:13" x14ac:dyDescent="0.25">
      <c r="A42" s="83" t="s">
        <v>1514</v>
      </c>
      <c r="B42" s="83">
        <v>734</v>
      </c>
      <c r="C42" s="84" t="s">
        <v>3793</v>
      </c>
      <c r="D42" s="89" t="s">
        <v>3791</v>
      </c>
      <c r="E42" s="85" t="s">
        <v>3774</v>
      </c>
      <c r="F42" s="85" t="s">
        <v>3744</v>
      </c>
      <c r="G42" s="86" t="s">
        <v>3737</v>
      </c>
      <c r="H42" s="90"/>
      <c r="I42" s="88" t="s">
        <v>3856</v>
      </c>
      <c r="J42" s="88" t="s">
        <v>3738</v>
      </c>
      <c r="K42" s="88" t="s">
        <v>3739</v>
      </c>
      <c r="M42" t="str">
        <v>0730</v>
      </c>
    </row>
    <row r="43" spans="1:13" x14ac:dyDescent="0.25">
      <c r="A43" s="83" t="s">
        <v>189</v>
      </c>
      <c r="B43" s="83">
        <v>730</v>
      </c>
      <c r="C43" s="84" t="s">
        <v>3794</v>
      </c>
      <c r="D43" s="89" t="s">
        <v>3791</v>
      </c>
      <c r="E43" s="85" t="s">
        <v>3774</v>
      </c>
      <c r="F43" s="85" t="s">
        <v>3744</v>
      </c>
      <c r="G43" s="86" t="s">
        <v>3737</v>
      </c>
      <c r="H43" s="90"/>
      <c r="I43" s="88" t="s">
        <v>3856</v>
      </c>
      <c r="J43" s="88" t="s">
        <v>3738</v>
      </c>
      <c r="K43" s="88" t="s">
        <v>3739</v>
      </c>
      <c r="M43" t="str">
        <v>0733</v>
      </c>
    </row>
    <row r="44" spans="1:13" x14ac:dyDescent="0.25">
      <c r="A44" s="83" t="s">
        <v>1508</v>
      </c>
      <c r="B44" s="83">
        <v>733</v>
      </c>
      <c r="C44" s="84" t="s">
        <v>3795</v>
      </c>
      <c r="D44" s="89" t="s">
        <v>3791</v>
      </c>
      <c r="E44" s="85" t="s">
        <v>3774</v>
      </c>
      <c r="F44" s="85" t="s">
        <v>3744</v>
      </c>
      <c r="G44" s="86" t="s">
        <v>3737</v>
      </c>
      <c r="H44" s="90"/>
      <c r="I44" s="88" t="s">
        <v>3856</v>
      </c>
      <c r="J44" s="88" t="s">
        <v>3738</v>
      </c>
      <c r="K44" s="88" t="s">
        <v>3739</v>
      </c>
      <c r="M44" t="str">
        <v>0731</v>
      </c>
    </row>
    <row r="45" spans="1:13" x14ac:dyDescent="0.25">
      <c r="A45" s="83" t="s">
        <v>1504</v>
      </c>
      <c r="B45" s="83">
        <v>731</v>
      </c>
      <c r="C45" s="84" t="s">
        <v>3796</v>
      </c>
      <c r="D45" s="86" t="s">
        <v>3797</v>
      </c>
      <c r="E45" s="89" t="s">
        <v>3774</v>
      </c>
      <c r="F45" s="84" t="s">
        <v>3761</v>
      </c>
      <c r="G45" s="86" t="s">
        <v>3737</v>
      </c>
      <c r="H45" s="90"/>
      <c r="I45" s="88" t="s">
        <v>3856</v>
      </c>
      <c r="J45" s="88" t="s">
        <v>3738</v>
      </c>
      <c r="K45" s="88" t="s">
        <v>3739</v>
      </c>
      <c r="M45" t="str">
        <v>0803</v>
      </c>
    </row>
    <row r="46" spans="1:13" x14ac:dyDescent="0.25">
      <c r="A46" s="83" t="s">
        <v>1911</v>
      </c>
      <c r="B46" s="83">
        <v>803</v>
      </c>
      <c r="C46" s="84" t="s">
        <v>3798</v>
      </c>
      <c r="D46" s="86" t="s">
        <v>3799</v>
      </c>
      <c r="E46" s="89" t="s">
        <v>3774</v>
      </c>
      <c r="F46" s="84" t="s">
        <v>3761</v>
      </c>
      <c r="G46" s="86" t="s">
        <v>3737</v>
      </c>
      <c r="H46" s="90"/>
      <c r="I46" s="88" t="s">
        <v>3856</v>
      </c>
      <c r="J46" s="88" t="s">
        <v>3738</v>
      </c>
      <c r="K46" s="88" t="s">
        <v>3739</v>
      </c>
      <c r="M46" t="str">
        <v>1613</v>
      </c>
    </row>
    <row r="47" spans="1:13" x14ac:dyDescent="0.25">
      <c r="A47" s="83" t="s">
        <v>3581</v>
      </c>
      <c r="B47" s="83">
        <v>1613</v>
      </c>
      <c r="C47" s="84" t="s">
        <v>3800</v>
      </c>
      <c r="D47" s="86" t="s">
        <v>3799</v>
      </c>
      <c r="E47" s="89" t="s">
        <v>3774</v>
      </c>
      <c r="F47" s="84" t="s">
        <v>3761</v>
      </c>
      <c r="G47" s="86" t="s">
        <v>3737</v>
      </c>
      <c r="H47" s="90"/>
      <c r="I47" s="88" t="s">
        <v>4014</v>
      </c>
      <c r="J47" s="88" t="s">
        <v>3801</v>
      </c>
      <c r="K47" s="88" t="s">
        <v>3802</v>
      </c>
      <c r="M47" t="str">
        <v>1614</v>
      </c>
    </row>
    <row r="48" spans="1:13" x14ac:dyDescent="0.25">
      <c r="A48" s="83" t="s">
        <v>3583</v>
      </c>
      <c r="B48" s="83">
        <v>1614</v>
      </c>
      <c r="C48" s="84" t="s">
        <v>3803</v>
      </c>
      <c r="D48" s="86" t="s">
        <v>3799</v>
      </c>
      <c r="E48" s="89" t="s">
        <v>3774</v>
      </c>
      <c r="F48" s="84" t="s">
        <v>3761</v>
      </c>
      <c r="G48" s="86" t="s">
        <v>3737</v>
      </c>
      <c r="H48" s="90"/>
      <c r="I48" s="88" t="s">
        <v>4014</v>
      </c>
      <c r="J48" s="88" t="s">
        <v>3801</v>
      </c>
      <c r="K48" s="88" t="s">
        <v>3802</v>
      </c>
      <c r="M48" t="str">
        <v>0609</v>
      </c>
    </row>
    <row r="49" spans="1:13" x14ac:dyDescent="0.25">
      <c r="A49" s="83" t="s">
        <v>1880</v>
      </c>
      <c r="B49" s="83">
        <v>609</v>
      </c>
      <c r="C49" s="84" t="s">
        <v>3804</v>
      </c>
      <c r="D49" s="86" t="s">
        <v>3799</v>
      </c>
      <c r="E49" s="89" t="s">
        <v>3774</v>
      </c>
      <c r="F49" s="84" t="s">
        <v>3761</v>
      </c>
      <c r="G49" s="86" t="s">
        <v>3737</v>
      </c>
      <c r="H49" s="90"/>
      <c r="I49" s="88" t="s">
        <v>4014</v>
      </c>
      <c r="J49" s="88" t="s">
        <v>3801</v>
      </c>
      <c r="K49" s="88" t="s">
        <v>3802</v>
      </c>
      <c r="M49" t="str">
        <v>2580</v>
      </c>
    </row>
    <row r="50" spans="1:13" x14ac:dyDescent="0.25">
      <c r="A50" s="83" t="s">
        <v>3706</v>
      </c>
      <c r="B50" s="83">
        <v>2580</v>
      </c>
      <c r="C50" s="84" t="s">
        <v>3805</v>
      </c>
      <c r="D50" s="86" t="s">
        <v>3799</v>
      </c>
      <c r="E50" s="89" t="s">
        <v>3774</v>
      </c>
      <c r="F50" s="84" t="s">
        <v>3761</v>
      </c>
      <c r="G50" s="86" t="s">
        <v>3737</v>
      </c>
      <c r="H50" s="90"/>
      <c r="I50" s="88" t="s">
        <v>4014</v>
      </c>
      <c r="J50" s="88" t="s">
        <v>3801</v>
      </c>
      <c r="K50" s="88" t="s">
        <v>3802</v>
      </c>
      <c r="M50" t="str">
        <v>1606</v>
      </c>
    </row>
    <row r="51" spans="1:13" x14ac:dyDescent="0.25">
      <c r="A51" s="83" t="s">
        <v>3570</v>
      </c>
      <c r="B51" s="83">
        <v>1606</v>
      </c>
      <c r="C51" s="84" t="s">
        <v>3806</v>
      </c>
      <c r="D51" s="86" t="s">
        <v>3799</v>
      </c>
      <c r="E51" s="85" t="s">
        <v>3774</v>
      </c>
      <c r="F51" s="85" t="s">
        <v>3736</v>
      </c>
      <c r="G51" s="86" t="s">
        <v>3737</v>
      </c>
      <c r="H51" s="90"/>
      <c r="I51" s="88" t="s">
        <v>4014</v>
      </c>
      <c r="J51" s="88" t="s">
        <v>3801</v>
      </c>
      <c r="K51" s="88" t="s">
        <v>3802</v>
      </c>
      <c r="M51" t="str">
        <v>1607</v>
      </c>
    </row>
    <row r="52" spans="1:13" x14ac:dyDescent="0.25">
      <c r="A52" s="83" t="s">
        <v>3572</v>
      </c>
      <c r="B52" s="83">
        <v>1607</v>
      </c>
      <c r="C52" s="84" t="s">
        <v>3807</v>
      </c>
      <c r="D52" s="86" t="s">
        <v>3799</v>
      </c>
      <c r="E52" s="85" t="s">
        <v>3774</v>
      </c>
      <c r="F52" s="85" t="s">
        <v>3736</v>
      </c>
      <c r="G52" s="86" t="s">
        <v>3737</v>
      </c>
      <c r="H52" s="90"/>
      <c r="I52" s="88" t="s">
        <v>4014</v>
      </c>
      <c r="J52" s="88" t="s">
        <v>3801</v>
      </c>
      <c r="K52" s="88" t="s">
        <v>3802</v>
      </c>
      <c r="M52" t="str">
        <v>1609</v>
      </c>
    </row>
    <row r="53" spans="1:13" x14ac:dyDescent="0.25">
      <c r="A53" s="83" t="s">
        <v>3574</v>
      </c>
      <c r="B53" s="83">
        <v>1609</v>
      </c>
      <c r="C53" s="84" t="s">
        <v>3808</v>
      </c>
      <c r="D53" s="86" t="s">
        <v>3799</v>
      </c>
      <c r="E53" s="85" t="s">
        <v>3774</v>
      </c>
      <c r="F53" s="85" t="s">
        <v>3736</v>
      </c>
      <c r="G53" s="86" t="s">
        <v>3737</v>
      </c>
      <c r="H53" s="90"/>
      <c r="I53" s="88" t="s">
        <v>4014</v>
      </c>
      <c r="J53" s="88" t="s">
        <v>3801</v>
      </c>
      <c r="K53" s="88" t="s">
        <v>3802</v>
      </c>
      <c r="M53" t="str">
        <v>1615</v>
      </c>
    </row>
    <row r="54" spans="1:13" x14ac:dyDescent="0.25">
      <c r="A54" s="83" t="s">
        <v>3585</v>
      </c>
      <c r="B54" s="83">
        <v>1615</v>
      </c>
      <c r="C54" s="84" t="s">
        <v>3809</v>
      </c>
      <c r="D54" s="86" t="s">
        <v>3799</v>
      </c>
      <c r="E54" s="85" t="s">
        <v>3774</v>
      </c>
      <c r="F54" s="85" t="s">
        <v>3736</v>
      </c>
      <c r="G54" s="86" t="s">
        <v>3737</v>
      </c>
      <c r="H54" s="90"/>
      <c r="I54" s="88" t="s">
        <v>4014</v>
      </c>
      <c r="J54" s="88" t="s">
        <v>3801</v>
      </c>
      <c r="K54" s="88" t="s">
        <v>3802</v>
      </c>
      <c r="M54" t="str">
        <v>1619</v>
      </c>
    </row>
    <row r="55" spans="1:13" x14ac:dyDescent="0.25">
      <c r="A55" s="83" t="s">
        <v>3589</v>
      </c>
      <c r="B55" s="83">
        <v>1619</v>
      </c>
      <c r="C55" s="84" t="s">
        <v>3810</v>
      </c>
      <c r="D55" s="86" t="s">
        <v>3799</v>
      </c>
      <c r="E55" s="85" t="s">
        <v>3774</v>
      </c>
      <c r="F55" s="85" t="s">
        <v>3736</v>
      </c>
      <c r="G55" s="86" t="s">
        <v>3737</v>
      </c>
      <c r="H55" s="90"/>
      <c r="I55" s="88" t="s">
        <v>4014</v>
      </c>
      <c r="J55" s="88" t="s">
        <v>3801</v>
      </c>
      <c r="K55" s="88" t="s">
        <v>3802</v>
      </c>
      <c r="M55" t="str">
        <v>1622</v>
      </c>
    </row>
    <row r="56" spans="1:13" x14ac:dyDescent="0.25">
      <c r="A56" s="83" t="s">
        <v>3591</v>
      </c>
      <c r="B56" s="83">
        <v>1622</v>
      </c>
      <c r="C56" s="84" t="s">
        <v>3811</v>
      </c>
      <c r="D56" s="86" t="s">
        <v>3799</v>
      </c>
      <c r="E56" s="85" t="s">
        <v>3774</v>
      </c>
      <c r="F56" s="85" t="s">
        <v>3736</v>
      </c>
      <c r="G56" s="86" t="s">
        <v>3737</v>
      </c>
      <c r="H56" s="90"/>
      <c r="I56" s="88" t="s">
        <v>4014</v>
      </c>
      <c r="J56" s="88" t="s">
        <v>3801</v>
      </c>
      <c r="K56" s="88" t="s">
        <v>3802</v>
      </c>
      <c r="M56" t="str">
        <v>2561</v>
      </c>
    </row>
    <row r="57" spans="1:13" x14ac:dyDescent="0.25">
      <c r="A57" s="83" t="s">
        <v>3698</v>
      </c>
      <c r="B57" s="83">
        <v>2561</v>
      </c>
      <c r="C57" s="84" t="s">
        <v>3812</v>
      </c>
      <c r="D57" s="86" t="s">
        <v>3799</v>
      </c>
      <c r="E57" s="85" t="s">
        <v>3774</v>
      </c>
      <c r="F57" s="85" t="s">
        <v>3736</v>
      </c>
      <c r="G57" s="86" t="s">
        <v>3737</v>
      </c>
      <c r="H57" s="90"/>
      <c r="I57" s="88" t="s">
        <v>4014</v>
      </c>
      <c r="J57" s="88" t="s">
        <v>3801</v>
      </c>
      <c r="K57" s="88" t="s">
        <v>3802</v>
      </c>
      <c r="M57" t="str">
        <v>2568</v>
      </c>
    </row>
    <row r="58" spans="1:13" x14ac:dyDescent="0.25">
      <c r="A58" s="83" t="s">
        <v>3703</v>
      </c>
      <c r="B58" s="83">
        <v>2568</v>
      </c>
      <c r="C58" s="84" t="s">
        <v>3813</v>
      </c>
      <c r="D58" s="86" t="s">
        <v>3799</v>
      </c>
      <c r="E58" s="85" t="s">
        <v>3774</v>
      </c>
      <c r="F58" s="85" t="s">
        <v>3736</v>
      </c>
      <c r="G58" s="86" t="s">
        <v>3737</v>
      </c>
      <c r="H58" s="90"/>
      <c r="I58" s="88" t="s">
        <v>4014</v>
      </c>
      <c r="J58" s="88" t="s">
        <v>3801</v>
      </c>
      <c r="K58" s="88" t="s">
        <v>3802</v>
      </c>
      <c r="M58" t="str">
        <v>1752</v>
      </c>
    </row>
    <row r="59" spans="1:13" x14ac:dyDescent="0.25">
      <c r="A59" s="83" t="s">
        <v>3607</v>
      </c>
      <c r="B59" s="83">
        <v>1752</v>
      </c>
      <c r="C59" s="84" t="s">
        <v>3814</v>
      </c>
      <c r="D59" s="86" t="s">
        <v>3815</v>
      </c>
      <c r="E59" s="85" t="s">
        <v>3774</v>
      </c>
      <c r="F59" s="85" t="s">
        <v>3736</v>
      </c>
      <c r="G59" s="85" t="s">
        <v>3766</v>
      </c>
      <c r="H59" s="90"/>
      <c r="I59" s="88" t="s">
        <v>4015</v>
      </c>
      <c r="J59" s="88" t="s">
        <v>3787</v>
      </c>
      <c r="K59" s="88" t="s">
        <v>4016</v>
      </c>
      <c r="M59" t="str">
        <v>2518</v>
      </c>
    </row>
    <row r="60" spans="1:13" x14ac:dyDescent="0.25">
      <c r="A60" s="83" t="s">
        <v>3674</v>
      </c>
      <c r="B60" s="83">
        <v>2518</v>
      </c>
      <c r="C60" s="84" t="s">
        <v>3816</v>
      </c>
      <c r="D60" s="86" t="s">
        <v>3815</v>
      </c>
      <c r="E60" s="85" t="s">
        <v>3774</v>
      </c>
      <c r="F60" s="85" t="s">
        <v>3736</v>
      </c>
      <c r="G60" s="85" t="s">
        <v>3766</v>
      </c>
      <c r="H60" s="90"/>
      <c r="I60" s="88" t="s">
        <v>4015</v>
      </c>
      <c r="J60" s="88" t="s">
        <v>3787</v>
      </c>
      <c r="K60" s="88" t="s">
        <v>4016</v>
      </c>
      <c r="M60" t="str">
        <v>0751</v>
      </c>
    </row>
    <row r="61" spans="1:13" x14ac:dyDescent="0.25">
      <c r="A61" s="83" t="s">
        <v>1929</v>
      </c>
      <c r="B61" s="83">
        <v>751</v>
      </c>
      <c r="C61" s="84" t="s">
        <v>3817</v>
      </c>
      <c r="D61" s="86" t="s">
        <v>3815</v>
      </c>
      <c r="E61" s="89" t="s">
        <v>3774</v>
      </c>
      <c r="F61" s="84" t="s">
        <v>3761</v>
      </c>
      <c r="G61" s="85" t="s">
        <v>3766</v>
      </c>
      <c r="H61" s="90"/>
      <c r="I61" s="88" t="s">
        <v>4015</v>
      </c>
      <c r="J61" s="88" t="s">
        <v>3787</v>
      </c>
      <c r="K61" s="88" t="s">
        <v>4016</v>
      </c>
      <c r="M61" t="str">
        <v>0752</v>
      </c>
    </row>
    <row r="62" spans="1:13" x14ac:dyDescent="0.25">
      <c r="A62" s="83" t="s">
        <v>195</v>
      </c>
      <c r="B62" s="83">
        <v>752</v>
      </c>
      <c r="C62" s="84" t="s">
        <v>3818</v>
      </c>
      <c r="D62" s="86" t="s">
        <v>3815</v>
      </c>
      <c r="E62" s="89" t="s">
        <v>3774</v>
      </c>
      <c r="F62" s="84" t="s">
        <v>3761</v>
      </c>
      <c r="G62" s="85" t="s">
        <v>3766</v>
      </c>
      <c r="H62" s="90"/>
      <c r="I62" s="88" t="s">
        <v>4015</v>
      </c>
      <c r="J62" s="88" t="s">
        <v>3787</v>
      </c>
      <c r="K62" s="88" t="s">
        <v>4016</v>
      </c>
      <c r="M62" t="str">
        <v>0753</v>
      </c>
    </row>
    <row r="63" spans="1:13" x14ac:dyDescent="0.25">
      <c r="A63" s="83" t="s">
        <v>1935</v>
      </c>
      <c r="B63" s="83">
        <v>753</v>
      </c>
      <c r="C63" s="84" t="s">
        <v>3819</v>
      </c>
      <c r="D63" s="86" t="s">
        <v>3815</v>
      </c>
      <c r="E63" s="89" t="s">
        <v>3774</v>
      </c>
      <c r="F63" s="84" t="s">
        <v>3761</v>
      </c>
      <c r="G63" s="85" t="s">
        <v>3766</v>
      </c>
      <c r="H63" s="90"/>
      <c r="I63" s="88" t="s">
        <v>4015</v>
      </c>
      <c r="J63" s="88" t="s">
        <v>3787</v>
      </c>
      <c r="K63" s="88" t="s">
        <v>4016</v>
      </c>
      <c r="M63" t="str">
        <v>0754</v>
      </c>
    </row>
    <row r="64" spans="1:13" x14ac:dyDescent="0.25">
      <c r="A64" s="83" t="s">
        <v>1940</v>
      </c>
      <c r="B64" s="83">
        <v>754</v>
      </c>
      <c r="C64" s="84" t="s">
        <v>3820</v>
      </c>
      <c r="D64" s="86" t="s">
        <v>3815</v>
      </c>
      <c r="E64" s="89" t="s">
        <v>3774</v>
      </c>
      <c r="F64" s="84" t="s">
        <v>3761</v>
      </c>
      <c r="G64" s="85" t="s">
        <v>3766</v>
      </c>
      <c r="H64" s="90"/>
      <c r="I64" s="88" t="s">
        <v>4015</v>
      </c>
      <c r="J64" s="88" t="s">
        <v>3787</v>
      </c>
      <c r="K64" s="88" t="s">
        <v>4016</v>
      </c>
      <c r="M64" t="str">
        <v>0755</v>
      </c>
    </row>
    <row r="65" spans="1:13" x14ac:dyDescent="0.25">
      <c r="A65" s="83" t="s">
        <v>1946</v>
      </c>
      <c r="B65" s="83">
        <v>755</v>
      </c>
      <c r="C65" s="84" t="s">
        <v>3821</v>
      </c>
      <c r="D65" s="86" t="s">
        <v>3815</v>
      </c>
      <c r="E65" s="89" t="s">
        <v>3774</v>
      </c>
      <c r="F65" s="84" t="s">
        <v>3761</v>
      </c>
      <c r="G65" s="85" t="s">
        <v>3766</v>
      </c>
      <c r="H65" s="90"/>
      <c r="I65" s="88" t="s">
        <v>4015</v>
      </c>
      <c r="J65" s="88" t="s">
        <v>3787</v>
      </c>
      <c r="K65" s="88" t="s">
        <v>4016</v>
      </c>
      <c r="M65" t="str">
        <v>0757</v>
      </c>
    </row>
    <row r="66" spans="1:13" x14ac:dyDescent="0.25">
      <c r="A66" s="83" t="s">
        <v>1952</v>
      </c>
      <c r="B66" s="83">
        <v>757</v>
      </c>
      <c r="C66" s="84" t="s">
        <v>3822</v>
      </c>
      <c r="D66" s="86" t="s">
        <v>3815</v>
      </c>
      <c r="E66" s="89" t="s">
        <v>3774</v>
      </c>
      <c r="F66" s="84" t="s">
        <v>3761</v>
      </c>
      <c r="G66" s="85" t="s">
        <v>3766</v>
      </c>
      <c r="H66" s="90"/>
      <c r="I66" s="88" t="s">
        <v>4015</v>
      </c>
      <c r="J66" s="88" t="s">
        <v>3787</v>
      </c>
      <c r="K66" s="88" t="s">
        <v>4016</v>
      </c>
      <c r="M66" t="str">
        <v>1751</v>
      </c>
    </row>
    <row r="67" spans="1:13" x14ac:dyDescent="0.25">
      <c r="A67" s="83" t="s">
        <v>3605</v>
      </c>
      <c r="B67" s="83">
        <v>1751</v>
      </c>
      <c r="C67" s="84" t="s">
        <v>3823</v>
      </c>
      <c r="D67" s="86" t="s">
        <v>3815</v>
      </c>
      <c r="E67" s="89" t="s">
        <v>3774</v>
      </c>
      <c r="F67" s="84" t="s">
        <v>3761</v>
      </c>
      <c r="G67" s="85" t="s">
        <v>3766</v>
      </c>
      <c r="H67" s="90"/>
      <c r="I67" s="88" t="s">
        <v>4015</v>
      </c>
      <c r="J67" s="88" t="s">
        <v>3787</v>
      </c>
      <c r="K67" s="88" t="s">
        <v>4016</v>
      </c>
      <c r="M67" t="str">
        <v>0652</v>
      </c>
    </row>
    <row r="68" spans="1:13" x14ac:dyDescent="0.25">
      <c r="A68" s="83" t="s">
        <v>1559</v>
      </c>
      <c r="B68" s="83">
        <v>652</v>
      </c>
      <c r="C68" s="84" t="s">
        <v>3824</v>
      </c>
      <c r="D68" s="85" t="s">
        <v>3825</v>
      </c>
      <c r="E68" s="85" t="s">
        <v>3826</v>
      </c>
      <c r="F68" s="85" t="s">
        <v>3744</v>
      </c>
      <c r="G68" s="85" t="s">
        <v>3775</v>
      </c>
      <c r="H68" s="90"/>
      <c r="I68" s="88" t="s">
        <v>4017</v>
      </c>
      <c r="J68" s="88" t="s">
        <v>3827</v>
      </c>
      <c r="K68" s="88" t="s">
        <v>3828</v>
      </c>
      <c r="M68" t="str">
        <v>2537</v>
      </c>
    </row>
    <row r="69" spans="1:13" x14ac:dyDescent="0.25">
      <c r="A69" s="83" t="s">
        <v>3686</v>
      </c>
      <c r="B69" s="83">
        <v>2537</v>
      </c>
      <c r="C69" s="84" t="s">
        <v>3829</v>
      </c>
      <c r="D69" s="85" t="s">
        <v>3830</v>
      </c>
      <c r="E69" s="85" t="s">
        <v>3826</v>
      </c>
      <c r="F69" s="85" t="s">
        <v>3736</v>
      </c>
      <c r="G69" s="85" t="s">
        <v>3766</v>
      </c>
      <c r="H69" s="90"/>
      <c r="I69" s="88" t="s">
        <v>4012</v>
      </c>
      <c r="J69" s="88" t="s">
        <v>3787</v>
      </c>
      <c r="K69" s="88" t="s">
        <v>4018</v>
      </c>
      <c r="M69" t="str">
        <v>2538</v>
      </c>
    </row>
    <row r="70" spans="1:13" x14ac:dyDescent="0.25">
      <c r="A70" s="83" t="s">
        <v>3688</v>
      </c>
      <c r="B70" s="83">
        <v>2538</v>
      </c>
      <c r="C70" s="84" t="s">
        <v>3831</v>
      </c>
      <c r="D70" s="85" t="s">
        <v>3830</v>
      </c>
      <c r="E70" s="85" t="s">
        <v>3826</v>
      </c>
      <c r="F70" s="85" t="s">
        <v>3736</v>
      </c>
      <c r="G70" s="85" t="s">
        <v>3766</v>
      </c>
      <c r="H70" s="90"/>
      <c r="I70" s="88" t="s">
        <v>4012</v>
      </c>
      <c r="J70" s="88" t="s">
        <v>3787</v>
      </c>
      <c r="K70" s="88" t="s">
        <v>4018</v>
      </c>
      <c r="M70" t="str">
        <v>2567</v>
      </c>
    </row>
    <row r="71" spans="1:13" x14ac:dyDescent="0.25">
      <c r="A71" s="83" t="s">
        <v>3701</v>
      </c>
      <c r="B71" s="83">
        <v>2567</v>
      </c>
      <c r="C71" s="84" t="s">
        <v>3832</v>
      </c>
      <c r="D71" s="85" t="s">
        <v>3830</v>
      </c>
      <c r="E71" s="85" t="s">
        <v>3826</v>
      </c>
      <c r="F71" s="85" t="s">
        <v>3736</v>
      </c>
      <c r="G71" s="85" t="s">
        <v>3766</v>
      </c>
      <c r="H71" s="90"/>
      <c r="I71" s="88" t="s">
        <v>4012</v>
      </c>
      <c r="J71" s="88" t="s">
        <v>3787</v>
      </c>
      <c r="K71" s="88" t="s">
        <v>4018</v>
      </c>
      <c r="M71" t="str">
        <v>1495</v>
      </c>
    </row>
    <row r="72" spans="1:13" x14ac:dyDescent="0.25">
      <c r="A72" s="83" t="s">
        <v>3539</v>
      </c>
      <c r="B72" s="83">
        <v>1495</v>
      </c>
      <c r="C72" s="84" t="s">
        <v>3833</v>
      </c>
      <c r="D72" s="85" t="s">
        <v>3830</v>
      </c>
      <c r="E72" s="85" t="s">
        <v>3826</v>
      </c>
      <c r="F72" s="85" t="s">
        <v>3736</v>
      </c>
      <c r="G72" s="85" t="s">
        <v>3766</v>
      </c>
      <c r="H72" s="90"/>
      <c r="I72" s="88" t="s">
        <v>3856</v>
      </c>
      <c r="J72" s="88" t="s">
        <v>3738</v>
      </c>
      <c r="K72" s="88" t="s">
        <v>4011</v>
      </c>
      <c r="M72" t="str">
        <v>2570</v>
      </c>
    </row>
    <row r="73" spans="1:13" x14ac:dyDescent="0.25">
      <c r="A73" s="83" t="s">
        <v>3704</v>
      </c>
      <c r="B73" s="83">
        <v>2570</v>
      </c>
      <c r="C73" s="84" t="s">
        <v>3834</v>
      </c>
      <c r="D73" s="85" t="s">
        <v>3830</v>
      </c>
      <c r="E73" s="85" t="s">
        <v>3826</v>
      </c>
      <c r="F73" s="85" t="s">
        <v>3736</v>
      </c>
      <c r="G73" s="85" t="s">
        <v>3766</v>
      </c>
      <c r="H73" s="90"/>
      <c r="I73" s="88" t="s">
        <v>3856</v>
      </c>
      <c r="J73" s="88" t="s">
        <v>3738</v>
      </c>
      <c r="K73" s="88" t="s">
        <v>4011</v>
      </c>
      <c r="M73" t="str">
        <v>1473</v>
      </c>
    </row>
    <row r="74" spans="1:13" x14ac:dyDescent="0.25">
      <c r="A74" s="83" t="s">
        <v>3524</v>
      </c>
      <c r="B74" s="83">
        <v>1473</v>
      </c>
      <c r="C74" s="84" t="s">
        <v>3835</v>
      </c>
      <c r="D74" s="85" t="s">
        <v>3836</v>
      </c>
      <c r="E74" s="85" t="s">
        <v>3826</v>
      </c>
      <c r="F74" s="85" t="s">
        <v>3736</v>
      </c>
      <c r="G74" s="86" t="s">
        <v>3837</v>
      </c>
      <c r="H74" s="90" t="s">
        <v>3838</v>
      </c>
      <c r="I74" s="88" t="s">
        <v>3856</v>
      </c>
      <c r="J74" s="88" t="s">
        <v>3738</v>
      </c>
      <c r="K74" s="88" t="s">
        <v>3839</v>
      </c>
      <c r="M74" t="str">
        <v>1474</v>
      </c>
    </row>
    <row r="75" spans="1:13" x14ac:dyDescent="0.25">
      <c r="A75" s="83" t="s">
        <v>3526</v>
      </c>
      <c r="B75" s="83">
        <v>1474</v>
      </c>
      <c r="C75" s="84" t="s">
        <v>3840</v>
      </c>
      <c r="D75" s="85" t="s">
        <v>3836</v>
      </c>
      <c r="E75" s="85" t="s">
        <v>3826</v>
      </c>
      <c r="F75" s="85" t="s">
        <v>3736</v>
      </c>
      <c r="G75" s="85" t="s">
        <v>3766</v>
      </c>
      <c r="H75" s="90"/>
      <c r="I75" s="88" t="s">
        <v>4012</v>
      </c>
      <c r="J75" s="88" t="s">
        <v>3787</v>
      </c>
      <c r="K75" s="88" t="s">
        <v>4018</v>
      </c>
      <c r="M75" t="str">
        <v>2554</v>
      </c>
    </row>
    <row r="76" spans="1:13" x14ac:dyDescent="0.25">
      <c r="A76" s="83" t="s">
        <v>3693</v>
      </c>
      <c r="B76" s="83">
        <v>2554</v>
      </c>
      <c r="C76" s="84" t="s">
        <v>3841</v>
      </c>
      <c r="D76" s="85" t="s">
        <v>3836</v>
      </c>
      <c r="E76" s="85" t="s">
        <v>3826</v>
      </c>
      <c r="F76" s="85" t="s">
        <v>3736</v>
      </c>
      <c r="G76" s="85" t="s">
        <v>3766</v>
      </c>
      <c r="H76" s="90"/>
      <c r="I76" s="88" t="s">
        <v>4012</v>
      </c>
      <c r="J76" s="88" t="s">
        <v>3787</v>
      </c>
      <c r="K76" s="88" t="s">
        <v>4018</v>
      </c>
      <c r="M76" t="str">
        <v>1464</v>
      </c>
    </row>
    <row r="77" spans="1:13" x14ac:dyDescent="0.25">
      <c r="A77" s="83" t="s">
        <v>3513</v>
      </c>
      <c r="B77" s="83">
        <v>1464</v>
      </c>
      <c r="C77" s="84" t="s">
        <v>3842</v>
      </c>
      <c r="D77" s="91" t="s">
        <v>3843</v>
      </c>
      <c r="E77" s="89" t="s">
        <v>3826</v>
      </c>
      <c r="F77" s="84" t="s">
        <v>3761</v>
      </c>
      <c r="G77" s="86" t="s">
        <v>3844</v>
      </c>
      <c r="H77" s="90"/>
      <c r="I77" s="88" t="s">
        <v>4010</v>
      </c>
      <c r="J77" s="88" t="s">
        <v>3738</v>
      </c>
      <c r="K77" s="88" t="s">
        <v>3845</v>
      </c>
      <c r="M77" t="str">
        <v>1468</v>
      </c>
    </row>
    <row r="78" spans="1:13" x14ac:dyDescent="0.25">
      <c r="A78" s="83" t="s">
        <v>3520</v>
      </c>
      <c r="B78" s="83">
        <v>1468</v>
      </c>
      <c r="C78" s="84" t="s">
        <v>3846</v>
      </c>
      <c r="D78" s="91" t="s">
        <v>3843</v>
      </c>
      <c r="E78" s="89" t="s">
        <v>3826</v>
      </c>
      <c r="F78" s="84" t="s">
        <v>3761</v>
      </c>
      <c r="G78" s="86" t="s">
        <v>3844</v>
      </c>
      <c r="H78" s="90"/>
      <c r="I78" s="88" t="s">
        <v>4010</v>
      </c>
      <c r="J78" s="88" t="s">
        <v>3738</v>
      </c>
      <c r="K78" s="88" t="s">
        <v>3845</v>
      </c>
      <c r="M78" t="str">
        <v>1467</v>
      </c>
    </row>
    <row r="79" spans="1:13" x14ac:dyDescent="0.25">
      <c r="A79" s="83" t="s">
        <v>3518</v>
      </c>
      <c r="B79" s="83">
        <v>1467</v>
      </c>
      <c r="C79" s="84" t="s">
        <v>3847</v>
      </c>
      <c r="D79" s="91" t="s">
        <v>3843</v>
      </c>
      <c r="E79" s="89" t="s">
        <v>3826</v>
      </c>
      <c r="F79" s="84" t="s">
        <v>3761</v>
      </c>
      <c r="G79" s="86" t="s">
        <v>3844</v>
      </c>
      <c r="H79" s="90"/>
      <c r="I79" s="88" t="s">
        <v>4010</v>
      </c>
      <c r="J79" s="88" t="s">
        <v>3738</v>
      </c>
      <c r="K79" s="88" t="s">
        <v>3845</v>
      </c>
      <c r="M79" t="str">
        <v>1686</v>
      </c>
    </row>
    <row r="80" spans="1:13" x14ac:dyDescent="0.25">
      <c r="A80" s="83" t="s">
        <v>3593</v>
      </c>
      <c r="B80" s="83">
        <v>1686</v>
      </c>
      <c r="C80" s="84" t="s">
        <v>3848</v>
      </c>
      <c r="D80" s="85" t="s">
        <v>3849</v>
      </c>
      <c r="E80" s="85" t="s">
        <v>3826</v>
      </c>
      <c r="F80" s="85" t="s">
        <v>3736</v>
      </c>
      <c r="G80" s="86" t="s">
        <v>3737</v>
      </c>
      <c r="H80" s="90"/>
      <c r="I80" s="88" t="s">
        <v>4019</v>
      </c>
      <c r="J80" s="88" t="s">
        <v>3850</v>
      </c>
      <c r="K80" s="88" t="s">
        <v>3851</v>
      </c>
      <c r="M80" t="str">
        <v>1687</v>
      </c>
    </row>
    <row r="81" spans="1:13" x14ac:dyDescent="0.25">
      <c r="A81" s="83" t="s">
        <v>3595</v>
      </c>
      <c r="B81" s="83">
        <v>1687</v>
      </c>
      <c r="C81" s="84" t="s">
        <v>3852</v>
      </c>
      <c r="D81" s="85" t="s">
        <v>3849</v>
      </c>
      <c r="E81" s="85" t="s">
        <v>3826</v>
      </c>
      <c r="F81" s="85" t="s">
        <v>3736</v>
      </c>
      <c r="G81" s="86" t="s">
        <v>3737</v>
      </c>
      <c r="H81" s="90"/>
      <c r="I81" s="88" t="s">
        <v>4019</v>
      </c>
      <c r="J81" s="88" t="s">
        <v>3850</v>
      </c>
      <c r="K81" s="88" t="s">
        <v>3851</v>
      </c>
      <c r="M81" t="str">
        <v>0834</v>
      </c>
    </row>
    <row r="82" spans="1:13" x14ac:dyDescent="0.25">
      <c r="A82" s="83" t="s">
        <v>2144</v>
      </c>
      <c r="B82" s="83">
        <v>834</v>
      </c>
      <c r="C82" s="84" t="s">
        <v>3853</v>
      </c>
      <c r="D82" s="91" t="s">
        <v>3854</v>
      </c>
      <c r="E82" s="84" t="s">
        <v>3826</v>
      </c>
      <c r="F82" s="84" t="s">
        <v>3761</v>
      </c>
      <c r="G82" s="85" t="s">
        <v>3775</v>
      </c>
      <c r="H82" s="90"/>
      <c r="I82" s="88" t="s">
        <v>3856</v>
      </c>
      <c r="J82" s="88" t="s">
        <v>3738</v>
      </c>
      <c r="K82" s="88" t="s">
        <v>3776</v>
      </c>
      <c r="M82" t="str">
        <v>0847</v>
      </c>
    </row>
    <row r="83" spans="1:13" x14ac:dyDescent="0.25">
      <c r="A83" s="83" t="s">
        <v>2969</v>
      </c>
      <c r="B83" s="83">
        <v>847</v>
      </c>
      <c r="C83" s="84" t="s">
        <v>3855</v>
      </c>
      <c r="D83" s="91" t="s">
        <v>3854</v>
      </c>
      <c r="E83" s="84" t="s">
        <v>3826</v>
      </c>
      <c r="F83" s="85" t="s">
        <v>3736</v>
      </c>
      <c r="G83" s="85" t="s">
        <v>3775</v>
      </c>
      <c r="H83" s="90"/>
      <c r="I83" s="88" t="s">
        <v>3856</v>
      </c>
      <c r="J83" s="88" t="s">
        <v>3738</v>
      </c>
      <c r="K83" s="88" t="s">
        <v>3776</v>
      </c>
      <c r="M83" t="str">
        <v>0832</v>
      </c>
    </row>
    <row r="84" spans="1:13" x14ac:dyDescent="0.25">
      <c r="A84" s="83" t="s">
        <v>2134</v>
      </c>
      <c r="B84" s="83">
        <v>832</v>
      </c>
      <c r="C84" s="84" t="s">
        <v>3857</v>
      </c>
      <c r="D84" s="91" t="s">
        <v>3854</v>
      </c>
      <c r="E84" s="84" t="s">
        <v>3826</v>
      </c>
      <c r="F84" s="84" t="s">
        <v>3744</v>
      </c>
      <c r="G84" s="85" t="s">
        <v>3775</v>
      </c>
      <c r="H84" s="90"/>
      <c r="I84" s="88" t="s">
        <v>3856</v>
      </c>
      <c r="J84" s="88" t="s">
        <v>3738</v>
      </c>
      <c r="K84" s="88" t="s">
        <v>3776</v>
      </c>
      <c r="M84" t="str">
        <v>0835</v>
      </c>
    </row>
    <row r="85" spans="1:13" x14ac:dyDescent="0.25">
      <c r="A85" s="83" t="s">
        <v>2150</v>
      </c>
      <c r="B85" s="83">
        <v>835</v>
      </c>
      <c r="C85" s="84" t="s">
        <v>3858</v>
      </c>
      <c r="D85" s="91" t="s">
        <v>3854</v>
      </c>
      <c r="E85" s="84" t="s">
        <v>3826</v>
      </c>
      <c r="F85" s="85" t="s">
        <v>3744</v>
      </c>
      <c r="G85" s="85" t="s">
        <v>3775</v>
      </c>
      <c r="H85" s="90"/>
      <c r="I85" s="88" t="s">
        <v>3856</v>
      </c>
      <c r="J85" s="88" t="s">
        <v>3738</v>
      </c>
      <c r="K85" s="88" t="s">
        <v>3776</v>
      </c>
      <c r="M85" t="str">
        <v>0846</v>
      </c>
    </row>
    <row r="86" spans="1:13" x14ac:dyDescent="0.25">
      <c r="A86" s="83" t="s">
        <v>2207</v>
      </c>
      <c r="B86" s="83">
        <v>846</v>
      </c>
      <c r="C86" s="84" t="s">
        <v>3859</v>
      </c>
      <c r="D86" s="91" t="s">
        <v>3854</v>
      </c>
      <c r="E86" s="84" t="s">
        <v>3826</v>
      </c>
      <c r="F86" s="84" t="s">
        <v>3744</v>
      </c>
      <c r="G86" s="85" t="s">
        <v>3775</v>
      </c>
      <c r="H86" s="90"/>
      <c r="I86" s="88" t="s">
        <v>3856</v>
      </c>
      <c r="J86" s="88" t="s">
        <v>3738</v>
      </c>
      <c r="K86" s="88" t="s">
        <v>3776</v>
      </c>
      <c r="M86" t="str">
        <v>0844</v>
      </c>
    </row>
    <row r="87" spans="1:13" x14ac:dyDescent="0.25">
      <c r="A87" s="83" t="s">
        <v>2194</v>
      </c>
      <c r="B87" s="83">
        <v>844</v>
      </c>
      <c r="C87" s="84" t="s">
        <v>3860</v>
      </c>
      <c r="D87" s="91" t="s">
        <v>3854</v>
      </c>
      <c r="E87" s="84" t="s">
        <v>3826</v>
      </c>
      <c r="F87" s="85" t="s">
        <v>3744</v>
      </c>
      <c r="G87" s="85" t="s">
        <v>3775</v>
      </c>
      <c r="H87" s="90"/>
      <c r="I87" s="88" t="s">
        <v>3856</v>
      </c>
      <c r="J87" s="88" t="s">
        <v>3738</v>
      </c>
      <c r="K87" s="88" t="s">
        <v>3776</v>
      </c>
      <c r="M87" t="str">
        <v>0837</v>
      </c>
    </row>
    <row r="88" spans="1:13" x14ac:dyDescent="0.25">
      <c r="A88" s="83" t="s">
        <v>2162</v>
      </c>
      <c r="B88" s="83">
        <v>837</v>
      </c>
      <c r="C88" s="84" t="s">
        <v>3861</v>
      </c>
      <c r="D88" s="91" t="s">
        <v>3854</v>
      </c>
      <c r="E88" s="84" t="s">
        <v>3826</v>
      </c>
      <c r="F88" s="85" t="s">
        <v>3744</v>
      </c>
      <c r="G88" s="85" t="s">
        <v>3775</v>
      </c>
      <c r="H88" s="90"/>
      <c r="I88" s="88" t="s">
        <v>3856</v>
      </c>
      <c r="J88" s="88" t="s">
        <v>3738</v>
      </c>
      <c r="K88" s="88" t="s">
        <v>3776</v>
      </c>
      <c r="M88" t="str">
        <v>0481</v>
      </c>
    </row>
    <row r="89" spans="1:13" x14ac:dyDescent="0.25">
      <c r="A89" s="83" t="s">
        <v>2871</v>
      </c>
      <c r="B89" s="83">
        <v>481</v>
      </c>
      <c r="C89" s="84" t="s">
        <v>3862</v>
      </c>
      <c r="D89" s="91" t="s">
        <v>3863</v>
      </c>
      <c r="E89" s="89" t="s">
        <v>3826</v>
      </c>
      <c r="F89" s="84" t="s">
        <v>3761</v>
      </c>
      <c r="G89" s="86" t="s">
        <v>3837</v>
      </c>
      <c r="H89" s="90" t="s">
        <v>3870</v>
      </c>
      <c r="I89" s="88" t="s">
        <v>3856</v>
      </c>
      <c r="J89" s="88" t="s">
        <v>3738</v>
      </c>
      <c r="K89" s="88" t="s">
        <v>4062</v>
      </c>
      <c r="M89" t="str">
        <v>0482</v>
      </c>
    </row>
    <row r="90" spans="1:13" x14ac:dyDescent="0.25">
      <c r="A90" s="83" t="s">
        <v>2875</v>
      </c>
      <c r="B90" s="83">
        <v>482</v>
      </c>
      <c r="C90" s="84" t="s">
        <v>3864</v>
      </c>
      <c r="D90" s="91" t="s">
        <v>3863</v>
      </c>
      <c r="E90" s="89" t="s">
        <v>3826</v>
      </c>
      <c r="F90" s="84" t="s">
        <v>3761</v>
      </c>
      <c r="G90" s="86" t="s">
        <v>3837</v>
      </c>
      <c r="H90" s="90" t="s">
        <v>3870</v>
      </c>
      <c r="I90" s="88" t="s">
        <v>3856</v>
      </c>
      <c r="J90" s="88" t="s">
        <v>3738</v>
      </c>
      <c r="K90" s="88" t="s">
        <v>4062</v>
      </c>
      <c r="M90" t="str">
        <v>1458</v>
      </c>
    </row>
    <row r="91" spans="1:13" x14ac:dyDescent="0.25">
      <c r="A91" s="83" t="s">
        <v>3506</v>
      </c>
      <c r="B91" s="83">
        <v>1458</v>
      </c>
      <c r="C91" s="84" t="s">
        <v>3865</v>
      </c>
      <c r="D91" s="85" t="s">
        <v>3863</v>
      </c>
      <c r="E91" s="85" t="s">
        <v>3826</v>
      </c>
      <c r="F91" s="85" t="s">
        <v>3736</v>
      </c>
      <c r="G91" s="86" t="s">
        <v>3837</v>
      </c>
      <c r="H91" s="90" t="s">
        <v>3838</v>
      </c>
      <c r="I91" s="88" t="s">
        <v>4010</v>
      </c>
      <c r="J91" s="88" t="s">
        <v>3738</v>
      </c>
      <c r="K91" s="88" t="s">
        <v>3839</v>
      </c>
      <c r="M91" t="str">
        <v>1453</v>
      </c>
    </row>
    <row r="92" spans="1:13" x14ac:dyDescent="0.25">
      <c r="A92" s="83" t="s">
        <v>3502</v>
      </c>
      <c r="B92" s="83">
        <v>1453</v>
      </c>
      <c r="C92" s="84" t="s">
        <v>3866</v>
      </c>
      <c r="D92" s="85" t="s">
        <v>3863</v>
      </c>
      <c r="E92" s="85" t="s">
        <v>3826</v>
      </c>
      <c r="F92" s="85" t="s">
        <v>3736</v>
      </c>
      <c r="G92" s="86" t="s">
        <v>3837</v>
      </c>
      <c r="H92" s="90" t="s">
        <v>3838</v>
      </c>
      <c r="I92" s="88" t="s">
        <v>4010</v>
      </c>
      <c r="J92" s="88" t="s">
        <v>3738</v>
      </c>
      <c r="K92" s="88" t="s">
        <v>3839</v>
      </c>
      <c r="M92" t="str">
        <v>0492</v>
      </c>
    </row>
    <row r="93" spans="1:13" x14ac:dyDescent="0.25">
      <c r="A93" s="83" t="s">
        <v>2883</v>
      </c>
      <c r="B93" s="83">
        <v>492</v>
      </c>
      <c r="C93" s="84" t="s">
        <v>3867</v>
      </c>
      <c r="D93" s="86" t="s">
        <v>3863</v>
      </c>
      <c r="E93" s="89" t="s">
        <v>3826</v>
      </c>
      <c r="F93" s="84" t="s">
        <v>3744</v>
      </c>
      <c r="G93" s="86" t="s">
        <v>3837</v>
      </c>
      <c r="H93" s="90" t="s">
        <v>3838</v>
      </c>
      <c r="I93" s="88" t="s">
        <v>4010</v>
      </c>
      <c r="J93" s="88" t="s">
        <v>3738</v>
      </c>
      <c r="K93" s="88" t="s">
        <v>3839</v>
      </c>
      <c r="M93" t="str">
        <v>0495</v>
      </c>
    </row>
    <row r="94" spans="1:13" x14ac:dyDescent="0.25">
      <c r="A94" s="83" t="s">
        <v>2948</v>
      </c>
      <c r="B94" s="83">
        <v>495</v>
      </c>
      <c r="C94" s="84" t="s">
        <v>3868</v>
      </c>
      <c r="D94" s="91" t="s">
        <v>3869</v>
      </c>
      <c r="E94" s="89" t="s">
        <v>3826</v>
      </c>
      <c r="F94" s="84" t="s">
        <v>3761</v>
      </c>
      <c r="G94" s="86" t="s">
        <v>3837</v>
      </c>
      <c r="H94" s="90" t="s">
        <v>3838</v>
      </c>
      <c r="I94" s="88" t="s">
        <v>3856</v>
      </c>
      <c r="J94" s="88" t="s">
        <v>3738</v>
      </c>
      <c r="K94" s="88" t="s">
        <v>3839</v>
      </c>
      <c r="M94" t="str">
        <v>0493</v>
      </c>
    </row>
    <row r="95" spans="1:13" x14ac:dyDescent="0.25">
      <c r="A95" s="83" t="s">
        <v>2937</v>
      </c>
      <c r="B95" s="83">
        <v>493</v>
      </c>
      <c r="C95" s="84" t="s">
        <v>3871</v>
      </c>
      <c r="D95" s="91" t="s">
        <v>3869</v>
      </c>
      <c r="E95" s="89" t="s">
        <v>3826</v>
      </c>
      <c r="F95" s="84" t="s">
        <v>3761</v>
      </c>
      <c r="G95" s="86" t="s">
        <v>3837</v>
      </c>
      <c r="H95" s="90" t="s">
        <v>3838</v>
      </c>
      <c r="I95" s="88" t="s">
        <v>3856</v>
      </c>
      <c r="J95" s="88" t="s">
        <v>3738</v>
      </c>
      <c r="K95" s="88" t="s">
        <v>3839</v>
      </c>
      <c r="M95" t="str">
        <v>1480</v>
      </c>
    </row>
    <row r="96" spans="1:13" x14ac:dyDescent="0.25">
      <c r="A96" s="83" t="s">
        <v>3530</v>
      </c>
      <c r="B96" s="83">
        <v>1480</v>
      </c>
      <c r="C96" s="84" t="s">
        <v>3872</v>
      </c>
      <c r="D96" s="85" t="s">
        <v>3869</v>
      </c>
      <c r="E96" s="85" t="s">
        <v>3826</v>
      </c>
      <c r="F96" s="85" t="s">
        <v>3736</v>
      </c>
      <c r="G96" s="86" t="s">
        <v>3837</v>
      </c>
      <c r="H96" s="90" t="s">
        <v>3838</v>
      </c>
      <c r="I96" s="88" t="s">
        <v>3856</v>
      </c>
      <c r="J96" s="88" t="s">
        <v>3738</v>
      </c>
      <c r="K96" s="88" t="s">
        <v>3839</v>
      </c>
      <c r="M96" t="str">
        <v>1481</v>
      </c>
    </row>
    <row r="97" spans="1:13" x14ac:dyDescent="0.25">
      <c r="A97" s="83" t="s">
        <v>3532</v>
      </c>
      <c r="B97" s="83">
        <v>1481</v>
      </c>
      <c r="C97" s="84" t="s">
        <v>3873</v>
      </c>
      <c r="D97" s="85" t="s">
        <v>3869</v>
      </c>
      <c r="E97" s="85" t="s">
        <v>3826</v>
      </c>
      <c r="F97" s="85" t="s">
        <v>3736</v>
      </c>
      <c r="G97" s="86" t="s">
        <v>3837</v>
      </c>
      <c r="H97" s="90" t="s">
        <v>3838</v>
      </c>
      <c r="I97" s="88" t="s">
        <v>3856</v>
      </c>
      <c r="J97" s="88" t="s">
        <v>3738</v>
      </c>
      <c r="K97" s="88" t="s">
        <v>3839</v>
      </c>
      <c r="M97" t="str">
        <v>1494</v>
      </c>
    </row>
    <row r="98" spans="1:13" x14ac:dyDescent="0.25">
      <c r="A98" s="83" t="s">
        <v>3537</v>
      </c>
      <c r="B98" s="83">
        <v>1494</v>
      </c>
      <c r="C98" s="84" t="s">
        <v>3874</v>
      </c>
      <c r="D98" s="85" t="s">
        <v>3869</v>
      </c>
      <c r="E98" s="85" t="s">
        <v>3826</v>
      </c>
      <c r="F98" s="85" t="s">
        <v>3736</v>
      </c>
      <c r="G98" s="86" t="s">
        <v>3837</v>
      </c>
      <c r="H98" s="90" t="s">
        <v>3838</v>
      </c>
      <c r="I98" s="88" t="s">
        <v>3856</v>
      </c>
      <c r="J98" s="88" t="s">
        <v>3738</v>
      </c>
      <c r="K98" s="88" t="s">
        <v>3839</v>
      </c>
      <c r="M98" t="str">
        <v>0494</v>
      </c>
    </row>
    <row r="99" spans="1:13" x14ac:dyDescent="0.25">
      <c r="A99" s="83" t="s">
        <v>2943</v>
      </c>
      <c r="B99" s="83">
        <v>494</v>
      </c>
      <c r="C99" s="84" t="s">
        <v>3875</v>
      </c>
      <c r="D99" s="85" t="s">
        <v>3869</v>
      </c>
      <c r="E99" s="85" t="s">
        <v>3826</v>
      </c>
      <c r="F99" s="85" t="s">
        <v>3744</v>
      </c>
      <c r="G99" s="86" t="s">
        <v>3837</v>
      </c>
      <c r="H99" s="90" t="s">
        <v>3838</v>
      </c>
      <c r="I99" s="88" t="s">
        <v>3856</v>
      </c>
      <c r="J99" s="88" t="s">
        <v>3738</v>
      </c>
      <c r="K99" s="88" t="s">
        <v>3839</v>
      </c>
      <c r="M99" t="str">
        <v>1805</v>
      </c>
    </row>
    <row r="100" spans="1:13" x14ac:dyDescent="0.25">
      <c r="A100" s="83" t="s">
        <v>3616</v>
      </c>
      <c r="B100" s="83">
        <v>1805</v>
      </c>
      <c r="C100" s="84" t="s">
        <v>3876</v>
      </c>
      <c r="D100" s="91" t="s">
        <v>3877</v>
      </c>
      <c r="E100" s="89" t="s">
        <v>3878</v>
      </c>
      <c r="F100" s="84" t="s">
        <v>3761</v>
      </c>
      <c r="G100" s="85" t="s">
        <v>3766</v>
      </c>
      <c r="H100" s="90"/>
      <c r="I100" s="88" t="s">
        <v>4010</v>
      </c>
      <c r="J100" s="88" t="s">
        <v>3738</v>
      </c>
      <c r="K100" s="88" t="s">
        <v>4020</v>
      </c>
      <c r="M100" t="str">
        <v>1814</v>
      </c>
    </row>
    <row r="101" spans="1:13" x14ac:dyDescent="0.25">
      <c r="A101" s="83" t="s">
        <v>3631</v>
      </c>
      <c r="B101" s="83">
        <v>1814</v>
      </c>
      <c r="C101" s="84" t="s">
        <v>3879</v>
      </c>
      <c r="D101" s="91" t="s">
        <v>3877</v>
      </c>
      <c r="E101" s="89" t="s">
        <v>3878</v>
      </c>
      <c r="F101" s="84" t="s">
        <v>3761</v>
      </c>
      <c r="G101" s="85" t="s">
        <v>3766</v>
      </c>
      <c r="H101" s="90"/>
      <c r="I101" s="88" t="s">
        <v>4010</v>
      </c>
      <c r="J101" s="88" t="s">
        <v>3738</v>
      </c>
      <c r="K101" s="88" t="s">
        <v>4020</v>
      </c>
      <c r="M101" t="str">
        <v>1807</v>
      </c>
    </row>
    <row r="102" spans="1:13" x14ac:dyDescent="0.25">
      <c r="A102" s="83" t="s">
        <v>3619</v>
      </c>
      <c r="B102" s="83">
        <v>1807</v>
      </c>
      <c r="C102" s="84" t="s">
        <v>3880</v>
      </c>
      <c r="D102" s="85" t="s">
        <v>3877</v>
      </c>
      <c r="E102" s="85" t="s">
        <v>3878</v>
      </c>
      <c r="F102" s="85" t="s">
        <v>3736</v>
      </c>
      <c r="G102" s="85" t="s">
        <v>3766</v>
      </c>
      <c r="H102" s="90"/>
      <c r="I102" s="88" t="s">
        <v>4010</v>
      </c>
      <c r="J102" s="88" t="s">
        <v>3738</v>
      </c>
      <c r="K102" s="88" t="s">
        <v>4020</v>
      </c>
      <c r="M102" t="str">
        <v>1813</v>
      </c>
    </row>
    <row r="103" spans="1:13" x14ac:dyDescent="0.25">
      <c r="A103" s="83" t="s">
        <v>3629</v>
      </c>
      <c r="B103" s="83">
        <v>1813</v>
      </c>
      <c r="C103" s="84" t="s">
        <v>3881</v>
      </c>
      <c r="D103" s="85" t="s">
        <v>3877</v>
      </c>
      <c r="E103" s="85" t="s">
        <v>3878</v>
      </c>
      <c r="F103" s="85" t="s">
        <v>3736</v>
      </c>
      <c r="G103" s="85" t="s">
        <v>3766</v>
      </c>
      <c r="H103" s="90"/>
      <c r="I103" s="88" t="s">
        <v>4010</v>
      </c>
      <c r="J103" s="88" t="s">
        <v>3738</v>
      </c>
      <c r="K103" s="88" t="s">
        <v>4020</v>
      </c>
      <c r="M103" t="str">
        <v>1816</v>
      </c>
    </row>
    <row r="104" spans="1:13" x14ac:dyDescent="0.25">
      <c r="A104" s="83" t="s">
        <v>3635</v>
      </c>
      <c r="B104" s="83">
        <v>1816</v>
      </c>
      <c r="C104" s="84" t="s">
        <v>3882</v>
      </c>
      <c r="D104" s="85" t="s">
        <v>3877</v>
      </c>
      <c r="E104" s="85" t="s">
        <v>3878</v>
      </c>
      <c r="F104" s="85" t="s">
        <v>3736</v>
      </c>
      <c r="G104" s="85" t="s">
        <v>3766</v>
      </c>
      <c r="H104" s="90"/>
      <c r="I104" s="88" t="s">
        <v>4010</v>
      </c>
      <c r="J104" s="88" t="s">
        <v>3738</v>
      </c>
      <c r="K104" s="88" t="s">
        <v>4020</v>
      </c>
      <c r="M104" t="str">
        <v>1811</v>
      </c>
    </row>
    <row r="105" spans="1:13" x14ac:dyDescent="0.25">
      <c r="A105" s="83" t="s">
        <v>3624</v>
      </c>
      <c r="B105" s="83">
        <v>1811</v>
      </c>
      <c r="C105" s="84" t="s">
        <v>3883</v>
      </c>
      <c r="D105" s="85" t="s">
        <v>3877</v>
      </c>
      <c r="E105" s="85" t="s">
        <v>3878</v>
      </c>
      <c r="F105" s="85" t="s">
        <v>3744</v>
      </c>
      <c r="G105" s="85" t="s">
        <v>3766</v>
      </c>
      <c r="H105" s="90"/>
      <c r="I105" s="88" t="s">
        <v>4010</v>
      </c>
      <c r="J105" s="88" t="s">
        <v>3738</v>
      </c>
      <c r="K105" s="88" t="s">
        <v>4020</v>
      </c>
      <c r="M105" t="str">
        <v>1801</v>
      </c>
    </row>
    <row r="106" spans="1:13" x14ac:dyDescent="0.25">
      <c r="A106" s="83" t="s">
        <v>3608</v>
      </c>
      <c r="B106" s="83">
        <v>1801</v>
      </c>
      <c r="C106" s="84" t="s">
        <v>3884</v>
      </c>
      <c r="D106" s="85" t="s">
        <v>3877</v>
      </c>
      <c r="E106" s="85" t="s">
        <v>3878</v>
      </c>
      <c r="F106" s="85" t="s">
        <v>3744</v>
      </c>
      <c r="G106" s="85" t="s">
        <v>3766</v>
      </c>
      <c r="H106" s="90"/>
      <c r="I106" s="88" t="s">
        <v>4010</v>
      </c>
      <c r="J106" s="88" t="s">
        <v>3738</v>
      </c>
      <c r="K106" s="88" t="s">
        <v>4020</v>
      </c>
      <c r="M106" t="str">
        <v>1906</v>
      </c>
    </row>
    <row r="107" spans="1:13" x14ac:dyDescent="0.25">
      <c r="A107" s="83" t="s">
        <v>3655</v>
      </c>
      <c r="B107" s="83">
        <v>1906</v>
      </c>
      <c r="C107" s="84" t="s">
        <v>3885</v>
      </c>
      <c r="D107" s="85" t="s">
        <v>3886</v>
      </c>
      <c r="E107" s="85" t="s">
        <v>3878</v>
      </c>
      <c r="F107" s="85" t="s">
        <v>3761</v>
      </c>
      <c r="G107" s="85" t="s">
        <v>3766</v>
      </c>
      <c r="H107" s="90"/>
      <c r="I107" s="88" t="s">
        <v>4010</v>
      </c>
      <c r="J107" s="88" t="s">
        <v>3738</v>
      </c>
      <c r="K107" s="88" t="s">
        <v>4020</v>
      </c>
      <c r="M107" t="str">
        <v>0243</v>
      </c>
    </row>
    <row r="108" spans="1:13" x14ac:dyDescent="0.25">
      <c r="A108" s="83" t="s">
        <v>1194</v>
      </c>
      <c r="B108" s="83">
        <v>243</v>
      </c>
      <c r="C108" s="84" t="s">
        <v>3887</v>
      </c>
      <c r="D108" s="91" t="s">
        <v>3888</v>
      </c>
      <c r="E108" s="89" t="s">
        <v>3878</v>
      </c>
      <c r="F108" s="84" t="s">
        <v>3761</v>
      </c>
      <c r="G108" s="85" t="s">
        <v>3766</v>
      </c>
      <c r="H108" s="90"/>
      <c r="I108" s="88" t="s">
        <v>3856</v>
      </c>
      <c r="J108" s="88" t="s">
        <v>3738</v>
      </c>
      <c r="K108" s="88" t="s">
        <v>4011</v>
      </c>
      <c r="M108" t="str">
        <v>0236</v>
      </c>
    </row>
    <row r="109" spans="1:13" x14ac:dyDescent="0.25">
      <c r="A109" s="83" t="s">
        <v>1190</v>
      </c>
      <c r="B109" s="83">
        <v>236</v>
      </c>
      <c r="C109" s="84" t="s">
        <v>3889</v>
      </c>
      <c r="D109" s="91" t="s">
        <v>3888</v>
      </c>
      <c r="E109" s="89" t="s">
        <v>3878</v>
      </c>
      <c r="F109" s="84" t="s">
        <v>3761</v>
      </c>
      <c r="G109" s="85" t="s">
        <v>3766</v>
      </c>
      <c r="H109" s="90"/>
      <c r="I109" s="88" t="s">
        <v>3856</v>
      </c>
      <c r="J109" s="88" t="s">
        <v>3738</v>
      </c>
      <c r="K109" s="88" t="s">
        <v>4011</v>
      </c>
      <c r="M109" t="str">
        <v>1242</v>
      </c>
    </row>
    <row r="110" spans="1:13" x14ac:dyDescent="0.25">
      <c r="A110" s="83" t="s">
        <v>3438</v>
      </c>
      <c r="B110" s="83">
        <v>1242</v>
      </c>
      <c r="C110" s="84" t="s">
        <v>3890</v>
      </c>
      <c r="D110" s="91" t="s">
        <v>3888</v>
      </c>
      <c r="E110" s="89" t="s">
        <v>3878</v>
      </c>
      <c r="F110" s="84" t="s">
        <v>3761</v>
      </c>
      <c r="G110" s="85" t="s">
        <v>3766</v>
      </c>
      <c r="H110" s="90"/>
      <c r="I110" s="88" t="s">
        <v>3856</v>
      </c>
      <c r="J110" s="88" t="s">
        <v>3738</v>
      </c>
      <c r="K110" s="88" t="s">
        <v>4011</v>
      </c>
      <c r="M110" t="str">
        <v>1206</v>
      </c>
    </row>
    <row r="111" spans="1:13" x14ac:dyDescent="0.25">
      <c r="A111" s="83" t="s">
        <v>3400</v>
      </c>
      <c r="B111" s="83">
        <v>1206</v>
      </c>
      <c r="C111" s="84" t="s">
        <v>3891</v>
      </c>
      <c r="D111" s="91" t="s">
        <v>3888</v>
      </c>
      <c r="E111" s="89" t="s">
        <v>3878</v>
      </c>
      <c r="F111" s="84" t="s">
        <v>3761</v>
      </c>
      <c r="G111" s="85" t="s">
        <v>3766</v>
      </c>
      <c r="H111" s="90"/>
      <c r="I111" s="88" t="s">
        <v>3856</v>
      </c>
      <c r="J111" s="88" t="s">
        <v>3738</v>
      </c>
      <c r="K111" s="88" t="s">
        <v>4011</v>
      </c>
      <c r="M111" t="str">
        <v>0235</v>
      </c>
    </row>
    <row r="112" spans="1:13" x14ac:dyDescent="0.25">
      <c r="A112" s="83" t="s">
        <v>1185</v>
      </c>
      <c r="B112" s="83">
        <v>235</v>
      </c>
      <c r="C112" s="84" t="s">
        <v>3892</v>
      </c>
      <c r="D112" s="91" t="s">
        <v>3888</v>
      </c>
      <c r="E112" s="89" t="s">
        <v>3878</v>
      </c>
      <c r="F112" s="84" t="s">
        <v>3761</v>
      </c>
      <c r="G112" s="85" t="s">
        <v>3766</v>
      </c>
      <c r="H112" s="90"/>
      <c r="I112" s="88" t="s">
        <v>3856</v>
      </c>
      <c r="J112" s="88" t="s">
        <v>3738</v>
      </c>
      <c r="K112" s="88" t="s">
        <v>4011</v>
      </c>
      <c r="M112" t="str">
        <v>0233</v>
      </c>
    </row>
    <row r="113" spans="1:13" x14ac:dyDescent="0.25">
      <c r="A113" s="83" t="s">
        <v>1174</v>
      </c>
      <c r="B113" s="83">
        <v>233</v>
      </c>
      <c r="C113" s="84" t="s">
        <v>3893</v>
      </c>
      <c r="D113" s="91" t="s">
        <v>3888</v>
      </c>
      <c r="E113" s="89" t="s">
        <v>3878</v>
      </c>
      <c r="F113" s="84" t="s">
        <v>3761</v>
      </c>
      <c r="G113" s="85" t="s">
        <v>3766</v>
      </c>
      <c r="H113" s="90"/>
      <c r="I113" s="88" t="s">
        <v>3856</v>
      </c>
      <c r="J113" s="88" t="s">
        <v>3738</v>
      </c>
      <c r="K113" s="88" t="s">
        <v>4011</v>
      </c>
      <c r="M113" t="str">
        <v>1205</v>
      </c>
    </row>
    <row r="114" spans="1:13" x14ac:dyDescent="0.25">
      <c r="A114" s="83" t="s">
        <v>3399</v>
      </c>
      <c r="B114" s="83">
        <v>1205</v>
      </c>
      <c r="C114" s="84" t="s">
        <v>3894</v>
      </c>
      <c r="D114" s="91" t="s">
        <v>3888</v>
      </c>
      <c r="E114" s="89" t="s">
        <v>3878</v>
      </c>
      <c r="F114" s="84" t="s">
        <v>3761</v>
      </c>
      <c r="G114" s="85" t="s">
        <v>3766</v>
      </c>
      <c r="H114" s="90"/>
      <c r="I114" s="88" t="s">
        <v>3856</v>
      </c>
      <c r="J114" s="88" t="s">
        <v>3738</v>
      </c>
      <c r="K114" s="88" t="s">
        <v>4011</v>
      </c>
      <c r="M114" t="str">
        <v>1215</v>
      </c>
    </row>
    <row r="115" spans="1:13" x14ac:dyDescent="0.25">
      <c r="A115" s="83" t="s">
        <v>3413</v>
      </c>
      <c r="B115" s="83">
        <v>1215</v>
      </c>
      <c r="C115" s="84" t="s">
        <v>3895</v>
      </c>
      <c r="D115" s="91" t="s">
        <v>3888</v>
      </c>
      <c r="E115" s="89" t="s">
        <v>3878</v>
      </c>
      <c r="F115" s="84" t="s">
        <v>3761</v>
      </c>
      <c r="G115" s="85" t="s">
        <v>3766</v>
      </c>
      <c r="H115" s="90"/>
      <c r="I115" s="88" t="s">
        <v>3856</v>
      </c>
      <c r="J115" s="88" t="s">
        <v>3738</v>
      </c>
      <c r="K115" s="88" t="s">
        <v>4011</v>
      </c>
      <c r="M115" t="str">
        <v>1236</v>
      </c>
    </row>
    <row r="116" spans="1:13" x14ac:dyDescent="0.25">
      <c r="A116" s="83" t="s">
        <v>3429</v>
      </c>
      <c r="B116" s="83">
        <v>1236</v>
      </c>
      <c r="C116" s="84" t="s">
        <v>3896</v>
      </c>
      <c r="D116" s="91" t="s">
        <v>3888</v>
      </c>
      <c r="E116" s="89" t="s">
        <v>3878</v>
      </c>
      <c r="F116" s="84" t="s">
        <v>3761</v>
      </c>
      <c r="G116" s="85" t="s">
        <v>3766</v>
      </c>
      <c r="H116" s="90"/>
      <c r="I116" s="88" t="s">
        <v>3856</v>
      </c>
      <c r="J116" s="88" t="s">
        <v>3738</v>
      </c>
      <c r="K116" s="88" t="s">
        <v>4011</v>
      </c>
      <c r="M116" t="str">
        <v>1208</v>
      </c>
    </row>
    <row r="117" spans="1:13" x14ac:dyDescent="0.25">
      <c r="A117" s="83" t="s">
        <v>3404</v>
      </c>
      <c r="B117" s="83">
        <v>1208</v>
      </c>
      <c r="C117" s="84" t="s">
        <v>3897</v>
      </c>
      <c r="D117" s="91" t="s">
        <v>3888</v>
      </c>
      <c r="E117" s="89" t="s">
        <v>3878</v>
      </c>
      <c r="F117" s="84" t="s">
        <v>3736</v>
      </c>
      <c r="G117" s="85" t="s">
        <v>3766</v>
      </c>
      <c r="H117" s="90"/>
      <c r="I117" s="88" t="s">
        <v>3856</v>
      </c>
      <c r="J117" s="88" t="s">
        <v>3738</v>
      </c>
      <c r="K117" s="88" t="s">
        <v>4011</v>
      </c>
      <c r="M117" t="str">
        <v>1245</v>
      </c>
    </row>
    <row r="118" spans="1:13" x14ac:dyDescent="0.25">
      <c r="A118" s="83" t="s">
        <v>3440</v>
      </c>
      <c r="B118" s="83">
        <v>1245</v>
      </c>
      <c r="C118" s="84" t="s">
        <v>3898</v>
      </c>
      <c r="D118" s="85" t="s">
        <v>3888</v>
      </c>
      <c r="E118" s="85" t="s">
        <v>3878</v>
      </c>
      <c r="F118" s="85" t="s">
        <v>3736</v>
      </c>
      <c r="G118" s="85" t="s">
        <v>3766</v>
      </c>
      <c r="H118" s="90"/>
      <c r="I118" s="88" t="s">
        <v>3856</v>
      </c>
      <c r="J118" s="88" t="s">
        <v>3738</v>
      </c>
      <c r="K118" s="88" t="s">
        <v>4011</v>
      </c>
      <c r="M118" t="str">
        <v>1249</v>
      </c>
    </row>
    <row r="119" spans="1:13" x14ac:dyDescent="0.25">
      <c r="A119" s="83" t="s">
        <v>3448</v>
      </c>
      <c r="B119" s="83">
        <v>1249</v>
      </c>
      <c r="C119" s="84" t="s">
        <v>3899</v>
      </c>
      <c r="D119" s="85" t="s">
        <v>3888</v>
      </c>
      <c r="E119" s="85" t="s">
        <v>3878</v>
      </c>
      <c r="F119" s="85" t="s">
        <v>3736</v>
      </c>
      <c r="G119" s="85" t="s">
        <v>3766</v>
      </c>
      <c r="H119" s="90"/>
      <c r="I119" s="88" t="s">
        <v>3856</v>
      </c>
      <c r="J119" s="88" t="s">
        <v>3738</v>
      </c>
      <c r="K119" s="88" t="s">
        <v>4011</v>
      </c>
      <c r="M119" t="str">
        <v>1254</v>
      </c>
    </row>
    <row r="120" spans="1:13" x14ac:dyDescent="0.25">
      <c r="A120" s="83" t="s">
        <v>3454</v>
      </c>
      <c r="B120" s="83">
        <v>1254</v>
      </c>
      <c r="C120" s="84" t="s">
        <v>3900</v>
      </c>
      <c r="D120" s="85" t="s">
        <v>3888</v>
      </c>
      <c r="E120" s="85" t="s">
        <v>3878</v>
      </c>
      <c r="F120" s="85" t="s">
        <v>3736</v>
      </c>
      <c r="G120" s="85" t="s">
        <v>3766</v>
      </c>
      <c r="H120" s="90"/>
      <c r="I120" s="88" t="s">
        <v>3856</v>
      </c>
      <c r="J120" s="88" t="s">
        <v>3738</v>
      </c>
      <c r="K120" s="88" t="s">
        <v>4011</v>
      </c>
      <c r="M120" t="str">
        <v>1856</v>
      </c>
    </row>
    <row r="121" spans="1:13" x14ac:dyDescent="0.25">
      <c r="A121" s="83" t="s">
        <v>3647</v>
      </c>
      <c r="B121" s="83">
        <v>1856</v>
      </c>
      <c r="C121" s="84" t="s">
        <v>3901</v>
      </c>
      <c r="D121" s="85" t="s">
        <v>3888</v>
      </c>
      <c r="E121" s="85" t="s">
        <v>3878</v>
      </c>
      <c r="F121" s="85" t="s">
        <v>3736</v>
      </c>
      <c r="G121" s="85" t="s">
        <v>3766</v>
      </c>
      <c r="H121" s="90"/>
      <c r="I121" s="88" t="s">
        <v>3856</v>
      </c>
      <c r="J121" s="88" t="s">
        <v>3738</v>
      </c>
      <c r="K121" s="88" t="s">
        <v>4011</v>
      </c>
      <c r="M121" t="str">
        <v>0279</v>
      </c>
    </row>
    <row r="122" spans="1:13" x14ac:dyDescent="0.25">
      <c r="A122" s="83" t="s">
        <v>1214</v>
      </c>
      <c r="B122" s="83">
        <v>279</v>
      </c>
      <c r="C122" s="84" t="s">
        <v>3902</v>
      </c>
      <c r="D122" s="85" t="s">
        <v>3888</v>
      </c>
      <c r="E122" s="85" t="s">
        <v>3878</v>
      </c>
      <c r="F122" s="85" t="s">
        <v>3744</v>
      </c>
      <c r="G122" s="85" t="s">
        <v>3766</v>
      </c>
      <c r="H122" s="90"/>
      <c r="I122" s="88" t="s">
        <v>3856</v>
      </c>
      <c r="J122" s="88" t="s">
        <v>3738</v>
      </c>
      <c r="K122" s="88" t="s">
        <v>4011</v>
      </c>
      <c r="M122" t="str">
        <v>1855</v>
      </c>
    </row>
    <row r="123" spans="1:13" x14ac:dyDescent="0.25">
      <c r="A123" s="83" t="s">
        <v>3645</v>
      </c>
      <c r="B123" s="83">
        <v>1855</v>
      </c>
      <c r="C123" s="84" t="s">
        <v>3903</v>
      </c>
      <c r="D123" s="86" t="s">
        <v>3904</v>
      </c>
      <c r="E123" s="89" t="s">
        <v>3878</v>
      </c>
      <c r="F123" s="84" t="s">
        <v>3736</v>
      </c>
      <c r="G123" s="85" t="s">
        <v>3766</v>
      </c>
      <c r="H123" s="90"/>
      <c r="I123" s="88" t="s">
        <v>4010</v>
      </c>
      <c r="J123" s="88" t="s">
        <v>3738</v>
      </c>
      <c r="K123" s="88" t="s">
        <v>4020</v>
      </c>
      <c r="M123" t="str">
        <v>1854</v>
      </c>
    </row>
    <row r="124" spans="1:13" x14ac:dyDescent="0.25">
      <c r="A124" s="83" t="s">
        <v>3643</v>
      </c>
      <c r="B124" s="83">
        <v>1854</v>
      </c>
      <c r="C124" s="84" t="s">
        <v>3905</v>
      </c>
      <c r="D124" s="85" t="s">
        <v>3904</v>
      </c>
      <c r="E124" s="85" t="s">
        <v>3878</v>
      </c>
      <c r="F124" s="85" t="s">
        <v>3761</v>
      </c>
      <c r="G124" s="85" t="s">
        <v>3766</v>
      </c>
      <c r="H124" s="90"/>
      <c r="I124" s="88" t="s">
        <v>4010</v>
      </c>
      <c r="J124" s="88" t="s">
        <v>3738</v>
      </c>
      <c r="K124" s="88" t="s">
        <v>4020</v>
      </c>
      <c r="M124" t="str">
        <v>0273</v>
      </c>
    </row>
    <row r="125" spans="1:13" x14ac:dyDescent="0.25">
      <c r="A125" s="83" t="s">
        <v>1288</v>
      </c>
      <c r="B125" s="83">
        <v>273</v>
      </c>
      <c r="C125" s="84" t="s">
        <v>3906</v>
      </c>
      <c r="D125" s="91" t="s">
        <v>3907</v>
      </c>
      <c r="E125" s="89" t="s">
        <v>3878</v>
      </c>
      <c r="F125" s="84" t="s">
        <v>3761</v>
      </c>
      <c r="G125" s="85" t="s">
        <v>3766</v>
      </c>
      <c r="H125" s="90"/>
      <c r="I125" s="88" t="s">
        <v>4010</v>
      </c>
      <c r="J125" s="88" t="s">
        <v>3738</v>
      </c>
      <c r="K125" s="88" t="s">
        <v>4020</v>
      </c>
      <c r="M125" t="str">
        <v>1902</v>
      </c>
    </row>
    <row r="126" spans="1:13" x14ac:dyDescent="0.25">
      <c r="A126" s="83" t="s">
        <v>3651</v>
      </c>
      <c r="B126" s="83">
        <v>1902</v>
      </c>
      <c r="C126" s="84" t="s">
        <v>3908</v>
      </c>
      <c r="D126" s="91" t="s">
        <v>3907</v>
      </c>
      <c r="E126" s="89" t="s">
        <v>3878</v>
      </c>
      <c r="F126" s="84" t="s">
        <v>3761</v>
      </c>
      <c r="G126" s="85" t="s">
        <v>3766</v>
      </c>
      <c r="H126" s="90"/>
      <c r="I126" s="88" t="s">
        <v>4010</v>
      </c>
      <c r="J126" s="88" t="s">
        <v>3738</v>
      </c>
      <c r="K126" s="88" t="s">
        <v>4020</v>
      </c>
      <c r="M126" t="str">
        <v>2501</v>
      </c>
    </row>
    <row r="127" spans="1:13" x14ac:dyDescent="0.25">
      <c r="A127" s="83" t="s">
        <v>3669</v>
      </c>
      <c r="B127" s="83">
        <v>2501</v>
      </c>
      <c r="C127" s="84" t="s">
        <v>3909</v>
      </c>
      <c r="D127" s="91" t="s">
        <v>3907</v>
      </c>
      <c r="E127" s="89" t="s">
        <v>3878</v>
      </c>
      <c r="F127" s="84" t="s">
        <v>3736</v>
      </c>
      <c r="G127" s="85" t="s">
        <v>3766</v>
      </c>
      <c r="H127" s="90"/>
      <c r="I127" s="88" t="s">
        <v>4010</v>
      </c>
      <c r="J127" s="88" t="s">
        <v>3738</v>
      </c>
      <c r="K127" s="88" t="s">
        <v>4020</v>
      </c>
      <c r="M127" t="str">
        <v>1251</v>
      </c>
    </row>
    <row r="128" spans="1:13" x14ac:dyDescent="0.25">
      <c r="A128" s="83" t="s">
        <v>3450</v>
      </c>
      <c r="B128" s="83">
        <v>1251</v>
      </c>
      <c r="C128" s="84" t="s">
        <v>3910</v>
      </c>
      <c r="D128" s="85" t="s">
        <v>3907</v>
      </c>
      <c r="E128" s="85" t="s">
        <v>3878</v>
      </c>
      <c r="F128" s="85" t="s">
        <v>3736</v>
      </c>
      <c r="G128" s="85" t="s">
        <v>3766</v>
      </c>
      <c r="H128" s="90"/>
      <c r="I128" s="88" t="s">
        <v>4010</v>
      </c>
      <c r="J128" s="88" t="s">
        <v>3738</v>
      </c>
      <c r="K128" s="88" t="s">
        <v>4020</v>
      </c>
      <c r="M128" t="str">
        <v>0274</v>
      </c>
    </row>
    <row r="129" spans="1:13" x14ac:dyDescent="0.25">
      <c r="A129" s="83" t="s">
        <v>1294</v>
      </c>
      <c r="B129" s="83">
        <v>274</v>
      </c>
      <c r="C129" s="84" t="s">
        <v>3911</v>
      </c>
      <c r="D129" s="85" t="s">
        <v>3907</v>
      </c>
      <c r="E129" s="85" t="s">
        <v>3878</v>
      </c>
      <c r="F129" s="85" t="s">
        <v>3744</v>
      </c>
      <c r="G129" s="85" t="s">
        <v>3766</v>
      </c>
      <c r="H129" s="90"/>
      <c r="I129" s="88" t="s">
        <v>4010</v>
      </c>
      <c r="J129" s="88" t="s">
        <v>3738</v>
      </c>
      <c r="K129" s="88" t="s">
        <v>4020</v>
      </c>
      <c r="M129" t="str">
        <v>1221</v>
      </c>
    </row>
    <row r="130" spans="1:13" x14ac:dyDescent="0.25">
      <c r="A130" s="83" t="s">
        <v>3415</v>
      </c>
      <c r="B130" s="83">
        <v>1221</v>
      </c>
      <c r="C130" s="84" t="s">
        <v>3912</v>
      </c>
      <c r="D130" s="91" t="s">
        <v>3907</v>
      </c>
      <c r="E130" s="89" t="s">
        <v>3878</v>
      </c>
      <c r="F130" s="84" t="s">
        <v>3744</v>
      </c>
      <c r="G130" s="85" t="s">
        <v>3766</v>
      </c>
      <c r="H130" s="90"/>
      <c r="I130" s="88" t="s">
        <v>4010</v>
      </c>
      <c r="J130" s="88" t="s">
        <v>3738</v>
      </c>
      <c r="K130" s="88" t="s">
        <v>4020</v>
      </c>
      <c r="M130" t="str">
        <v>0226</v>
      </c>
    </row>
    <row r="131" spans="1:13" x14ac:dyDescent="0.25">
      <c r="A131" s="83" t="s">
        <v>1282</v>
      </c>
      <c r="B131" s="83">
        <v>226</v>
      </c>
      <c r="C131" s="84" t="s">
        <v>3913</v>
      </c>
      <c r="D131" s="91" t="s">
        <v>3907</v>
      </c>
      <c r="E131" s="85" t="s">
        <v>3878</v>
      </c>
      <c r="F131" s="85" t="s">
        <v>3744</v>
      </c>
      <c r="G131" s="85" t="s">
        <v>3766</v>
      </c>
      <c r="H131" s="90"/>
      <c r="I131" s="88" t="s">
        <v>4010</v>
      </c>
      <c r="J131" s="88" t="s">
        <v>3738</v>
      </c>
      <c r="K131" s="88" t="s">
        <v>4020</v>
      </c>
      <c r="M131" t="str">
        <v>1901</v>
      </c>
    </row>
    <row r="132" spans="1:13" x14ac:dyDescent="0.25">
      <c r="A132" s="83" t="s">
        <v>3649</v>
      </c>
      <c r="B132" s="83">
        <v>1901</v>
      </c>
      <c r="C132" s="84" t="s">
        <v>3914</v>
      </c>
      <c r="D132" s="91" t="s">
        <v>3907</v>
      </c>
      <c r="E132" s="85" t="s">
        <v>3878</v>
      </c>
      <c r="F132" s="85" t="s">
        <v>3744</v>
      </c>
      <c r="G132" s="85" t="s">
        <v>3766</v>
      </c>
      <c r="H132" s="90"/>
      <c r="I132" s="88" t="s">
        <v>4010</v>
      </c>
      <c r="J132" s="88" t="s">
        <v>3738</v>
      </c>
      <c r="K132" s="88" t="s">
        <v>4020</v>
      </c>
      <c r="M132" t="str">
        <v>0264</v>
      </c>
    </row>
    <row r="133" spans="1:13" x14ac:dyDescent="0.25">
      <c r="A133" s="83" t="s">
        <v>1386</v>
      </c>
      <c r="B133" s="83">
        <v>264</v>
      </c>
      <c r="C133" s="84" t="s">
        <v>3915</v>
      </c>
      <c r="D133" s="91" t="s">
        <v>3916</v>
      </c>
      <c r="E133" s="89" t="s">
        <v>3878</v>
      </c>
      <c r="F133" s="84" t="s">
        <v>3761</v>
      </c>
      <c r="G133" s="85" t="s">
        <v>3844</v>
      </c>
      <c r="H133" s="90"/>
      <c r="I133" s="88" t="s">
        <v>3856</v>
      </c>
      <c r="J133" s="88" t="s">
        <v>3738</v>
      </c>
      <c r="K133" s="88" t="s">
        <v>3845</v>
      </c>
      <c r="M133" t="str">
        <v>0270</v>
      </c>
    </row>
    <row r="134" spans="1:13" x14ac:dyDescent="0.25">
      <c r="A134" s="83" t="s">
        <v>1423</v>
      </c>
      <c r="B134" s="83">
        <v>270</v>
      </c>
      <c r="C134" s="84" t="s">
        <v>3917</v>
      </c>
      <c r="D134" s="91" t="s">
        <v>3916</v>
      </c>
      <c r="E134" s="84" t="s">
        <v>3878</v>
      </c>
      <c r="F134" s="84" t="s">
        <v>3761</v>
      </c>
      <c r="G134" s="86" t="s">
        <v>3844</v>
      </c>
      <c r="H134" s="90"/>
      <c r="I134" s="88" t="s">
        <v>3856</v>
      </c>
      <c r="J134" s="88" t="s">
        <v>3738</v>
      </c>
      <c r="K134" s="88" t="s">
        <v>3845</v>
      </c>
      <c r="M134" t="str">
        <v>0865</v>
      </c>
    </row>
    <row r="135" spans="1:13" x14ac:dyDescent="0.25">
      <c r="A135" s="83" t="s">
        <v>209</v>
      </c>
      <c r="B135" s="83">
        <v>865</v>
      </c>
      <c r="C135" s="84" t="s">
        <v>3918</v>
      </c>
      <c r="D135" s="91" t="s">
        <v>3919</v>
      </c>
      <c r="E135" s="84" t="s">
        <v>3878</v>
      </c>
      <c r="F135" s="84" t="s">
        <v>3761</v>
      </c>
      <c r="G135" s="86" t="s">
        <v>3737</v>
      </c>
      <c r="H135" s="90"/>
      <c r="I135" s="88" t="s">
        <v>4021</v>
      </c>
      <c r="J135" s="88" t="s">
        <v>3920</v>
      </c>
      <c r="K135" s="88" t="s">
        <v>4022</v>
      </c>
      <c r="M135" t="str">
        <v>0868</v>
      </c>
    </row>
    <row r="136" spans="1:13" x14ac:dyDescent="0.25">
      <c r="A136" s="83" t="s">
        <v>1990</v>
      </c>
      <c r="B136" s="83">
        <v>868</v>
      </c>
      <c r="C136" s="84" t="s">
        <v>3921</v>
      </c>
      <c r="D136" s="91" t="s">
        <v>3919</v>
      </c>
      <c r="E136" s="84" t="s">
        <v>3878</v>
      </c>
      <c r="F136" s="84" t="s">
        <v>3761</v>
      </c>
      <c r="G136" s="86" t="s">
        <v>3737</v>
      </c>
      <c r="H136" s="90"/>
      <c r="I136" s="88" t="s">
        <v>4021</v>
      </c>
      <c r="J136" s="88" t="s">
        <v>3920</v>
      </c>
      <c r="K136" s="88" t="s">
        <v>4022</v>
      </c>
      <c r="M136" t="str">
        <v>0864</v>
      </c>
    </row>
    <row r="137" spans="1:13" x14ac:dyDescent="0.25">
      <c r="A137" s="83" t="s">
        <v>1974</v>
      </c>
      <c r="B137" s="83">
        <v>864</v>
      </c>
      <c r="C137" s="84" t="s">
        <v>3922</v>
      </c>
      <c r="D137" s="91" t="s">
        <v>3919</v>
      </c>
      <c r="E137" s="84" t="s">
        <v>3878</v>
      </c>
      <c r="F137" s="84" t="s">
        <v>3761</v>
      </c>
      <c r="G137" s="86" t="s">
        <v>3737</v>
      </c>
      <c r="H137" s="90"/>
      <c r="I137" s="88" t="s">
        <v>4021</v>
      </c>
      <c r="J137" s="88" t="s">
        <v>3920</v>
      </c>
      <c r="K137" s="88" t="s">
        <v>4022</v>
      </c>
      <c r="M137" t="str">
        <v>0866</v>
      </c>
    </row>
    <row r="138" spans="1:13" x14ac:dyDescent="0.25">
      <c r="A138" s="83" t="s">
        <v>1980</v>
      </c>
      <c r="B138" s="83">
        <v>866</v>
      </c>
      <c r="C138" s="84" t="s">
        <v>3923</v>
      </c>
      <c r="D138" s="91" t="s">
        <v>3919</v>
      </c>
      <c r="E138" s="84" t="s">
        <v>3878</v>
      </c>
      <c r="F138" s="84" t="s">
        <v>3761</v>
      </c>
      <c r="G138" s="86" t="s">
        <v>3737</v>
      </c>
      <c r="H138" s="90"/>
      <c r="I138" s="88" t="s">
        <v>4021</v>
      </c>
      <c r="J138" s="88" t="s">
        <v>3920</v>
      </c>
      <c r="K138" s="88" t="s">
        <v>4022</v>
      </c>
      <c r="M138" t="str">
        <v>0861</v>
      </c>
    </row>
    <row r="139" spans="1:13" x14ac:dyDescent="0.25">
      <c r="A139" s="83" t="s">
        <v>1957</v>
      </c>
      <c r="B139" s="83">
        <v>861</v>
      </c>
      <c r="C139" s="84" t="s">
        <v>3924</v>
      </c>
      <c r="D139" s="91" t="s">
        <v>3919</v>
      </c>
      <c r="E139" s="84" t="s">
        <v>3878</v>
      </c>
      <c r="F139" s="84" t="s">
        <v>3744</v>
      </c>
      <c r="G139" s="86" t="s">
        <v>3737</v>
      </c>
      <c r="H139" s="90"/>
      <c r="I139" s="88" t="s">
        <v>4021</v>
      </c>
      <c r="J139" s="88" t="s">
        <v>3920</v>
      </c>
      <c r="K139" s="88" t="s">
        <v>4022</v>
      </c>
      <c r="M139" t="str">
        <v>0309</v>
      </c>
    </row>
    <row r="140" spans="1:13" x14ac:dyDescent="0.25">
      <c r="A140" s="83" t="s">
        <v>2251</v>
      </c>
      <c r="B140" s="83">
        <v>309</v>
      </c>
      <c r="C140" s="84" t="s">
        <v>3925</v>
      </c>
      <c r="D140" s="91" t="s">
        <v>3926</v>
      </c>
      <c r="E140" s="84" t="s">
        <v>3927</v>
      </c>
      <c r="F140" s="84" t="s">
        <v>3761</v>
      </c>
      <c r="G140" s="86" t="s">
        <v>3928</v>
      </c>
      <c r="H140" s="90"/>
      <c r="I140" s="88" t="s">
        <v>3856</v>
      </c>
      <c r="J140" s="88" t="s">
        <v>3738</v>
      </c>
      <c r="K140" s="88" t="s">
        <v>3929</v>
      </c>
      <c r="M140" t="str">
        <v>0306</v>
      </c>
    </row>
    <row r="141" spans="1:13" x14ac:dyDescent="0.25">
      <c r="A141" s="83" t="s">
        <v>89</v>
      </c>
      <c r="B141" s="83">
        <v>306</v>
      </c>
      <c r="C141" s="84" t="s">
        <v>3930</v>
      </c>
      <c r="D141" s="91" t="s">
        <v>3926</v>
      </c>
      <c r="E141" s="89" t="s">
        <v>3927</v>
      </c>
      <c r="F141" s="84" t="s">
        <v>3761</v>
      </c>
      <c r="G141" s="85" t="s">
        <v>3928</v>
      </c>
      <c r="H141" s="90"/>
      <c r="I141" s="88" t="s">
        <v>3856</v>
      </c>
      <c r="J141" s="88" t="s">
        <v>3738</v>
      </c>
      <c r="K141" s="88" t="s">
        <v>3929</v>
      </c>
      <c r="M141" t="str">
        <v>0318</v>
      </c>
    </row>
    <row r="142" spans="1:13" x14ac:dyDescent="0.25">
      <c r="A142" s="83" t="s">
        <v>2261</v>
      </c>
      <c r="B142" s="83">
        <v>318</v>
      </c>
      <c r="C142" s="84" t="s">
        <v>3931</v>
      </c>
      <c r="D142" s="91" t="s">
        <v>3926</v>
      </c>
      <c r="E142" s="89" t="s">
        <v>3927</v>
      </c>
      <c r="F142" s="84" t="s">
        <v>3761</v>
      </c>
      <c r="G142" s="85" t="s">
        <v>3928</v>
      </c>
      <c r="H142" s="90"/>
      <c r="I142" s="88" t="s">
        <v>3856</v>
      </c>
      <c r="J142" s="88" t="s">
        <v>3738</v>
      </c>
      <c r="K142" s="88" t="s">
        <v>3929</v>
      </c>
      <c r="M142" t="str">
        <v>0308</v>
      </c>
    </row>
    <row r="143" spans="1:13" x14ac:dyDescent="0.25">
      <c r="A143" s="83" t="s">
        <v>2245</v>
      </c>
      <c r="B143" s="83">
        <v>308</v>
      </c>
      <c r="C143" s="84" t="s">
        <v>3932</v>
      </c>
      <c r="D143" s="91" t="s">
        <v>3926</v>
      </c>
      <c r="E143" s="89" t="s">
        <v>3927</v>
      </c>
      <c r="F143" s="84" t="s">
        <v>3744</v>
      </c>
      <c r="G143" s="85" t="s">
        <v>3928</v>
      </c>
      <c r="H143" s="90"/>
      <c r="I143" s="88" t="s">
        <v>3856</v>
      </c>
      <c r="J143" s="88" t="s">
        <v>3738</v>
      </c>
      <c r="K143" s="88" t="s">
        <v>3929</v>
      </c>
      <c r="M143" t="str">
        <v>0150</v>
      </c>
    </row>
    <row r="144" spans="1:13" x14ac:dyDescent="0.25">
      <c r="A144" s="83" t="s">
        <v>2586</v>
      </c>
      <c r="B144" s="83">
        <v>150</v>
      </c>
      <c r="C144" s="84" t="s">
        <v>3933</v>
      </c>
      <c r="D144" s="91" t="s">
        <v>3934</v>
      </c>
      <c r="E144" s="89" t="s">
        <v>3927</v>
      </c>
      <c r="F144" s="84" t="s">
        <v>3761</v>
      </c>
      <c r="G144" s="85" t="s">
        <v>3766</v>
      </c>
      <c r="H144" s="90"/>
      <c r="I144" s="88" t="s">
        <v>3856</v>
      </c>
      <c r="J144" s="88" t="s">
        <v>3738</v>
      </c>
      <c r="K144" s="88" t="s">
        <v>4011</v>
      </c>
      <c r="M144" t="str">
        <v>0016</v>
      </c>
    </row>
    <row r="145" spans="1:13" x14ac:dyDescent="0.25">
      <c r="A145" s="83" t="s">
        <v>2501</v>
      </c>
      <c r="B145" s="83">
        <v>16</v>
      </c>
      <c r="C145" s="84" t="s">
        <v>3935</v>
      </c>
      <c r="D145" s="91" t="s">
        <v>3934</v>
      </c>
      <c r="E145" s="89" t="s">
        <v>3927</v>
      </c>
      <c r="F145" s="84" t="s">
        <v>3761</v>
      </c>
      <c r="G145" s="85" t="s">
        <v>3766</v>
      </c>
      <c r="H145" s="90"/>
      <c r="I145" s="88" t="s">
        <v>3856</v>
      </c>
      <c r="J145" s="88" t="s">
        <v>3738</v>
      </c>
      <c r="K145" s="88" t="s">
        <v>4011</v>
      </c>
      <c r="M145" t="str">
        <v>0017</v>
      </c>
    </row>
    <row r="146" spans="1:13" x14ac:dyDescent="0.25">
      <c r="A146" s="83" t="s">
        <v>2506</v>
      </c>
      <c r="B146" s="83">
        <v>17</v>
      </c>
      <c r="C146" s="84" t="s">
        <v>3936</v>
      </c>
      <c r="D146" s="91" t="s">
        <v>3934</v>
      </c>
      <c r="E146" s="89" t="s">
        <v>3927</v>
      </c>
      <c r="F146" s="84" t="s">
        <v>3761</v>
      </c>
      <c r="G146" s="85" t="s">
        <v>3766</v>
      </c>
      <c r="H146" s="90"/>
      <c r="I146" s="88" t="s">
        <v>3856</v>
      </c>
      <c r="J146" s="88" t="s">
        <v>3738</v>
      </c>
      <c r="K146" s="88" t="s">
        <v>4011</v>
      </c>
      <c r="M146" t="str">
        <v>1111</v>
      </c>
    </row>
    <row r="147" spans="1:13" x14ac:dyDescent="0.25">
      <c r="A147" s="83" t="s">
        <v>3386</v>
      </c>
      <c r="B147" s="83">
        <v>1111</v>
      </c>
      <c r="C147" s="84" t="s">
        <v>3937</v>
      </c>
      <c r="D147" s="91" t="s">
        <v>3934</v>
      </c>
      <c r="E147" s="89" t="s">
        <v>3927</v>
      </c>
      <c r="F147" s="84" t="s">
        <v>3736</v>
      </c>
      <c r="G147" s="85" t="s">
        <v>3766</v>
      </c>
      <c r="H147" s="90"/>
      <c r="I147" s="88" t="s">
        <v>3856</v>
      </c>
      <c r="J147" s="88" t="s">
        <v>3738</v>
      </c>
      <c r="K147" s="88" t="s">
        <v>4011</v>
      </c>
      <c r="M147" t="str">
        <v>1112</v>
      </c>
    </row>
    <row r="148" spans="1:13" x14ac:dyDescent="0.25">
      <c r="A148" s="83" t="s">
        <v>3388</v>
      </c>
      <c r="B148" s="83">
        <v>1112</v>
      </c>
      <c r="C148" s="84" t="s">
        <v>3938</v>
      </c>
      <c r="D148" s="91" t="s">
        <v>3934</v>
      </c>
      <c r="E148" s="85" t="s">
        <v>3927</v>
      </c>
      <c r="F148" s="85" t="s">
        <v>3736</v>
      </c>
      <c r="G148" s="85" t="s">
        <v>3766</v>
      </c>
      <c r="H148" s="90"/>
      <c r="I148" s="88" t="s">
        <v>3856</v>
      </c>
      <c r="J148" s="88" t="s">
        <v>3738</v>
      </c>
      <c r="K148" s="88" t="s">
        <v>4011</v>
      </c>
      <c r="M148" t="str">
        <v>1113</v>
      </c>
    </row>
    <row r="149" spans="1:13" x14ac:dyDescent="0.25">
      <c r="A149" s="83" t="s">
        <v>3390</v>
      </c>
      <c r="B149" s="83">
        <v>1113</v>
      </c>
      <c r="C149" s="84" t="s">
        <v>3939</v>
      </c>
      <c r="D149" s="91" t="s">
        <v>3934</v>
      </c>
      <c r="E149" s="85" t="s">
        <v>3927</v>
      </c>
      <c r="F149" s="85" t="s">
        <v>3736</v>
      </c>
      <c r="G149" s="85" t="s">
        <v>3766</v>
      </c>
      <c r="H149" s="90"/>
      <c r="I149" s="88" t="s">
        <v>3856</v>
      </c>
      <c r="J149" s="88" t="s">
        <v>3738</v>
      </c>
      <c r="K149" s="88" t="s">
        <v>4011</v>
      </c>
      <c r="M149" t="str">
        <v>1117</v>
      </c>
    </row>
    <row r="150" spans="1:13" x14ac:dyDescent="0.25">
      <c r="A150" s="83" t="s">
        <v>3395</v>
      </c>
      <c r="B150" s="83">
        <v>1117</v>
      </c>
      <c r="C150" s="84" t="s">
        <v>3940</v>
      </c>
      <c r="D150" s="91" t="s">
        <v>3934</v>
      </c>
      <c r="E150" s="85" t="s">
        <v>3927</v>
      </c>
      <c r="F150" s="85" t="s">
        <v>3736</v>
      </c>
      <c r="G150" s="85" t="s">
        <v>3766</v>
      </c>
      <c r="H150" s="90"/>
      <c r="I150" s="88" t="s">
        <v>3856</v>
      </c>
      <c r="J150" s="88" t="s">
        <v>3738</v>
      </c>
      <c r="K150" s="88" t="s">
        <v>4011</v>
      </c>
      <c r="M150" t="str">
        <v>0015</v>
      </c>
    </row>
    <row r="151" spans="1:13" x14ac:dyDescent="0.25">
      <c r="A151" s="83" t="s">
        <v>2496</v>
      </c>
      <c r="B151" s="83">
        <v>15</v>
      </c>
      <c r="C151" s="84" t="s">
        <v>3941</v>
      </c>
      <c r="D151" s="91" t="s">
        <v>3934</v>
      </c>
      <c r="E151" s="85" t="s">
        <v>3927</v>
      </c>
      <c r="F151" s="85" t="s">
        <v>3744</v>
      </c>
      <c r="G151" s="85" t="s">
        <v>3766</v>
      </c>
      <c r="H151" s="90"/>
      <c r="I151" s="88" t="s">
        <v>3856</v>
      </c>
      <c r="J151" s="88" t="s">
        <v>3738</v>
      </c>
      <c r="K151" s="88" t="s">
        <v>4011</v>
      </c>
      <c r="M151" t="str">
        <v>0020</v>
      </c>
    </row>
    <row r="152" spans="1:13" x14ac:dyDescent="0.25">
      <c r="A152" s="83" t="s">
        <v>2519</v>
      </c>
      <c r="B152" s="83">
        <v>20</v>
      </c>
      <c r="C152" s="84" t="s">
        <v>3942</v>
      </c>
      <c r="D152" s="91" t="s">
        <v>3934</v>
      </c>
      <c r="E152" s="89" t="s">
        <v>3927</v>
      </c>
      <c r="F152" s="84" t="s">
        <v>3744</v>
      </c>
      <c r="G152" s="85" t="s">
        <v>3766</v>
      </c>
      <c r="H152" s="90"/>
      <c r="I152" s="88" t="s">
        <v>3856</v>
      </c>
      <c r="J152" s="88" t="s">
        <v>3738</v>
      </c>
      <c r="K152" s="88" t="s">
        <v>4011</v>
      </c>
      <c r="M152" t="str">
        <v>0317</v>
      </c>
    </row>
    <row r="153" spans="1:13" x14ac:dyDescent="0.25">
      <c r="A153" s="83" t="s">
        <v>2613</v>
      </c>
      <c r="B153" s="83">
        <v>317</v>
      </c>
      <c r="C153" s="84" t="s">
        <v>3943</v>
      </c>
      <c r="D153" s="85" t="s">
        <v>3944</v>
      </c>
      <c r="E153" s="85" t="s">
        <v>3927</v>
      </c>
      <c r="F153" s="85" t="s">
        <v>3761</v>
      </c>
      <c r="G153" s="85" t="s">
        <v>3844</v>
      </c>
      <c r="H153" s="90"/>
      <c r="I153" s="88" t="s">
        <v>4023</v>
      </c>
      <c r="J153" s="88" t="s">
        <v>3787</v>
      </c>
      <c r="K153" s="88" t="s">
        <v>3945</v>
      </c>
      <c r="M153" t="str">
        <v>0261</v>
      </c>
    </row>
    <row r="154" spans="1:13" x14ac:dyDescent="0.25">
      <c r="A154" s="83" t="s">
        <v>2590</v>
      </c>
      <c r="B154" s="83">
        <v>261</v>
      </c>
      <c r="C154" s="84" t="s">
        <v>3946</v>
      </c>
      <c r="D154" s="91" t="s">
        <v>3947</v>
      </c>
      <c r="E154" s="89" t="s">
        <v>3927</v>
      </c>
      <c r="F154" s="84" t="s">
        <v>3744</v>
      </c>
      <c r="G154" s="86" t="s">
        <v>3737</v>
      </c>
      <c r="H154" s="90"/>
      <c r="I154" s="88" t="s">
        <v>4024</v>
      </c>
      <c r="J154" s="88" t="s">
        <v>3738</v>
      </c>
      <c r="K154" s="88" t="s">
        <v>3739</v>
      </c>
      <c r="M154" t="str">
        <v>0348</v>
      </c>
    </row>
    <row r="155" spans="1:13" x14ac:dyDescent="0.25">
      <c r="A155" s="83" t="s">
        <v>923</v>
      </c>
      <c r="B155" s="83">
        <v>348</v>
      </c>
      <c r="C155" s="84" t="s">
        <v>3948</v>
      </c>
      <c r="D155" s="86" t="s">
        <v>3949</v>
      </c>
      <c r="E155" s="89" t="s">
        <v>3950</v>
      </c>
      <c r="F155" s="84" t="s">
        <v>3736</v>
      </c>
      <c r="G155" s="86" t="s">
        <v>3928</v>
      </c>
      <c r="H155" s="90"/>
      <c r="I155" s="88" t="s">
        <v>4025</v>
      </c>
      <c r="J155" s="88" t="s">
        <v>3920</v>
      </c>
      <c r="K155" s="88" t="s">
        <v>3951</v>
      </c>
      <c r="M155" t="str">
        <v>1341</v>
      </c>
    </row>
    <row r="156" spans="1:13" x14ac:dyDescent="0.25">
      <c r="A156" s="83" t="s">
        <v>3469</v>
      </c>
      <c r="B156" s="83">
        <v>1341</v>
      </c>
      <c r="C156" s="84" t="s">
        <v>3952</v>
      </c>
      <c r="D156" s="85" t="s">
        <v>3949</v>
      </c>
      <c r="E156" s="85" t="s">
        <v>3950</v>
      </c>
      <c r="F156" s="85" t="s">
        <v>3736</v>
      </c>
      <c r="G156" s="85" t="s">
        <v>3928</v>
      </c>
      <c r="H156" s="90"/>
      <c r="I156" s="88" t="s">
        <v>4025</v>
      </c>
      <c r="J156" s="88" t="s">
        <v>3920</v>
      </c>
      <c r="K156" s="88" t="s">
        <v>3951</v>
      </c>
      <c r="M156" t="str">
        <v>1343</v>
      </c>
    </row>
    <row r="157" spans="1:13" x14ac:dyDescent="0.25">
      <c r="A157" s="83" t="s">
        <v>3471</v>
      </c>
      <c r="B157" s="83">
        <v>1343</v>
      </c>
      <c r="C157" s="84" t="s">
        <v>3953</v>
      </c>
      <c r="D157" s="85" t="s">
        <v>3949</v>
      </c>
      <c r="E157" s="85" t="s">
        <v>3950</v>
      </c>
      <c r="F157" s="85" t="s">
        <v>3736</v>
      </c>
      <c r="G157" s="85" t="s">
        <v>3928</v>
      </c>
      <c r="H157" s="90"/>
      <c r="I157" s="88" t="s">
        <v>4025</v>
      </c>
      <c r="J157" s="88" t="s">
        <v>3920</v>
      </c>
      <c r="K157" s="88" t="s">
        <v>3951</v>
      </c>
      <c r="M157" t="str">
        <v>1344</v>
      </c>
    </row>
    <row r="158" spans="1:13" x14ac:dyDescent="0.25">
      <c r="A158" s="83" t="s">
        <v>3473</v>
      </c>
      <c r="B158" s="83">
        <v>1344</v>
      </c>
      <c r="C158" s="84" t="s">
        <v>3954</v>
      </c>
      <c r="D158" s="85" t="s">
        <v>3949</v>
      </c>
      <c r="E158" s="85" t="s">
        <v>3950</v>
      </c>
      <c r="F158" s="85" t="s">
        <v>3736</v>
      </c>
      <c r="G158" s="85" t="s">
        <v>3928</v>
      </c>
      <c r="H158" s="90"/>
      <c r="I158" s="88" t="s">
        <v>4019</v>
      </c>
      <c r="J158" s="88" t="s">
        <v>3850</v>
      </c>
      <c r="K158" s="88" t="s">
        <v>3955</v>
      </c>
      <c r="M158" t="str">
        <v>1349</v>
      </c>
    </row>
    <row r="159" spans="1:13" x14ac:dyDescent="0.25">
      <c r="A159" s="83" t="s">
        <v>3475</v>
      </c>
      <c r="B159" s="83">
        <v>1349</v>
      </c>
      <c r="C159" s="84" t="s">
        <v>3956</v>
      </c>
      <c r="D159" s="85" t="s">
        <v>3949</v>
      </c>
      <c r="E159" s="85" t="s">
        <v>3950</v>
      </c>
      <c r="F159" s="85" t="s">
        <v>3736</v>
      </c>
      <c r="G159" s="85" t="s">
        <v>3928</v>
      </c>
      <c r="H159" s="90"/>
      <c r="I159" s="88" t="s">
        <v>4025</v>
      </c>
      <c r="J159" s="88" t="s">
        <v>3920</v>
      </c>
      <c r="K159" s="88" t="s">
        <v>3951</v>
      </c>
      <c r="M159" t="str">
        <v>0343</v>
      </c>
    </row>
    <row r="160" spans="1:13" x14ac:dyDescent="0.25">
      <c r="A160" s="83" t="s">
        <v>904</v>
      </c>
      <c r="B160" s="83">
        <v>343</v>
      </c>
      <c r="C160" s="84" t="s">
        <v>3957</v>
      </c>
      <c r="D160" s="85" t="s">
        <v>3949</v>
      </c>
      <c r="E160" s="85" t="s">
        <v>3950</v>
      </c>
      <c r="F160" s="85" t="s">
        <v>3761</v>
      </c>
      <c r="G160" s="85" t="s">
        <v>3928</v>
      </c>
      <c r="H160" s="90"/>
      <c r="I160" s="88" t="s">
        <v>4025</v>
      </c>
      <c r="J160" s="88" t="s">
        <v>3920</v>
      </c>
      <c r="K160" s="88" t="s">
        <v>3951</v>
      </c>
      <c r="M160" t="str">
        <v>0341</v>
      </c>
    </row>
    <row r="161" spans="1:13" x14ac:dyDescent="0.25">
      <c r="A161" s="83" t="s">
        <v>898</v>
      </c>
      <c r="B161" s="83">
        <v>341</v>
      </c>
      <c r="C161" s="84" t="s">
        <v>3958</v>
      </c>
      <c r="D161" s="85" t="s">
        <v>3949</v>
      </c>
      <c r="E161" s="89" t="s">
        <v>3950</v>
      </c>
      <c r="F161" s="84" t="s">
        <v>3761</v>
      </c>
      <c r="G161" s="85" t="s">
        <v>3928</v>
      </c>
      <c r="H161" s="90"/>
      <c r="I161" s="88" t="s">
        <v>4019</v>
      </c>
      <c r="J161" s="88" t="s">
        <v>3850</v>
      </c>
      <c r="K161" s="88" t="s">
        <v>3955</v>
      </c>
      <c r="M161" t="str">
        <v>0347</v>
      </c>
    </row>
    <row r="162" spans="1:13" x14ac:dyDescent="0.25">
      <c r="A162" s="83" t="s">
        <v>917</v>
      </c>
      <c r="B162" s="83">
        <v>347</v>
      </c>
      <c r="C162" s="84" t="s">
        <v>3958</v>
      </c>
      <c r="D162" s="85" t="s">
        <v>3949</v>
      </c>
      <c r="E162" s="89" t="s">
        <v>3950</v>
      </c>
      <c r="F162" s="84" t="s">
        <v>3761</v>
      </c>
      <c r="G162" s="85" t="s">
        <v>3928</v>
      </c>
      <c r="H162" s="90"/>
      <c r="I162" s="88" t="s">
        <v>4025</v>
      </c>
      <c r="J162" s="88" t="s">
        <v>3920</v>
      </c>
      <c r="K162" s="88" t="s">
        <v>3951</v>
      </c>
      <c r="M162" t="str">
        <v>0344</v>
      </c>
    </row>
    <row r="163" spans="1:13" x14ac:dyDescent="0.25">
      <c r="A163" s="83" t="s">
        <v>910</v>
      </c>
      <c r="B163" s="83">
        <v>344</v>
      </c>
      <c r="C163" s="84" t="s">
        <v>3959</v>
      </c>
      <c r="D163" s="85" t="s">
        <v>3949</v>
      </c>
      <c r="E163" s="89" t="s">
        <v>3950</v>
      </c>
      <c r="F163" s="84" t="s">
        <v>3761</v>
      </c>
      <c r="G163" s="85" t="s">
        <v>3928</v>
      </c>
      <c r="H163" s="90"/>
      <c r="I163" s="88" t="s">
        <v>4025</v>
      </c>
      <c r="J163" s="88" t="s">
        <v>3920</v>
      </c>
      <c r="K163" s="88" t="s">
        <v>3951</v>
      </c>
      <c r="M163" t="str">
        <v>1509</v>
      </c>
    </row>
    <row r="164" spans="1:13" x14ac:dyDescent="0.25">
      <c r="A164" s="83" t="s">
        <v>3541</v>
      </c>
      <c r="B164" s="83">
        <v>1509</v>
      </c>
      <c r="C164" s="84" t="s">
        <v>3960</v>
      </c>
      <c r="D164" s="85" t="s">
        <v>3961</v>
      </c>
      <c r="E164" s="89" t="s">
        <v>3950</v>
      </c>
      <c r="F164" s="84" t="s">
        <v>3736</v>
      </c>
      <c r="G164" s="85" t="s">
        <v>3737</v>
      </c>
      <c r="H164" s="90"/>
      <c r="I164" s="88" t="s">
        <v>4026</v>
      </c>
      <c r="J164" s="88" t="s">
        <v>3962</v>
      </c>
      <c r="K164" s="88" t="s">
        <v>3963</v>
      </c>
      <c r="M164" t="str">
        <v>1510</v>
      </c>
    </row>
    <row r="165" spans="1:13" x14ac:dyDescent="0.25">
      <c r="A165" s="83" t="s">
        <v>3543</v>
      </c>
      <c r="B165" s="83">
        <v>1510</v>
      </c>
      <c r="C165" s="84" t="s">
        <v>3964</v>
      </c>
      <c r="D165" s="85" t="s">
        <v>3961</v>
      </c>
      <c r="E165" s="85" t="s">
        <v>3950</v>
      </c>
      <c r="F165" s="85" t="s">
        <v>3736</v>
      </c>
      <c r="G165" s="86" t="s">
        <v>3737</v>
      </c>
      <c r="H165" s="90"/>
      <c r="I165" s="88" t="s">
        <v>4026</v>
      </c>
      <c r="J165" s="88" t="s">
        <v>3962</v>
      </c>
      <c r="K165" s="88" t="s">
        <v>3963</v>
      </c>
      <c r="M165" t="str">
        <v>0501</v>
      </c>
    </row>
    <row r="166" spans="1:13" x14ac:dyDescent="0.25">
      <c r="A166" s="83" t="s">
        <v>1529</v>
      </c>
      <c r="B166" s="83">
        <v>501</v>
      </c>
      <c r="C166" s="84" t="s">
        <v>3965</v>
      </c>
      <c r="D166" s="85" t="s">
        <v>3961</v>
      </c>
      <c r="E166" s="85" t="s">
        <v>3950</v>
      </c>
      <c r="F166" s="85" t="s">
        <v>3761</v>
      </c>
      <c r="G166" s="86" t="s">
        <v>3737</v>
      </c>
      <c r="H166" s="90"/>
      <c r="I166" s="88" t="s">
        <v>4026</v>
      </c>
      <c r="J166" s="88" t="s">
        <v>3962</v>
      </c>
      <c r="K166" s="88" t="s">
        <v>3963</v>
      </c>
      <c r="M166" t="str">
        <v>0506</v>
      </c>
    </row>
    <row r="167" spans="1:13" x14ac:dyDescent="0.25">
      <c r="A167" s="83" t="s">
        <v>1539</v>
      </c>
      <c r="B167" s="83">
        <v>506</v>
      </c>
      <c r="C167" s="84" t="s">
        <v>3966</v>
      </c>
      <c r="D167" s="85" t="s">
        <v>3961</v>
      </c>
      <c r="E167" s="89" t="s">
        <v>3950</v>
      </c>
      <c r="F167" s="84" t="s">
        <v>3761</v>
      </c>
      <c r="G167" s="86" t="s">
        <v>3737</v>
      </c>
      <c r="H167" s="90"/>
      <c r="I167" s="88" t="s">
        <v>4026</v>
      </c>
      <c r="J167" s="88" t="s">
        <v>3962</v>
      </c>
      <c r="K167" s="88" t="s">
        <v>3963</v>
      </c>
      <c r="M167" t="str">
        <v>1512</v>
      </c>
    </row>
    <row r="168" spans="1:13" x14ac:dyDescent="0.25">
      <c r="A168" s="83" t="s">
        <v>3546</v>
      </c>
      <c r="B168" s="83">
        <v>1512</v>
      </c>
      <c r="C168" s="84" t="s">
        <v>3967</v>
      </c>
      <c r="D168" s="85" t="s">
        <v>3968</v>
      </c>
      <c r="E168" s="89" t="s">
        <v>3950</v>
      </c>
      <c r="F168" s="84" t="s">
        <v>3736</v>
      </c>
      <c r="G168" s="86" t="s">
        <v>3775</v>
      </c>
      <c r="H168" s="90"/>
      <c r="I168" s="88" t="s">
        <v>4026</v>
      </c>
      <c r="J168" s="88" t="s">
        <v>3962</v>
      </c>
      <c r="K168" s="88" t="s">
        <v>3969</v>
      </c>
      <c r="M168" t="str">
        <v>1513</v>
      </c>
    </row>
    <row r="169" spans="1:13" x14ac:dyDescent="0.25">
      <c r="A169" s="83" t="s">
        <v>3548</v>
      </c>
      <c r="B169" s="83">
        <v>1513</v>
      </c>
      <c r="C169" s="84" t="s">
        <v>3970</v>
      </c>
      <c r="D169" s="85" t="s">
        <v>3968</v>
      </c>
      <c r="E169" s="85" t="s">
        <v>3950</v>
      </c>
      <c r="F169" s="85" t="s">
        <v>3736</v>
      </c>
      <c r="G169" s="85" t="s">
        <v>3775</v>
      </c>
      <c r="H169" s="90"/>
      <c r="I169" s="88" t="s">
        <v>4026</v>
      </c>
      <c r="J169" s="88" t="s">
        <v>3962</v>
      </c>
      <c r="K169" s="88" t="s">
        <v>3969</v>
      </c>
      <c r="M169" t="str">
        <v>1538</v>
      </c>
    </row>
    <row r="170" spans="1:13" x14ac:dyDescent="0.25">
      <c r="A170" s="83" t="s">
        <v>3550</v>
      </c>
      <c r="B170" s="83">
        <v>1538</v>
      </c>
      <c r="C170" s="84" t="s">
        <v>3971</v>
      </c>
      <c r="D170" s="85" t="s">
        <v>3968</v>
      </c>
      <c r="E170" s="85" t="s">
        <v>3950</v>
      </c>
      <c r="F170" s="85" t="s">
        <v>3736</v>
      </c>
      <c r="G170" s="85" t="s">
        <v>3775</v>
      </c>
      <c r="H170" s="90"/>
      <c r="I170" s="88" t="s">
        <v>4026</v>
      </c>
      <c r="J170" s="88" t="s">
        <v>3962</v>
      </c>
      <c r="K170" s="88" t="s">
        <v>3969</v>
      </c>
      <c r="M170" t="str">
        <v>1539</v>
      </c>
    </row>
    <row r="171" spans="1:13" x14ac:dyDescent="0.25">
      <c r="A171" s="83" t="s">
        <v>3552</v>
      </c>
      <c r="B171" s="83">
        <v>1539</v>
      </c>
      <c r="C171" s="84" t="s">
        <v>3972</v>
      </c>
      <c r="D171" s="85" t="s">
        <v>3968</v>
      </c>
      <c r="E171" s="85" t="s">
        <v>3950</v>
      </c>
      <c r="F171" s="85" t="s">
        <v>3736</v>
      </c>
      <c r="G171" s="85" t="s">
        <v>3775</v>
      </c>
      <c r="H171" s="90"/>
      <c r="I171" s="88" t="s">
        <v>4026</v>
      </c>
      <c r="J171" s="88" t="s">
        <v>3962</v>
      </c>
      <c r="K171" s="88" t="s">
        <v>3969</v>
      </c>
      <c r="M171" t="str">
        <v>1541</v>
      </c>
    </row>
    <row r="172" spans="1:13" x14ac:dyDescent="0.25">
      <c r="A172" s="83" t="s">
        <v>3554</v>
      </c>
      <c r="B172" s="83">
        <v>1541</v>
      </c>
      <c r="C172" s="84" t="s">
        <v>3973</v>
      </c>
      <c r="D172" s="85" t="s">
        <v>3968</v>
      </c>
      <c r="E172" s="85" t="s">
        <v>3950</v>
      </c>
      <c r="F172" s="85" t="s">
        <v>3736</v>
      </c>
      <c r="G172" s="85" t="s">
        <v>3775</v>
      </c>
      <c r="H172" s="90"/>
      <c r="I172" s="88" t="s">
        <v>4026</v>
      </c>
      <c r="J172" s="88" t="s">
        <v>3962</v>
      </c>
      <c r="K172" s="88" t="s">
        <v>3969</v>
      </c>
      <c r="M172" t="str">
        <v>2559</v>
      </c>
    </row>
    <row r="173" spans="1:13" x14ac:dyDescent="0.25">
      <c r="A173" s="83" t="s">
        <v>3696</v>
      </c>
      <c r="B173" s="83">
        <v>2559</v>
      </c>
      <c r="C173" s="84" t="s">
        <v>3974</v>
      </c>
      <c r="D173" s="85" t="s">
        <v>3968</v>
      </c>
      <c r="E173" s="85" t="s">
        <v>3950</v>
      </c>
      <c r="F173" s="85" t="s">
        <v>3736</v>
      </c>
      <c r="G173" s="85" t="s">
        <v>3775</v>
      </c>
      <c r="H173" s="90"/>
      <c r="I173" s="88" t="s">
        <v>4026</v>
      </c>
      <c r="J173" s="88" t="s">
        <v>3962</v>
      </c>
      <c r="K173" s="88" t="s">
        <v>3969</v>
      </c>
      <c r="M173" t="str">
        <v>0520</v>
      </c>
    </row>
    <row r="174" spans="1:13" x14ac:dyDescent="0.25">
      <c r="A174" s="83" t="s">
        <v>2696</v>
      </c>
      <c r="B174" s="83">
        <v>520</v>
      </c>
      <c r="C174" s="84" t="s">
        <v>3975</v>
      </c>
      <c r="D174" s="85" t="s">
        <v>3968</v>
      </c>
      <c r="E174" s="85" t="s">
        <v>3950</v>
      </c>
      <c r="F174" s="85" t="s">
        <v>3761</v>
      </c>
      <c r="G174" s="85" t="s">
        <v>3775</v>
      </c>
      <c r="H174" s="90"/>
      <c r="I174" s="88" t="s">
        <v>4026</v>
      </c>
      <c r="J174" s="88" t="s">
        <v>3962</v>
      </c>
      <c r="K174" s="88" t="s">
        <v>3969</v>
      </c>
      <c r="M174" t="str">
        <v>0530</v>
      </c>
    </row>
    <row r="175" spans="1:13" x14ac:dyDescent="0.25">
      <c r="A175" s="83" t="s">
        <v>162</v>
      </c>
      <c r="B175" s="83">
        <v>530</v>
      </c>
      <c r="C175" s="84" t="s">
        <v>3976</v>
      </c>
      <c r="D175" s="85" t="s">
        <v>3968</v>
      </c>
      <c r="E175" s="89" t="s">
        <v>3950</v>
      </c>
      <c r="F175" s="84" t="s">
        <v>3761</v>
      </c>
      <c r="G175" s="85" t="s">
        <v>3775</v>
      </c>
      <c r="H175" s="90"/>
      <c r="I175" s="88" t="s">
        <v>4026</v>
      </c>
      <c r="J175" s="88" t="s">
        <v>3962</v>
      </c>
      <c r="K175" s="88" t="s">
        <v>3969</v>
      </c>
      <c r="M175" t="str">
        <v>0529</v>
      </c>
    </row>
    <row r="176" spans="1:13" x14ac:dyDescent="0.25">
      <c r="A176" s="83" t="s">
        <v>2748</v>
      </c>
      <c r="B176" s="83">
        <v>529</v>
      </c>
      <c r="C176" s="84" t="s">
        <v>3977</v>
      </c>
      <c r="D176" s="85" t="s">
        <v>3968</v>
      </c>
      <c r="E176" s="89" t="s">
        <v>3950</v>
      </c>
      <c r="F176" s="84" t="s">
        <v>3761</v>
      </c>
      <c r="G176" s="85" t="s">
        <v>3775</v>
      </c>
      <c r="H176" s="90"/>
      <c r="I176" s="88" t="s">
        <v>4026</v>
      </c>
      <c r="J176" s="88" t="s">
        <v>3962</v>
      </c>
      <c r="K176" s="88" t="s">
        <v>3969</v>
      </c>
      <c r="M176" t="str">
        <v>0527</v>
      </c>
    </row>
    <row r="177" spans="1:13" x14ac:dyDescent="0.25">
      <c r="A177" s="83" t="s">
        <v>2736</v>
      </c>
      <c r="B177" s="83">
        <v>527</v>
      </c>
      <c r="C177" s="84" t="s">
        <v>3978</v>
      </c>
      <c r="D177" s="85" t="s">
        <v>3968</v>
      </c>
      <c r="E177" s="89" t="s">
        <v>3950</v>
      </c>
      <c r="F177" s="84" t="s">
        <v>3761</v>
      </c>
      <c r="G177" s="85" t="s">
        <v>3775</v>
      </c>
      <c r="H177" s="90"/>
      <c r="I177" s="88" t="s">
        <v>4026</v>
      </c>
      <c r="J177" s="88" t="s">
        <v>3962</v>
      </c>
      <c r="K177" s="88" t="s">
        <v>3969</v>
      </c>
      <c r="M177" t="str">
        <v>0533</v>
      </c>
    </row>
    <row r="178" spans="1:13" x14ac:dyDescent="0.25">
      <c r="A178" s="83" t="s">
        <v>2761</v>
      </c>
      <c r="B178" s="83">
        <v>533</v>
      </c>
      <c r="C178" s="84" t="s">
        <v>3979</v>
      </c>
      <c r="D178" s="85" t="s">
        <v>3968</v>
      </c>
      <c r="E178" s="89" t="s">
        <v>3950</v>
      </c>
      <c r="F178" s="84" t="s">
        <v>3761</v>
      </c>
      <c r="G178" s="85" t="s">
        <v>3775</v>
      </c>
      <c r="H178" s="90"/>
      <c r="I178" s="88" t="s">
        <v>4026</v>
      </c>
      <c r="J178" s="88" t="s">
        <v>3962</v>
      </c>
      <c r="K178" s="88" t="s">
        <v>3969</v>
      </c>
      <c r="M178" t="str">
        <v>0521</v>
      </c>
    </row>
    <row r="179" spans="1:13" x14ac:dyDescent="0.25">
      <c r="A179" s="83" t="s">
        <v>2702</v>
      </c>
      <c r="B179" s="83">
        <v>521</v>
      </c>
      <c r="C179" s="84" t="s">
        <v>3980</v>
      </c>
      <c r="D179" s="85" t="s">
        <v>3968</v>
      </c>
      <c r="E179" s="89" t="s">
        <v>3950</v>
      </c>
      <c r="F179" s="84" t="s">
        <v>3761</v>
      </c>
      <c r="G179" s="85" t="s">
        <v>3775</v>
      </c>
      <c r="H179" s="90"/>
      <c r="I179" s="88" t="s">
        <v>4026</v>
      </c>
      <c r="J179" s="88" t="s">
        <v>3962</v>
      </c>
      <c r="K179" s="88" t="s">
        <v>3969</v>
      </c>
      <c r="M179" t="str">
        <v>0523</v>
      </c>
    </row>
    <row r="180" spans="1:13" x14ac:dyDescent="0.25">
      <c r="A180" s="83" t="s">
        <v>2713</v>
      </c>
      <c r="B180" s="83">
        <v>523</v>
      </c>
      <c r="C180" s="84" t="s">
        <v>3981</v>
      </c>
      <c r="D180" s="85" t="s">
        <v>3968</v>
      </c>
      <c r="E180" s="89" t="s">
        <v>3950</v>
      </c>
      <c r="F180" s="84" t="s">
        <v>3761</v>
      </c>
      <c r="G180" s="85" t="s">
        <v>3775</v>
      </c>
      <c r="H180" s="90"/>
      <c r="I180" s="88" t="s">
        <v>4026</v>
      </c>
      <c r="J180" s="88" t="s">
        <v>3962</v>
      </c>
      <c r="K180" s="88" t="s">
        <v>3969</v>
      </c>
      <c r="M180" t="str">
        <v>1511</v>
      </c>
    </row>
    <row r="181" spans="1:13" x14ac:dyDescent="0.25">
      <c r="A181" s="83" t="s">
        <v>3544</v>
      </c>
      <c r="B181" s="83">
        <v>1511</v>
      </c>
      <c r="C181" s="84" t="s">
        <v>3982</v>
      </c>
      <c r="D181" s="85" t="s">
        <v>3968</v>
      </c>
      <c r="E181" s="89" t="s">
        <v>3950</v>
      </c>
      <c r="F181" s="84" t="s">
        <v>3761</v>
      </c>
      <c r="G181" s="85" t="s">
        <v>3775</v>
      </c>
      <c r="H181" s="90"/>
      <c r="I181" s="88" t="s">
        <v>4026</v>
      </c>
      <c r="J181" s="88" t="s">
        <v>3962</v>
      </c>
      <c r="K181" s="88" t="s">
        <v>3969</v>
      </c>
      <c r="M181" t="str">
        <v>0536</v>
      </c>
    </row>
    <row r="182" spans="1:13" x14ac:dyDescent="0.25">
      <c r="A182" s="83" t="s">
        <v>2772</v>
      </c>
      <c r="B182" s="83">
        <v>536</v>
      </c>
      <c r="C182" s="84" t="s">
        <v>3983</v>
      </c>
      <c r="D182" s="85" t="s">
        <v>3968</v>
      </c>
      <c r="E182" s="89" t="s">
        <v>3950</v>
      </c>
      <c r="F182" s="84" t="s">
        <v>3744</v>
      </c>
      <c r="G182" s="85" t="s">
        <v>3775</v>
      </c>
      <c r="H182" s="90"/>
      <c r="I182" s="88" t="s">
        <v>4026</v>
      </c>
      <c r="J182" s="88" t="s">
        <v>3962</v>
      </c>
      <c r="K182" s="88" t="s">
        <v>3969</v>
      </c>
      <c r="M182" t="str">
        <v>1581</v>
      </c>
    </row>
    <row r="183" spans="1:13" x14ac:dyDescent="0.25">
      <c r="A183" s="83" t="s">
        <v>3564</v>
      </c>
      <c r="B183" s="83">
        <v>1581</v>
      </c>
      <c r="C183" s="84" t="s">
        <v>3984</v>
      </c>
      <c r="D183" s="85" t="s">
        <v>3985</v>
      </c>
      <c r="E183" s="89" t="s">
        <v>3950</v>
      </c>
      <c r="F183" s="84" t="s">
        <v>3736</v>
      </c>
      <c r="G183" s="85" t="s">
        <v>3737</v>
      </c>
      <c r="H183" s="90"/>
      <c r="I183" s="88" t="s">
        <v>3856</v>
      </c>
      <c r="J183" s="88" t="s">
        <v>3738</v>
      </c>
      <c r="K183" s="88" t="s">
        <v>3739</v>
      </c>
      <c r="M183" t="str">
        <v>2545</v>
      </c>
    </row>
    <row r="184" spans="1:13" x14ac:dyDescent="0.25">
      <c r="A184" s="83" t="s">
        <v>3690</v>
      </c>
      <c r="B184" s="83">
        <v>2545</v>
      </c>
      <c r="C184" s="84" t="s">
        <v>3986</v>
      </c>
      <c r="D184" s="85" t="s">
        <v>3985</v>
      </c>
      <c r="E184" s="89" t="s">
        <v>3950</v>
      </c>
      <c r="F184" s="85" t="s">
        <v>3736</v>
      </c>
      <c r="G184" s="86" t="s">
        <v>3737</v>
      </c>
      <c r="H184" s="90"/>
      <c r="I184" s="88" t="s">
        <v>3856</v>
      </c>
      <c r="J184" s="88" t="s">
        <v>3738</v>
      </c>
      <c r="K184" s="88" t="s">
        <v>3739</v>
      </c>
      <c r="M184" t="str">
        <v>0398</v>
      </c>
    </row>
    <row r="185" spans="1:13" x14ac:dyDescent="0.25">
      <c r="A185" s="83" t="s">
        <v>2066</v>
      </c>
      <c r="B185" s="83">
        <v>398</v>
      </c>
      <c r="C185" s="84" t="s">
        <v>3987</v>
      </c>
      <c r="D185" s="85" t="s">
        <v>3988</v>
      </c>
      <c r="E185" s="89" t="s">
        <v>3989</v>
      </c>
      <c r="F185" s="85" t="s">
        <v>3761</v>
      </c>
      <c r="G185" s="86" t="s">
        <v>3775</v>
      </c>
      <c r="H185" s="90"/>
      <c r="I185" s="88" t="s">
        <v>3856</v>
      </c>
      <c r="J185" s="88" t="s">
        <v>3738</v>
      </c>
      <c r="K185" s="88" t="s">
        <v>3776</v>
      </c>
      <c r="M185" t="str">
        <v>1394</v>
      </c>
    </row>
    <row r="186" spans="1:13" x14ac:dyDescent="0.25">
      <c r="A186" s="83" t="s">
        <v>3498</v>
      </c>
      <c r="B186" s="83">
        <v>1394</v>
      </c>
      <c r="C186" s="84" t="s">
        <v>3990</v>
      </c>
      <c r="D186" s="86" t="s">
        <v>3988</v>
      </c>
      <c r="E186" s="89" t="s">
        <v>3989</v>
      </c>
      <c r="F186" s="84" t="s">
        <v>3736</v>
      </c>
      <c r="G186" s="85" t="s">
        <v>3775</v>
      </c>
      <c r="H186" s="90"/>
      <c r="I186" s="88" t="s">
        <v>3856</v>
      </c>
      <c r="J186" s="88" t="s">
        <v>3738</v>
      </c>
      <c r="K186" s="88" t="s">
        <v>3776</v>
      </c>
      <c r="M186" t="str">
        <v>1395</v>
      </c>
    </row>
    <row r="187" spans="1:13" x14ac:dyDescent="0.25">
      <c r="A187" s="83" t="s">
        <v>3500</v>
      </c>
      <c r="B187" s="83">
        <v>1395</v>
      </c>
      <c r="C187" s="84" t="s">
        <v>3991</v>
      </c>
      <c r="D187" s="86" t="s">
        <v>3988</v>
      </c>
      <c r="E187" s="85" t="s">
        <v>3989</v>
      </c>
      <c r="F187" s="85" t="s">
        <v>3736</v>
      </c>
      <c r="G187" s="85" t="s">
        <v>3775</v>
      </c>
      <c r="H187" s="90"/>
      <c r="I187" s="88" t="s">
        <v>3856</v>
      </c>
      <c r="J187" s="88" t="s">
        <v>3738</v>
      </c>
      <c r="K187" s="88" t="s">
        <v>3776</v>
      </c>
      <c r="M187" t="str">
        <v>2502</v>
      </c>
    </row>
    <row r="188" spans="1:13" x14ac:dyDescent="0.25">
      <c r="A188" s="83" t="s">
        <v>3671</v>
      </c>
      <c r="B188" s="83">
        <v>2502</v>
      </c>
      <c r="C188" s="84" t="s">
        <v>3992</v>
      </c>
      <c r="D188" s="86" t="s">
        <v>3988</v>
      </c>
      <c r="E188" s="85" t="s">
        <v>3989</v>
      </c>
      <c r="F188" s="85" t="s">
        <v>3736</v>
      </c>
      <c r="G188" s="85" t="s">
        <v>3775</v>
      </c>
      <c r="H188" s="90"/>
      <c r="I188" s="88" t="s">
        <v>3856</v>
      </c>
      <c r="J188" s="88" t="s">
        <v>3738</v>
      </c>
      <c r="K188" s="88" t="s">
        <v>3776</v>
      </c>
      <c r="M188" t="str">
        <v>2504</v>
      </c>
    </row>
    <row r="189" spans="1:13" x14ac:dyDescent="0.25">
      <c r="A189" s="83" t="s">
        <v>3672</v>
      </c>
      <c r="B189" s="83">
        <v>2504</v>
      </c>
      <c r="C189" s="84" t="s">
        <v>3993</v>
      </c>
      <c r="D189" s="86" t="s">
        <v>3988</v>
      </c>
      <c r="E189" s="85" t="s">
        <v>3989</v>
      </c>
      <c r="F189" s="85" t="s">
        <v>3736</v>
      </c>
      <c r="G189" s="85" t="s">
        <v>3775</v>
      </c>
      <c r="H189" s="90"/>
      <c r="I189" s="88" t="s">
        <v>3856</v>
      </c>
      <c r="J189" s="88" t="s">
        <v>3738</v>
      </c>
      <c r="K189" s="88" t="s">
        <v>3776</v>
      </c>
      <c r="M189" t="str">
        <v>0399</v>
      </c>
    </row>
    <row r="190" spans="1:13" x14ac:dyDescent="0.25">
      <c r="A190" s="83" t="s">
        <v>2071</v>
      </c>
      <c r="B190" s="83">
        <v>399</v>
      </c>
      <c r="C190" s="84" t="s">
        <v>3994</v>
      </c>
      <c r="D190" s="86" t="s">
        <v>3988</v>
      </c>
      <c r="E190" s="85" t="s">
        <v>3989</v>
      </c>
      <c r="F190" s="85" t="s">
        <v>3744</v>
      </c>
      <c r="G190" s="85" t="s">
        <v>3775</v>
      </c>
      <c r="H190" s="90"/>
      <c r="I190" s="88" t="s">
        <v>3856</v>
      </c>
      <c r="J190" s="88" t="s">
        <v>3738</v>
      </c>
      <c r="K190" s="88" t="s">
        <v>3776</v>
      </c>
      <c r="M190" t="str">
        <v>1351</v>
      </c>
    </row>
    <row r="191" spans="1:13" x14ac:dyDescent="0.25">
      <c r="A191" s="83" t="s">
        <v>3477</v>
      </c>
      <c r="B191" s="83">
        <v>1351</v>
      </c>
      <c r="C191" s="84" t="s">
        <v>3995</v>
      </c>
      <c r="D191" s="86" t="s">
        <v>3996</v>
      </c>
      <c r="E191" s="85" t="s">
        <v>3989</v>
      </c>
      <c r="F191" s="85" t="s">
        <v>3736</v>
      </c>
      <c r="G191" s="85" t="s">
        <v>3766</v>
      </c>
      <c r="H191" s="90"/>
      <c r="I191" s="88" t="s">
        <v>3856</v>
      </c>
      <c r="J191" s="88" t="s">
        <v>3738</v>
      </c>
      <c r="K191" s="88" t="s">
        <v>4011</v>
      </c>
      <c r="M191" t="str">
        <v>2546</v>
      </c>
    </row>
    <row r="192" spans="1:13" x14ac:dyDescent="0.25">
      <c r="A192" s="83" t="s">
        <v>3691</v>
      </c>
      <c r="B192" s="83">
        <v>2546</v>
      </c>
      <c r="C192" s="84" t="s">
        <v>3997</v>
      </c>
      <c r="D192" s="85" t="s">
        <v>3996</v>
      </c>
      <c r="E192" s="85" t="s">
        <v>3989</v>
      </c>
      <c r="F192" s="85" t="s">
        <v>3736</v>
      </c>
      <c r="G192" s="85" t="s">
        <v>3766</v>
      </c>
      <c r="H192" s="90"/>
      <c r="I192" s="88" t="s">
        <v>3856</v>
      </c>
      <c r="J192" s="88" t="s">
        <v>3738</v>
      </c>
      <c r="K192" s="88" t="s">
        <v>4011</v>
      </c>
      <c r="M192" t="str">
        <v>1361</v>
      </c>
    </row>
    <row r="193" spans="1:13" x14ac:dyDescent="0.25">
      <c r="A193" s="83" t="s">
        <v>3488</v>
      </c>
      <c r="B193" s="83">
        <v>1361</v>
      </c>
      <c r="C193" s="84" t="s">
        <v>3998</v>
      </c>
      <c r="D193" s="85" t="s">
        <v>3996</v>
      </c>
      <c r="E193" s="85" t="s">
        <v>3989</v>
      </c>
      <c r="F193" s="85" t="s">
        <v>3744</v>
      </c>
      <c r="G193" s="85" t="s">
        <v>3766</v>
      </c>
      <c r="H193" s="90"/>
      <c r="I193" s="88" t="s">
        <v>3856</v>
      </c>
      <c r="J193" s="88" t="s">
        <v>3738</v>
      </c>
      <c r="K193" s="88" t="s">
        <v>4011</v>
      </c>
      <c r="M193" t="str">
        <v>0029</v>
      </c>
    </row>
    <row r="194" spans="1:13" x14ac:dyDescent="0.25">
      <c r="A194" s="83" t="s">
        <v>2564</v>
      </c>
      <c r="B194" s="83">
        <v>29</v>
      </c>
      <c r="C194" s="84" t="s">
        <v>3999</v>
      </c>
      <c r="D194" s="85" t="s">
        <v>3934</v>
      </c>
      <c r="E194" s="85" t="s">
        <v>3989</v>
      </c>
      <c r="F194" s="85" t="s">
        <v>3736</v>
      </c>
      <c r="G194" s="85" t="s">
        <v>3766</v>
      </c>
      <c r="H194" s="90"/>
      <c r="I194" s="88" t="s">
        <v>3856</v>
      </c>
      <c r="J194" s="88" t="s">
        <v>3738</v>
      </c>
      <c r="K194" s="88" t="s">
        <v>4011</v>
      </c>
      <c r="M194" t="str">
        <v>1102</v>
      </c>
    </row>
    <row r="195" spans="1:13" x14ac:dyDescent="0.25">
      <c r="A195" s="83" t="s">
        <v>3374</v>
      </c>
      <c r="B195" s="83">
        <v>1102</v>
      </c>
      <c r="C195" s="84" t="s">
        <v>4000</v>
      </c>
      <c r="D195" s="91" t="s">
        <v>3934</v>
      </c>
      <c r="E195" s="85" t="s">
        <v>3989</v>
      </c>
      <c r="F195" s="85" t="s">
        <v>3736</v>
      </c>
      <c r="G195" s="85" t="s">
        <v>3766</v>
      </c>
      <c r="H195" s="90"/>
      <c r="I195" s="88" t="s">
        <v>3856</v>
      </c>
      <c r="J195" s="88" t="s">
        <v>3738</v>
      </c>
      <c r="K195" s="88" t="s">
        <v>4011</v>
      </c>
      <c r="M195" t="str">
        <v>1109</v>
      </c>
    </row>
    <row r="196" spans="1:13" x14ac:dyDescent="0.25">
      <c r="A196" s="83" t="s">
        <v>3383</v>
      </c>
      <c r="B196" s="83">
        <v>1109</v>
      </c>
      <c r="C196" s="84" t="s">
        <v>4001</v>
      </c>
      <c r="D196" s="91" t="s">
        <v>3934</v>
      </c>
      <c r="E196" s="85" t="s">
        <v>3989</v>
      </c>
      <c r="F196" s="85" t="s">
        <v>3736</v>
      </c>
      <c r="G196" s="85" t="s">
        <v>3766</v>
      </c>
      <c r="H196" s="90"/>
      <c r="I196" s="88" t="s">
        <v>3856</v>
      </c>
      <c r="J196" s="88" t="s">
        <v>3738</v>
      </c>
      <c r="K196" s="88" t="s">
        <v>4011</v>
      </c>
      <c r="M196" t="str">
        <v>1114</v>
      </c>
    </row>
    <row r="197" spans="1:13" x14ac:dyDescent="0.25">
      <c r="A197" s="83" t="s">
        <v>3391</v>
      </c>
      <c r="B197" s="83">
        <v>1114</v>
      </c>
      <c r="C197" s="84" t="s">
        <v>4002</v>
      </c>
      <c r="D197" s="91" t="s">
        <v>3934</v>
      </c>
      <c r="E197" s="85" t="s">
        <v>3989</v>
      </c>
      <c r="F197" s="85" t="s">
        <v>3736</v>
      </c>
      <c r="G197" s="85" t="s">
        <v>3766</v>
      </c>
      <c r="H197" s="90"/>
      <c r="I197" s="88" t="s">
        <v>3856</v>
      </c>
      <c r="J197" s="88" t="s">
        <v>3738</v>
      </c>
      <c r="K197" s="88" t="s">
        <v>4011</v>
      </c>
      <c r="M197" t="str">
        <v>0335</v>
      </c>
    </row>
    <row r="198" spans="1:13" x14ac:dyDescent="0.25">
      <c r="A198" s="83" t="s">
        <v>570</v>
      </c>
      <c r="B198" s="83">
        <v>335</v>
      </c>
      <c r="C198" s="84" t="s">
        <v>4003</v>
      </c>
      <c r="D198" s="91" t="s">
        <v>3734</v>
      </c>
      <c r="E198" s="85" t="s">
        <v>3735</v>
      </c>
      <c r="F198" s="85" t="s">
        <v>3761</v>
      </c>
      <c r="G198" s="85" t="s">
        <v>4004</v>
      </c>
      <c r="H198" s="90"/>
      <c r="I198" s="88" t="s">
        <v>4010</v>
      </c>
      <c r="J198" s="88" t="s">
        <v>3738</v>
      </c>
      <c r="K198" s="88" t="s">
        <v>3739</v>
      </c>
    </row>
  </sheetData>
  <sortState xmlns:xlrd2="http://schemas.microsoft.com/office/spreadsheetml/2017/richdata2" ref="P3:P21">
    <sortCondition ref="P3:P21"/>
  </sortState>
  <conditionalFormatting sqref="A4:K198">
    <cfRule type="expression" dxfId="0" priority="1">
      <formula>ISEVEN(ROW())</formula>
    </cfRule>
  </conditionalFormatting>
  <hyperlinks>
    <hyperlink ref="E1" r:id="rId1" display="https://mistercarwash.sharepoint.com/:x:/s/EnterpriseOperations/IQCKnNVCa4tYRpAT6FB9rhnSAYgPANnERIAHT8CO-RofpAM?e=uTeKt2" xr:uid="{0797CFB2-9938-4C0D-A8F9-AA1C1C1A2FD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B0B2-BE6F-4F1E-A049-DFBCEB7E858D}">
  <dimension ref="A3:C20"/>
  <sheetViews>
    <sheetView workbookViewId="0">
      <selection activeCell="M16" sqref="M16"/>
    </sheetView>
  </sheetViews>
  <sheetFormatPr defaultRowHeight="15.75" x14ac:dyDescent="0.25"/>
  <cols>
    <col min="1" max="1" width="19.25" bestFit="1" customWidth="1"/>
    <col min="2" max="2" width="14.875" bestFit="1" customWidth="1"/>
  </cols>
  <sheetData>
    <row r="3" spans="1:3" x14ac:dyDescent="0.25">
      <c r="A3" s="97"/>
      <c r="B3" s="98"/>
      <c r="C3" s="99"/>
    </row>
    <row r="4" spans="1:3" x14ac:dyDescent="0.25">
      <c r="A4" s="100"/>
      <c r="B4" s="101"/>
      <c r="C4" s="102"/>
    </row>
    <row r="5" spans="1:3" x14ac:dyDescent="0.25">
      <c r="A5" s="100"/>
      <c r="B5" s="101"/>
      <c r="C5" s="102"/>
    </row>
    <row r="6" spans="1:3" x14ac:dyDescent="0.25">
      <c r="A6" s="100"/>
      <c r="B6" s="101"/>
      <c r="C6" s="102"/>
    </row>
    <row r="7" spans="1:3" x14ac:dyDescent="0.25">
      <c r="A7" s="100"/>
      <c r="B7" s="101"/>
      <c r="C7" s="102"/>
    </row>
    <row r="8" spans="1:3" x14ac:dyDescent="0.25">
      <c r="A8" s="100"/>
      <c r="B8" s="101"/>
      <c r="C8" s="102"/>
    </row>
    <row r="9" spans="1:3" x14ac:dyDescent="0.25">
      <c r="A9" s="100"/>
      <c r="B9" s="101"/>
      <c r="C9" s="102"/>
    </row>
    <row r="10" spans="1:3" x14ac:dyDescent="0.25">
      <c r="A10" s="100"/>
      <c r="B10" s="101"/>
      <c r="C10" s="102"/>
    </row>
    <row r="11" spans="1:3" x14ac:dyDescent="0.25">
      <c r="A11" s="100"/>
      <c r="B11" s="101"/>
      <c r="C11" s="102"/>
    </row>
    <row r="12" spans="1:3" x14ac:dyDescent="0.25">
      <c r="A12" s="100"/>
      <c r="B12" s="101"/>
      <c r="C12" s="102"/>
    </row>
    <row r="13" spans="1:3" x14ac:dyDescent="0.25">
      <c r="A13" s="100"/>
      <c r="B13" s="101"/>
      <c r="C13" s="102"/>
    </row>
    <row r="14" spans="1:3" x14ac:dyDescent="0.25">
      <c r="A14" s="100"/>
      <c r="B14" s="101"/>
      <c r="C14" s="102"/>
    </row>
    <row r="15" spans="1:3" x14ac:dyDescent="0.25">
      <c r="A15" s="100"/>
      <c r="B15" s="101"/>
      <c r="C15" s="102"/>
    </row>
    <row r="16" spans="1:3" x14ac:dyDescent="0.25">
      <c r="A16" s="100"/>
      <c r="B16" s="101"/>
      <c r="C16" s="102"/>
    </row>
    <row r="17" spans="1:3" x14ac:dyDescent="0.25">
      <c r="A17" s="100"/>
      <c r="B17" s="101"/>
      <c r="C17" s="102"/>
    </row>
    <row r="18" spans="1:3" x14ac:dyDescent="0.25">
      <c r="A18" s="100"/>
      <c r="B18" s="101"/>
      <c r="C18" s="102"/>
    </row>
    <row r="19" spans="1:3" x14ac:dyDescent="0.25">
      <c r="A19" s="100"/>
      <c r="B19" s="101"/>
      <c r="C19" s="102"/>
    </row>
    <row r="20" spans="1:3" x14ac:dyDescent="0.25">
      <c r="A20" s="103"/>
      <c r="B20" s="104"/>
      <c r="C20" s="10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FFA8-B3DF-4F9C-8549-ECF866E5530D}">
  <dimension ref="A1:N45"/>
  <sheetViews>
    <sheetView workbookViewId="0">
      <selection activeCell="N7" sqref="N7"/>
    </sheetView>
  </sheetViews>
  <sheetFormatPr defaultColWidth="8.875" defaultRowHeight="15.75" x14ac:dyDescent="0.25"/>
  <cols>
    <col min="1" max="1" width="31.125" bestFit="1" customWidth="1"/>
    <col min="2" max="2" width="5.125" style="15" customWidth="1"/>
    <col min="3" max="3" width="7.875" customWidth="1"/>
    <col min="4" max="4" width="20.625" bestFit="1" customWidth="1"/>
    <col min="5" max="5" width="26.875" bestFit="1" customWidth="1"/>
    <col min="6" max="6" width="15.875" bestFit="1" customWidth="1"/>
    <col min="7" max="7" width="7.125" customWidth="1"/>
    <col min="8" max="8" width="10.375" style="15" bestFit="1" customWidth="1"/>
    <col min="9" max="9" width="13.375" bestFit="1" customWidth="1"/>
  </cols>
  <sheetData>
    <row r="1" spans="1:14" x14ac:dyDescent="0.25">
      <c r="A1" s="44" t="s">
        <v>0</v>
      </c>
      <c r="B1" s="44"/>
      <c r="C1" s="44"/>
      <c r="D1" s="44"/>
      <c r="E1" s="44"/>
      <c r="F1" s="44"/>
      <c r="G1" s="23" t="s">
        <v>18</v>
      </c>
      <c r="H1" s="25" t="s">
        <v>19</v>
      </c>
      <c r="I1" s="16"/>
      <c r="J1" s="16"/>
      <c r="K1" s="16"/>
      <c r="L1" s="16"/>
      <c r="M1" s="16"/>
      <c r="N1" s="16"/>
    </row>
    <row r="2" spans="1:14" ht="15.4" customHeight="1" x14ac:dyDescent="0.3">
      <c r="A2" s="22" t="s">
        <v>20</v>
      </c>
      <c r="B2" s="61"/>
      <c r="C2" s="22"/>
      <c r="E2" s="22"/>
      <c r="F2" s="22"/>
      <c r="G2" s="23" t="s">
        <v>21</v>
      </c>
      <c r="H2" s="26" t="s">
        <v>22</v>
      </c>
      <c r="I2" s="22"/>
      <c r="J2" s="22"/>
      <c r="K2" s="22"/>
    </row>
    <row r="3" spans="1:14" ht="15.4" customHeight="1" thickBot="1" x14ac:dyDescent="0.35">
      <c r="A3" s="22"/>
      <c r="B3" s="61"/>
      <c r="C3" s="22"/>
      <c r="D3" s="22"/>
      <c r="E3" s="22"/>
      <c r="F3" s="22"/>
      <c r="G3" s="22"/>
      <c r="H3" s="61"/>
      <c r="I3" s="30"/>
      <c r="J3" s="22"/>
      <c r="K3" s="22"/>
    </row>
    <row r="4" spans="1:14" ht="76.349999999999994" customHeight="1" x14ac:dyDescent="0.3">
      <c r="A4" s="34"/>
      <c r="B4" s="62"/>
      <c r="C4" s="35"/>
      <c r="D4" s="35"/>
      <c r="E4" s="35"/>
      <c r="F4" s="35"/>
      <c r="G4" s="35"/>
      <c r="H4" s="62"/>
      <c r="J4" s="36"/>
      <c r="K4" s="38"/>
      <c r="L4" s="40"/>
    </row>
    <row r="5" spans="1:14" ht="16.5" thickBot="1" x14ac:dyDescent="0.3">
      <c r="A5" s="31" t="s">
        <v>23</v>
      </c>
      <c r="B5" s="32" t="s">
        <v>24</v>
      </c>
      <c r="C5" s="32" t="s">
        <v>6</v>
      </c>
      <c r="D5" s="32" t="s">
        <v>8</v>
      </c>
      <c r="E5" s="32" t="s">
        <v>25</v>
      </c>
      <c r="F5" s="32" t="s">
        <v>11</v>
      </c>
      <c r="G5" s="32" t="s">
        <v>12</v>
      </c>
      <c r="H5" s="33" t="s">
        <v>13</v>
      </c>
      <c r="I5" s="32" t="s">
        <v>26</v>
      </c>
      <c r="J5" s="37"/>
      <c r="K5" s="39"/>
      <c r="L5" s="41"/>
    </row>
    <row r="6" spans="1:14" x14ac:dyDescent="0.25">
      <c r="A6" t="s">
        <v>27</v>
      </c>
      <c r="B6" s="15">
        <v>804</v>
      </c>
      <c r="C6" s="63" t="s">
        <v>28</v>
      </c>
      <c r="D6" t="s">
        <v>29</v>
      </c>
      <c r="E6" t="s">
        <v>30</v>
      </c>
      <c r="F6" t="s">
        <v>31</v>
      </c>
      <c r="G6" t="s">
        <v>32</v>
      </c>
      <c r="H6" s="15">
        <v>77055</v>
      </c>
      <c r="I6" t="s">
        <v>33</v>
      </c>
      <c r="J6" s="6"/>
      <c r="K6" s="7"/>
      <c r="L6" s="8"/>
    </row>
    <row r="7" spans="1:14" x14ac:dyDescent="0.25">
      <c r="A7" t="s">
        <v>34</v>
      </c>
      <c r="B7" s="15">
        <v>807</v>
      </c>
      <c r="C7" s="63" t="s">
        <v>35</v>
      </c>
      <c r="D7" t="s">
        <v>36</v>
      </c>
      <c r="E7" t="s">
        <v>37</v>
      </c>
      <c r="F7" t="s">
        <v>38</v>
      </c>
      <c r="G7" t="s">
        <v>39</v>
      </c>
      <c r="H7" s="15">
        <v>87401</v>
      </c>
      <c r="I7" t="s">
        <v>40</v>
      </c>
      <c r="J7" s="2"/>
      <c r="K7" s="3"/>
      <c r="L7" s="4"/>
    </row>
    <row r="8" spans="1:14" x14ac:dyDescent="0.25">
      <c r="A8" t="s">
        <v>41</v>
      </c>
      <c r="B8" s="15">
        <v>813</v>
      </c>
      <c r="C8" s="63" t="s">
        <v>42</v>
      </c>
      <c r="D8" t="s">
        <v>43</v>
      </c>
      <c r="E8" t="s">
        <v>44</v>
      </c>
      <c r="F8" t="s">
        <v>45</v>
      </c>
      <c r="G8" t="s">
        <v>46</v>
      </c>
      <c r="H8" s="15" t="s">
        <v>47</v>
      </c>
      <c r="I8" t="s">
        <v>48</v>
      </c>
      <c r="J8" s="2"/>
      <c r="K8" s="3"/>
      <c r="L8" s="4"/>
    </row>
    <row r="9" spans="1:14" ht="15.75" customHeight="1" x14ac:dyDescent="0.25">
      <c r="A9" t="s">
        <v>49</v>
      </c>
      <c r="B9" s="15">
        <v>812</v>
      </c>
      <c r="C9" s="63" t="s">
        <v>50</v>
      </c>
      <c r="D9" t="s">
        <v>51</v>
      </c>
      <c r="E9" t="s">
        <v>52</v>
      </c>
      <c r="F9" t="s">
        <v>53</v>
      </c>
      <c r="G9" t="s">
        <v>54</v>
      </c>
      <c r="H9" s="15">
        <v>32771</v>
      </c>
      <c r="I9" t="s">
        <v>55</v>
      </c>
      <c r="J9" s="2"/>
      <c r="K9" s="3"/>
      <c r="L9" s="4"/>
    </row>
    <row r="10" spans="1:14" x14ac:dyDescent="0.25">
      <c r="A10" t="s">
        <v>56</v>
      </c>
      <c r="B10" s="15">
        <v>813</v>
      </c>
      <c r="C10" s="63" t="s">
        <v>57</v>
      </c>
      <c r="D10" t="s">
        <v>58</v>
      </c>
      <c r="E10" t="s">
        <v>59</v>
      </c>
      <c r="F10" t="s">
        <v>60</v>
      </c>
      <c r="G10" t="s">
        <v>46</v>
      </c>
      <c r="H10" s="15">
        <v>35216</v>
      </c>
      <c r="I10" t="s">
        <v>61</v>
      </c>
      <c r="J10" s="2"/>
      <c r="K10" s="3"/>
      <c r="L10" s="4"/>
    </row>
    <row r="11" spans="1:14" x14ac:dyDescent="0.25">
      <c r="A11" t="s">
        <v>62</v>
      </c>
      <c r="B11" s="15">
        <v>812</v>
      </c>
      <c r="C11" s="63" t="s">
        <v>63</v>
      </c>
      <c r="D11" t="s">
        <v>64</v>
      </c>
      <c r="E11" t="s">
        <v>65</v>
      </c>
      <c r="F11" t="s">
        <v>66</v>
      </c>
      <c r="G11" t="s">
        <v>54</v>
      </c>
      <c r="H11" s="15">
        <v>33619</v>
      </c>
      <c r="I11" t="s">
        <v>67</v>
      </c>
      <c r="J11" s="2"/>
      <c r="K11" s="3"/>
      <c r="L11" s="4"/>
    </row>
    <row r="12" spans="1:14" x14ac:dyDescent="0.25">
      <c r="A12" t="s">
        <v>68</v>
      </c>
      <c r="B12" s="15">
        <v>812</v>
      </c>
      <c r="C12" s="63" t="s">
        <v>69</v>
      </c>
      <c r="D12" t="s">
        <v>70</v>
      </c>
      <c r="E12" t="s">
        <v>71</v>
      </c>
      <c r="F12" t="s">
        <v>72</v>
      </c>
      <c r="G12" t="s">
        <v>54</v>
      </c>
      <c r="H12" s="15" t="s">
        <v>73</v>
      </c>
      <c r="I12" t="s">
        <v>74</v>
      </c>
      <c r="J12" s="2"/>
      <c r="K12" s="3"/>
      <c r="L12" s="4"/>
    </row>
    <row r="13" spans="1:14" x14ac:dyDescent="0.25">
      <c r="A13" t="s">
        <v>75</v>
      </c>
      <c r="B13" s="15">
        <v>818</v>
      </c>
      <c r="C13" s="63" t="s">
        <v>76</v>
      </c>
      <c r="D13" t="s">
        <v>77</v>
      </c>
      <c r="E13" t="s">
        <v>78</v>
      </c>
      <c r="F13" t="s">
        <v>79</v>
      </c>
      <c r="G13" t="s">
        <v>32</v>
      </c>
      <c r="H13" s="15" t="s">
        <v>80</v>
      </c>
      <c r="I13" t="s">
        <v>81</v>
      </c>
      <c r="J13" s="2"/>
      <c r="K13" s="3"/>
      <c r="L13" s="4"/>
    </row>
    <row r="14" spans="1:14" x14ac:dyDescent="0.25">
      <c r="A14" t="s">
        <v>82</v>
      </c>
      <c r="B14" s="15">
        <v>818</v>
      </c>
      <c r="C14" s="63" t="s">
        <v>83</v>
      </c>
      <c r="D14" t="s">
        <v>84</v>
      </c>
      <c r="E14" t="s">
        <v>85</v>
      </c>
      <c r="F14" t="s">
        <v>86</v>
      </c>
      <c r="G14" t="s">
        <v>32</v>
      </c>
      <c r="H14" s="15">
        <v>79424</v>
      </c>
      <c r="I14" t="s">
        <v>87</v>
      </c>
      <c r="J14" s="2"/>
      <c r="K14" s="3"/>
      <c r="L14" s="4"/>
    </row>
    <row r="15" spans="1:14" x14ac:dyDescent="0.25">
      <c r="A15" t="s">
        <v>88</v>
      </c>
      <c r="B15" s="15">
        <v>806</v>
      </c>
      <c r="C15" s="63" t="s">
        <v>89</v>
      </c>
      <c r="D15" t="s">
        <v>90</v>
      </c>
      <c r="E15" t="s">
        <v>91</v>
      </c>
      <c r="F15" t="s">
        <v>92</v>
      </c>
      <c r="G15" t="s">
        <v>32</v>
      </c>
      <c r="H15" s="15">
        <v>78681</v>
      </c>
      <c r="I15" t="s">
        <v>93</v>
      </c>
      <c r="J15" s="2"/>
      <c r="K15" s="3"/>
      <c r="L15" s="4"/>
    </row>
    <row r="16" spans="1:14" x14ac:dyDescent="0.25">
      <c r="A16" t="s">
        <v>94</v>
      </c>
      <c r="B16" s="15">
        <v>807</v>
      </c>
      <c r="C16" s="63" t="s">
        <v>95</v>
      </c>
      <c r="D16" t="s">
        <v>96</v>
      </c>
      <c r="E16" t="s">
        <v>97</v>
      </c>
      <c r="F16" t="s">
        <v>98</v>
      </c>
      <c r="G16" t="s">
        <v>32</v>
      </c>
      <c r="H16" s="15">
        <v>76502</v>
      </c>
      <c r="I16" t="s">
        <v>99</v>
      </c>
      <c r="J16" s="2"/>
      <c r="K16" s="3"/>
      <c r="L16" s="4"/>
    </row>
    <row r="17" spans="1:12" x14ac:dyDescent="0.25">
      <c r="A17" t="s">
        <v>100</v>
      </c>
      <c r="B17" s="15">
        <v>806</v>
      </c>
      <c r="C17" s="63" t="s">
        <v>101</v>
      </c>
      <c r="D17" t="s">
        <v>102</v>
      </c>
      <c r="E17" t="s">
        <v>103</v>
      </c>
      <c r="F17" t="s">
        <v>104</v>
      </c>
      <c r="G17" t="s">
        <v>105</v>
      </c>
      <c r="H17" s="15">
        <v>85719</v>
      </c>
      <c r="I17" t="s">
        <v>106</v>
      </c>
      <c r="J17" s="2"/>
      <c r="K17" s="3"/>
      <c r="L17" s="4"/>
    </row>
    <row r="18" spans="1:12" x14ac:dyDescent="0.25">
      <c r="A18" t="s">
        <v>107</v>
      </c>
      <c r="B18" s="15">
        <v>810</v>
      </c>
      <c r="C18" s="63" t="s">
        <v>108</v>
      </c>
      <c r="D18" t="s">
        <v>109</v>
      </c>
      <c r="E18" t="s">
        <v>110</v>
      </c>
      <c r="F18" t="s">
        <v>111</v>
      </c>
      <c r="G18" t="s">
        <v>112</v>
      </c>
      <c r="H18" s="15">
        <v>81005</v>
      </c>
      <c r="I18" t="s">
        <v>113</v>
      </c>
      <c r="J18" s="2"/>
      <c r="K18" s="3"/>
      <c r="L18" s="4"/>
    </row>
    <row r="19" spans="1:12" x14ac:dyDescent="0.25">
      <c r="A19" t="s">
        <v>114</v>
      </c>
      <c r="B19" s="15">
        <v>806</v>
      </c>
      <c r="C19" s="63" t="s">
        <v>115</v>
      </c>
      <c r="D19" t="s">
        <v>116</v>
      </c>
      <c r="E19" t="s">
        <v>117</v>
      </c>
      <c r="F19" t="s">
        <v>118</v>
      </c>
      <c r="G19" t="s">
        <v>32</v>
      </c>
      <c r="H19" s="15">
        <v>79935</v>
      </c>
      <c r="I19" t="s">
        <v>119</v>
      </c>
      <c r="J19" s="2"/>
      <c r="K19" s="3"/>
      <c r="L19" s="4"/>
    </row>
    <row r="20" spans="1:12" x14ac:dyDescent="0.25">
      <c r="A20" t="s">
        <v>120</v>
      </c>
      <c r="B20" s="15">
        <v>806</v>
      </c>
      <c r="C20" s="63" t="s">
        <v>121</v>
      </c>
      <c r="D20" t="s">
        <v>122</v>
      </c>
      <c r="E20" t="s">
        <v>123</v>
      </c>
      <c r="F20" t="s">
        <v>124</v>
      </c>
      <c r="G20" t="s">
        <v>39</v>
      </c>
      <c r="H20" s="15">
        <v>87114</v>
      </c>
      <c r="I20" t="s">
        <v>125</v>
      </c>
      <c r="J20" s="2"/>
      <c r="K20" s="3"/>
      <c r="L20" s="4"/>
    </row>
    <row r="21" spans="1:12" x14ac:dyDescent="0.25">
      <c r="A21" t="s">
        <v>126</v>
      </c>
      <c r="B21" s="15">
        <v>810</v>
      </c>
      <c r="C21" s="63" t="s">
        <v>127</v>
      </c>
      <c r="D21" t="s">
        <v>128</v>
      </c>
      <c r="E21" t="s">
        <v>129</v>
      </c>
      <c r="F21" t="s">
        <v>130</v>
      </c>
      <c r="G21" t="s">
        <v>131</v>
      </c>
      <c r="H21" s="15">
        <v>99208</v>
      </c>
      <c r="I21" t="s">
        <v>132</v>
      </c>
      <c r="J21" s="2"/>
      <c r="K21" s="3"/>
      <c r="L21" s="4"/>
    </row>
    <row r="22" spans="1:12" x14ac:dyDescent="0.25">
      <c r="A22" t="s">
        <v>133</v>
      </c>
      <c r="B22" s="15">
        <v>810</v>
      </c>
      <c r="C22" s="63" t="s">
        <v>134</v>
      </c>
      <c r="D22" t="s">
        <v>135</v>
      </c>
      <c r="E22" t="s">
        <v>136</v>
      </c>
      <c r="F22" t="s">
        <v>137</v>
      </c>
      <c r="G22" t="s">
        <v>138</v>
      </c>
      <c r="H22" s="15">
        <v>49509</v>
      </c>
      <c r="I22" t="s">
        <v>139</v>
      </c>
      <c r="J22" s="2"/>
      <c r="K22" s="3"/>
      <c r="L22" s="4"/>
    </row>
    <row r="23" spans="1:12" x14ac:dyDescent="0.25">
      <c r="A23" t="s">
        <v>140</v>
      </c>
      <c r="C23" s="63" t="s">
        <v>141</v>
      </c>
      <c r="D23" t="s">
        <v>142</v>
      </c>
      <c r="E23" t="s">
        <v>143</v>
      </c>
      <c r="F23" t="s">
        <v>144</v>
      </c>
      <c r="G23" t="s">
        <v>145</v>
      </c>
      <c r="H23" s="15">
        <v>53703</v>
      </c>
      <c r="I23" t="s">
        <v>146</v>
      </c>
      <c r="J23" s="2"/>
      <c r="K23" s="3"/>
      <c r="L23" s="4"/>
    </row>
    <row r="24" spans="1:12" x14ac:dyDescent="0.25">
      <c r="A24" t="s">
        <v>147</v>
      </c>
      <c r="B24" s="15">
        <v>810</v>
      </c>
      <c r="C24" s="63" t="s">
        <v>148</v>
      </c>
      <c r="D24" t="s">
        <v>149</v>
      </c>
      <c r="E24" t="s">
        <v>150</v>
      </c>
      <c r="F24" t="s">
        <v>151</v>
      </c>
      <c r="G24" t="s">
        <v>145</v>
      </c>
      <c r="H24" s="15" t="s">
        <v>152</v>
      </c>
      <c r="I24" t="s">
        <v>153</v>
      </c>
      <c r="J24" s="2"/>
      <c r="K24" s="3"/>
      <c r="L24" s="4"/>
    </row>
    <row r="25" spans="1:12" x14ac:dyDescent="0.25">
      <c r="A25" t="s">
        <v>154</v>
      </c>
      <c r="B25" s="15">
        <v>800</v>
      </c>
      <c r="C25" s="63" t="s">
        <v>155</v>
      </c>
      <c r="D25" t="s">
        <v>156</v>
      </c>
      <c r="E25" t="s">
        <v>157</v>
      </c>
      <c r="F25" t="s">
        <v>158</v>
      </c>
      <c r="G25" t="s">
        <v>159</v>
      </c>
      <c r="H25" s="15">
        <v>83702</v>
      </c>
      <c r="I25" t="s">
        <v>160</v>
      </c>
      <c r="J25" s="2"/>
      <c r="K25" s="3"/>
      <c r="L25" s="4"/>
    </row>
    <row r="26" spans="1:12" x14ac:dyDescent="0.25">
      <c r="A26" t="s">
        <v>161</v>
      </c>
      <c r="B26" s="15">
        <v>800</v>
      </c>
      <c r="C26" s="63" t="s">
        <v>162</v>
      </c>
      <c r="D26" t="s">
        <v>163</v>
      </c>
      <c r="E26" t="s">
        <v>164</v>
      </c>
      <c r="F26" t="s">
        <v>165</v>
      </c>
      <c r="G26" t="s">
        <v>166</v>
      </c>
      <c r="H26" s="15">
        <v>84020</v>
      </c>
      <c r="I26" t="s">
        <v>167</v>
      </c>
      <c r="J26" s="2"/>
      <c r="K26" s="3"/>
      <c r="L26" s="4"/>
    </row>
    <row r="27" spans="1:12" x14ac:dyDescent="0.25">
      <c r="A27" t="s">
        <v>168</v>
      </c>
      <c r="B27" s="15">
        <v>800</v>
      </c>
      <c r="C27" s="63" t="s">
        <v>169</v>
      </c>
      <c r="D27" t="s">
        <v>170</v>
      </c>
      <c r="E27" t="s">
        <v>171</v>
      </c>
      <c r="F27" t="s">
        <v>172</v>
      </c>
      <c r="G27" t="s">
        <v>131</v>
      </c>
      <c r="H27" s="15">
        <v>99336</v>
      </c>
      <c r="I27" t="s">
        <v>173</v>
      </c>
      <c r="J27" s="2"/>
      <c r="K27" s="3"/>
      <c r="L27" s="4"/>
    </row>
    <row r="28" spans="1:12" x14ac:dyDescent="0.25">
      <c r="A28" t="s">
        <v>174</v>
      </c>
      <c r="B28" s="15">
        <v>801</v>
      </c>
      <c r="C28" s="63" t="s">
        <v>175</v>
      </c>
      <c r="D28" t="s">
        <v>176</v>
      </c>
      <c r="E28" t="s">
        <v>177</v>
      </c>
      <c r="F28" t="s">
        <v>178</v>
      </c>
      <c r="G28" t="s">
        <v>179</v>
      </c>
      <c r="H28" s="15">
        <v>55447</v>
      </c>
      <c r="I28" t="s">
        <v>180</v>
      </c>
      <c r="J28" s="2"/>
      <c r="K28" s="3"/>
      <c r="L28" s="4"/>
    </row>
    <row r="29" spans="1:12" x14ac:dyDescent="0.25">
      <c r="A29" t="s">
        <v>181</v>
      </c>
      <c r="B29" s="15">
        <v>801</v>
      </c>
      <c r="C29" s="63" t="s">
        <v>182</v>
      </c>
      <c r="D29" t="s">
        <v>183</v>
      </c>
      <c r="E29" t="s">
        <v>184</v>
      </c>
      <c r="F29" t="s">
        <v>185</v>
      </c>
      <c r="G29" t="s">
        <v>186</v>
      </c>
      <c r="H29" s="15">
        <v>52404</v>
      </c>
      <c r="I29" t="s">
        <v>187</v>
      </c>
      <c r="J29" s="2"/>
      <c r="K29" s="3"/>
      <c r="L29" s="4"/>
    </row>
    <row r="30" spans="1:12" x14ac:dyDescent="0.25">
      <c r="A30" t="s">
        <v>188</v>
      </c>
      <c r="B30" s="15">
        <v>801</v>
      </c>
      <c r="C30" s="63" t="s">
        <v>189</v>
      </c>
      <c r="D30" t="s">
        <v>190</v>
      </c>
      <c r="E30" t="s">
        <v>191</v>
      </c>
      <c r="F30" t="s">
        <v>192</v>
      </c>
      <c r="G30" t="s">
        <v>186</v>
      </c>
      <c r="H30" s="15">
        <v>50320</v>
      </c>
      <c r="I30" t="s">
        <v>193</v>
      </c>
      <c r="J30" s="2"/>
      <c r="K30" s="3"/>
      <c r="L30" s="4"/>
    </row>
    <row r="31" spans="1:12" x14ac:dyDescent="0.25">
      <c r="A31" t="s">
        <v>194</v>
      </c>
      <c r="B31" s="15">
        <v>801</v>
      </c>
      <c r="C31" s="63" t="s">
        <v>195</v>
      </c>
      <c r="D31" t="s">
        <v>196</v>
      </c>
      <c r="E31" t="s">
        <v>197</v>
      </c>
      <c r="F31" t="s">
        <v>198</v>
      </c>
      <c r="G31" t="s">
        <v>199</v>
      </c>
      <c r="H31" s="15">
        <v>65804</v>
      </c>
      <c r="I31" t="s">
        <v>200</v>
      </c>
      <c r="J31" s="2"/>
      <c r="K31" s="3"/>
      <c r="L31" s="4"/>
    </row>
    <row r="32" spans="1:12" x14ac:dyDescent="0.25">
      <c r="A32" t="s">
        <v>201</v>
      </c>
      <c r="B32" s="15">
        <v>816</v>
      </c>
      <c r="C32" s="63" t="s">
        <v>202</v>
      </c>
      <c r="D32" t="s">
        <v>203</v>
      </c>
      <c r="E32" t="s">
        <v>204</v>
      </c>
      <c r="F32" t="s">
        <v>144</v>
      </c>
      <c r="G32" t="s">
        <v>205</v>
      </c>
      <c r="H32" s="15" t="s">
        <v>206</v>
      </c>
      <c r="I32" t="s">
        <v>207</v>
      </c>
      <c r="J32" s="2"/>
      <c r="K32" s="3"/>
      <c r="L32" s="4"/>
    </row>
    <row r="33" spans="1:12" x14ac:dyDescent="0.25">
      <c r="A33" t="s">
        <v>208</v>
      </c>
      <c r="B33" s="15">
        <v>815</v>
      </c>
      <c r="C33" s="63" t="s">
        <v>209</v>
      </c>
      <c r="D33" t="s">
        <v>210</v>
      </c>
      <c r="E33" t="s">
        <v>211</v>
      </c>
      <c r="F33" t="s">
        <v>212</v>
      </c>
      <c r="G33" t="s">
        <v>213</v>
      </c>
      <c r="H33" s="15">
        <v>39232</v>
      </c>
      <c r="I33" t="s">
        <v>214</v>
      </c>
      <c r="J33" s="2"/>
      <c r="K33" s="3"/>
      <c r="L33" s="4"/>
    </row>
    <row r="34" spans="1:12" x14ac:dyDescent="0.25">
      <c r="A34" t="s">
        <v>215</v>
      </c>
      <c r="B34" s="15">
        <v>831</v>
      </c>
      <c r="C34" s="63" t="s">
        <v>216</v>
      </c>
      <c r="D34" t="s">
        <v>217</v>
      </c>
      <c r="E34" t="s">
        <v>218</v>
      </c>
      <c r="F34" t="s">
        <v>219</v>
      </c>
      <c r="G34" t="s">
        <v>220</v>
      </c>
      <c r="H34" s="15">
        <v>95354</v>
      </c>
      <c r="I34" t="s">
        <v>221</v>
      </c>
      <c r="J34" s="2"/>
      <c r="K34" s="3"/>
      <c r="L34" s="4"/>
    </row>
    <row r="35" spans="1:12" x14ac:dyDescent="0.25">
      <c r="A35" t="s">
        <v>222</v>
      </c>
      <c r="B35" s="15">
        <v>830</v>
      </c>
      <c r="C35" s="15">
        <v>1009</v>
      </c>
      <c r="D35" t="s">
        <v>223</v>
      </c>
      <c r="E35" t="s">
        <v>224</v>
      </c>
      <c r="F35" t="s">
        <v>225</v>
      </c>
      <c r="G35" t="s">
        <v>220</v>
      </c>
      <c r="H35" s="15">
        <v>93313</v>
      </c>
      <c r="I35" t="s">
        <v>226</v>
      </c>
      <c r="J35" s="2"/>
      <c r="K35" s="3"/>
      <c r="L35" s="4"/>
    </row>
    <row r="36" spans="1:12" x14ac:dyDescent="0.25">
      <c r="A36" t="s">
        <v>227</v>
      </c>
      <c r="B36" s="15">
        <v>830</v>
      </c>
      <c r="C36" s="15">
        <v>1037</v>
      </c>
      <c r="D36" t="s">
        <v>228</v>
      </c>
      <c r="E36" t="s">
        <v>229</v>
      </c>
      <c r="F36" t="s">
        <v>230</v>
      </c>
      <c r="G36" t="s">
        <v>220</v>
      </c>
      <c r="H36" s="15">
        <v>92407</v>
      </c>
      <c r="I36" t="s">
        <v>231</v>
      </c>
      <c r="J36" s="2"/>
      <c r="K36" s="3"/>
      <c r="L36" s="4"/>
    </row>
    <row r="37" spans="1:12" x14ac:dyDescent="0.25">
      <c r="A37" t="s">
        <v>232</v>
      </c>
      <c r="B37" s="15">
        <v>830</v>
      </c>
      <c r="C37" s="15">
        <v>1039</v>
      </c>
      <c r="D37" t="s">
        <v>233</v>
      </c>
      <c r="E37" t="s">
        <v>234</v>
      </c>
      <c r="F37" t="s">
        <v>235</v>
      </c>
      <c r="G37" t="s">
        <v>220</v>
      </c>
      <c r="H37" s="15">
        <v>93277</v>
      </c>
      <c r="I37" t="s">
        <v>236</v>
      </c>
      <c r="J37" s="2"/>
      <c r="K37" s="3"/>
      <c r="L37" s="4"/>
    </row>
    <row r="38" spans="1:12" x14ac:dyDescent="0.25">
      <c r="A38" t="s">
        <v>237</v>
      </c>
      <c r="B38" s="15">
        <v>813</v>
      </c>
      <c r="C38" s="15">
        <v>1248</v>
      </c>
      <c r="D38" t="s">
        <v>238</v>
      </c>
      <c r="E38" t="s">
        <v>239</v>
      </c>
      <c r="F38" t="s">
        <v>240</v>
      </c>
      <c r="G38" t="s">
        <v>241</v>
      </c>
      <c r="H38" s="15">
        <v>30096</v>
      </c>
      <c r="I38" t="s">
        <v>242</v>
      </c>
      <c r="J38" s="2"/>
      <c r="K38" s="3"/>
      <c r="L38" s="4"/>
    </row>
    <row r="39" spans="1:12" x14ac:dyDescent="0.25">
      <c r="A39" t="s">
        <v>243</v>
      </c>
      <c r="B39" s="15">
        <v>806</v>
      </c>
      <c r="C39" s="15">
        <v>1390</v>
      </c>
      <c r="D39" t="s">
        <v>244</v>
      </c>
      <c r="E39" t="s">
        <v>245</v>
      </c>
      <c r="F39" t="s">
        <v>246</v>
      </c>
      <c r="G39" t="s">
        <v>39</v>
      </c>
      <c r="H39" s="15">
        <v>88011</v>
      </c>
      <c r="I39" t="s">
        <v>247</v>
      </c>
      <c r="J39" s="5"/>
      <c r="K39" s="3"/>
      <c r="L39" s="4"/>
    </row>
    <row r="40" spans="1:12" x14ac:dyDescent="0.25">
      <c r="A40" t="s">
        <v>248</v>
      </c>
      <c r="B40" s="15">
        <v>810</v>
      </c>
      <c r="C40" s="15">
        <v>1467</v>
      </c>
      <c r="D40" t="s">
        <v>249</v>
      </c>
      <c r="E40" t="s">
        <v>250</v>
      </c>
      <c r="F40" t="s">
        <v>251</v>
      </c>
      <c r="G40" t="s">
        <v>138</v>
      </c>
      <c r="H40" s="15">
        <v>48603</v>
      </c>
      <c r="I40" t="s">
        <v>252</v>
      </c>
      <c r="J40" s="5"/>
      <c r="K40" s="3"/>
      <c r="L40" s="4"/>
    </row>
    <row r="41" spans="1:12" x14ac:dyDescent="0.25">
      <c r="A41" t="s">
        <v>253</v>
      </c>
      <c r="B41" s="15">
        <v>801</v>
      </c>
      <c r="C41" s="15">
        <v>1686</v>
      </c>
      <c r="D41" t="s">
        <v>254</v>
      </c>
      <c r="E41" t="s">
        <v>255</v>
      </c>
      <c r="F41" t="s">
        <v>256</v>
      </c>
      <c r="G41" t="s">
        <v>257</v>
      </c>
      <c r="H41" s="15">
        <v>17602</v>
      </c>
      <c r="I41" t="s">
        <v>258</v>
      </c>
      <c r="J41" s="5"/>
      <c r="K41" s="3"/>
      <c r="L41" s="4"/>
    </row>
    <row r="42" spans="1:12" x14ac:dyDescent="0.25">
      <c r="A42" t="s">
        <v>259</v>
      </c>
      <c r="B42" s="15">
        <v>832</v>
      </c>
      <c r="C42" s="15">
        <v>1813</v>
      </c>
      <c r="D42" t="s">
        <v>260</v>
      </c>
      <c r="E42" t="s">
        <v>261</v>
      </c>
      <c r="F42" t="s">
        <v>262</v>
      </c>
      <c r="G42" t="s">
        <v>54</v>
      </c>
      <c r="H42" s="15">
        <v>33913</v>
      </c>
      <c r="I42" t="s">
        <v>263</v>
      </c>
      <c r="J42" s="5"/>
      <c r="K42" s="3"/>
      <c r="L42" s="4"/>
    </row>
    <row r="43" spans="1:12" x14ac:dyDescent="0.25">
      <c r="A43" t="s">
        <v>264</v>
      </c>
      <c r="B43" s="15">
        <v>832</v>
      </c>
      <c r="C43" s="15">
        <v>1854</v>
      </c>
      <c r="D43" t="s">
        <v>265</v>
      </c>
      <c r="E43" t="s">
        <v>266</v>
      </c>
      <c r="F43" t="s">
        <v>267</v>
      </c>
      <c r="G43" t="s">
        <v>54</v>
      </c>
      <c r="H43" s="15">
        <v>33462</v>
      </c>
      <c r="I43" t="s">
        <v>268</v>
      </c>
      <c r="J43" s="5"/>
      <c r="K43" s="3"/>
      <c r="L43" s="4"/>
    </row>
    <row r="44" spans="1:12" ht="16.5" thickBot="1" x14ac:dyDescent="0.3">
      <c r="A44" t="s">
        <v>269</v>
      </c>
      <c r="B44" s="15">
        <v>830</v>
      </c>
      <c r="C44" s="15">
        <v>2302</v>
      </c>
      <c r="D44" t="s">
        <v>270</v>
      </c>
      <c r="E44" t="s">
        <v>271</v>
      </c>
      <c r="F44" t="s">
        <v>272</v>
      </c>
      <c r="G44" t="s">
        <v>220</v>
      </c>
      <c r="H44" s="15">
        <v>92392</v>
      </c>
      <c r="I44" t="s">
        <v>273</v>
      </c>
      <c r="J44" s="5"/>
      <c r="K44" s="3"/>
      <c r="L44" s="4"/>
    </row>
    <row r="45" spans="1:12" ht="19.5" thickBot="1" x14ac:dyDescent="0.35">
      <c r="I45" s="55" t="s">
        <v>15</v>
      </c>
      <c r="J45" s="54">
        <f>SUM(J6:J44)</f>
        <v>0</v>
      </c>
      <c r="K45" s="52">
        <f>SUM(K6:K44)</f>
        <v>0</v>
      </c>
      <c r="L45" s="53">
        <f>SUM(L6:L44)</f>
        <v>0</v>
      </c>
    </row>
  </sheetData>
  <phoneticPr fontId="6" type="noConversion"/>
  <hyperlinks>
    <hyperlink ref="H2" r:id="rId1" xr:uid="{151B1373-C227-4C67-8008-437808EDBF36}"/>
    <hyperlink ref="H1" r:id="rId2" xr:uid="{8C85F153-4A78-41C3-A04A-C5349581BD2F}"/>
  </hyperlinks>
  <pageMargins left="0.7" right="0.7" top="0.75" bottom="0.75" header="0.3" footer="0.3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D6CC5-8148-4671-BF46-06616EA9C721}">
  <dimension ref="A1:K45"/>
  <sheetViews>
    <sheetView zoomScale="90" zoomScaleNormal="90" workbookViewId="0">
      <selection activeCell="N7" sqref="N7"/>
    </sheetView>
  </sheetViews>
  <sheetFormatPr defaultColWidth="8.875" defaultRowHeight="15.75" x14ac:dyDescent="0.25"/>
  <cols>
    <col min="1" max="1" width="31.125" bestFit="1" customWidth="1"/>
    <col min="2" max="2" width="8.625" style="15" customWidth="1"/>
    <col min="3" max="3" width="29.75" bestFit="1" customWidth="1"/>
    <col min="4" max="4" width="39" bestFit="1" customWidth="1"/>
    <col min="5" max="5" width="16" bestFit="1" customWidth="1"/>
    <col min="6" max="6" width="6" customWidth="1"/>
    <col min="7" max="7" width="12.125" style="15" customWidth="1"/>
    <col min="8" max="8" width="15.375" customWidth="1"/>
  </cols>
  <sheetData>
    <row r="1" spans="1:11" x14ac:dyDescent="0.25">
      <c r="A1" s="44" t="s">
        <v>0</v>
      </c>
      <c r="B1" s="24"/>
      <c r="C1" s="44"/>
      <c r="D1" s="44"/>
      <c r="E1" s="23" t="s">
        <v>18</v>
      </c>
      <c r="F1" s="45" t="s">
        <v>274</v>
      </c>
      <c r="G1" s="60"/>
      <c r="H1" s="25"/>
    </row>
    <row r="2" spans="1:11" ht="18.75" x14ac:dyDescent="0.3">
      <c r="A2" s="22" t="s">
        <v>275</v>
      </c>
      <c r="B2" s="61"/>
      <c r="D2" s="23"/>
      <c r="E2" s="23" t="s">
        <v>21</v>
      </c>
      <c r="F2" s="25" t="s">
        <v>22</v>
      </c>
    </row>
    <row r="3" spans="1:11" ht="19.5" thickBot="1" x14ac:dyDescent="0.35">
      <c r="A3" s="22"/>
      <c r="B3" s="61"/>
      <c r="D3" s="23"/>
      <c r="E3" s="25"/>
      <c r="F3" s="22"/>
    </row>
    <row r="4" spans="1:11" ht="72" customHeight="1" x14ac:dyDescent="0.25">
      <c r="A4" s="47"/>
      <c r="B4" s="64"/>
      <c r="C4" s="48"/>
      <c r="D4" s="48"/>
      <c r="E4" s="48"/>
      <c r="F4" s="48"/>
      <c r="G4" s="64"/>
      <c r="H4" s="48"/>
      <c r="I4" s="537"/>
      <c r="J4" s="539"/>
      <c r="K4" s="541"/>
    </row>
    <row r="5" spans="1:11" ht="16.5" thickBot="1" x14ac:dyDescent="0.3">
      <c r="A5" s="49" t="s">
        <v>4</v>
      </c>
      <c r="B5" s="65" t="s">
        <v>6</v>
      </c>
      <c r="C5" s="50" t="s">
        <v>8</v>
      </c>
      <c r="D5" s="50" t="s">
        <v>10</v>
      </c>
      <c r="E5" s="50" t="s">
        <v>11</v>
      </c>
      <c r="F5" s="50" t="s">
        <v>12</v>
      </c>
      <c r="G5" s="65" t="s">
        <v>13</v>
      </c>
      <c r="H5" s="51" t="s">
        <v>14</v>
      </c>
      <c r="I5" s="538"/>
      <c r="J5" s="540"/>
      <c r="K5" s="542"/>
    </row>
    <row r="6" spans="1:11" x14ac:dyDescent="0.25">
      <c r="A6" s="43" t="s">
        <v>41</v>
      </c>
      <c r="B6" s="66" t="s">
        <v>276</v>
      </c>
      <c r="C6" s="46" t="s">
        <v>277</v>
      </c>
      <c r="D6" s="46" t="s">
        <v>278</v>
      </c>
      <c r="E6" s="46" t="s">
        <v>279</v>
      </c>
      <c r="F6" s="46" t="s">
        <v>46</v>
      </c>
      <c r="G6" s="66">
        <v>35671</v>
      </c>
      <c r="H6" s="42" t="s">
        <v>48</v>
      </c>
      <c r="I6" s="6"/>
      <c r="J6" s="7"/>
      <c r="K6" s="8"/>
    </row>
    <row r="7" spans="1:11" x14ac:dyDescent="0.25">
      <c r="A7" s="17" t="s">
        <v>27</v>
      </c>
      <c r="B7" s="67" t="s">
        <v>280</v>
      </c>
      <c r="C7" s="1" t="s">
        <v>281</v>
      </c>
      <c r="D7" s="1" t="s">
        <v>282</v>
      </c>
      <c r="E7" s="1" t="s">
        <v>31</v>
      </c>
      <c r="F7" s="1" t="s">
        <v>32</v>
      </c>
      <c r="G7" s="67">
        <v>77055</v>
      </c>
      <c r="H7" s="18" t="s">
        <v>283</v>
      </c>
      <c r="I7" s="2"/>
      <c r="J7" s="3"/>
      <c r="K7" s="4"/>
    </row>
    <row r="8" spans="1:11" x14ac:dyDescent="0.25">
      <c r="A8" s="17" t="s">
        <v>49</v>
      </c>
      <c r="B8" s="67" t="s">
        <v>284</v>
      </c>
      <c r="C8" s="1" t="s">
        <v>285</v>
      </c>
      <c r="D8" s="1" t="s">
        <v>52</v>
      </c>
      <c r="E8" s="1" t="s">
        <v>53</v>
      </c>
      <c r="F8" s="1" t="s">
        <v>54</v>
      </c>
      <c r="G8" s="67">
        <v>32771</v>
      </c>
      <c r="H8" s="18" t="s">
        <v>146</v>
      </c>
      <c r="I8" s="2"/>
      <c r="J8" s="3"/>
      <c r="K8" s="4"/>
    </row>
    <row r="9" spans="1:11" x14ac:dyDescent="0.25">
      <c r="A9" s="17" t="s">
        <v>62</v>
      </c>
      <c r="B9" s="67" t="s">
        <v>286</v>
      </c>
      <c r="C9" s="1" t="s">
        <v>287</v>
      </c>
      <c r="D9" s="1" t="s">
        <v>288</v>
      </c>
      <c r="E9" s="1" t="s">
        <v>289</v>
      </c>
      <c r="F9" s="1" t="s">
        <v>54</v>
      </c>
      <c r="G9" s="67">
        <v>33619</v>
      </c>
      <c r="H9" s="18" t="s">
        <v>146</v>
      </c>
      <c r="I9" s="2"/>
      <c r="J9" s="3"/>
      <c r="K9" s="4"/>
    </row>
    <row r="10" spans="1:11" x14ac:dyDescent="0.25">
      <c r="A10" s="17" t="s">
        <v>56</v>
      </c>
      <c r="B10" s="67" t="s">
        <v>290</v>
      </c>
      <c r="C10" s="1" t="s">
        <v>291</v>
      </c>
      <c r="D10" s="1" t="s">
        <v>292</v>
      </c>
      <c r="E10" s="1" t="s">
        <v>293</v>
      </c>
      <c r="F10" s="1" t="s">
        <v>46</v>
      </c>
      <c r="G10" s="67">
        <v>35242</v>
      </c>
      <c r="H10" s="18" t="s">
        <v>294</v>
      </c>
      <c r="I10" s="2"/>
      <c r="J10" s="3"/>
      <c r="K10" s="4"/>
    </row>
    <row r="11" spans="1:11" x14ac:dyDescent="0.25">
      <c r="A11" s="17" t="s">
        <v>237</v>
      </c>
      <c r="B11" s="67" t="s">
        <v>295</v>
      </c>
      <c r="C11" s="1" t="s">
        <v>296</v>
      </c>
      <c r="D11" s="1" t="s">
        <v>297</v>
      </c>
      <c r="E11" s="1" t="s">
        <v>298</v>
      </c>
      <c r="F11" s="1" t="s">
        <v>241</v>
      </c>
      <c r="G11" s="67">
        <v>30093</v>
      </c>
      <c r="H11" s="18" t="s">
        <v>299</v>
      </c>
      <c r="I11" s="2"/>
      <c r="J11" s="3"/>
      <c r="K11" s="4"/>
    </row>
    <row r="12" spans="1:11" x14ac:dyDescent="0.25">
      <c r="A12" s="17" t="s">
        <v>75</v>
      </c>
      <c r="B12" s="67" t="s">
        <v>300</v>
      </c>
      <c r="C12" s="1" t="s">
        <v>301</v>
      </c>
      <c r="D12" s="1" t="s">
        <v>302</v>
      </c>
      <c r="E12" s="1" t="s">
        <v>79</v>
      </c>
      <c r="F12" s="1" t="s">
        <v>32</v>
      </c>
      <c r="G12" s="67">
        <v>79603</v>
      </c>
      <c r="H12" s="18" t="s">
        <v>146</v>
      </c>
      <c r="I12" s="2"/>
      <c r="J12" s="3"/>
      <c r="K12" s="4"/>
    </row>
    <row r="13" spans="1:11" x14ac:dyDescent="0.25">
      <c r="A13" s="17" t="s">
        <v>82</v>
      </c>
      <c r="B13" s="67" t="s">
        <v>303</v>
      </c>
      <c r="C13" s="1" t="s">
        <v>304</v>
      </c>
      <c r="D13" s="1" t="s">
        <v>85</v>
      </c>
      <c r="E13" s="1" t="s">
        <v>86</v>
      </c>
      <c r="F13" s="1" t="s">
        <v>32</v>
      </c>
      <c r="G13" s="67">
        <v>79424</v>
      </c>
      <c r="H13" s="18" t="s">
        <v>87</v>
      </c>
      <c r="I13" s="2"/>
      <c r="J13" s="3"/>
      <c r="K13" s="4"/>
    </row>
    <row r="14" spans="1:11" x14ac:dyDescent="0.25">
      <c r="A14" s="17" t="s">
        <v>88</v>
      </c>
      <c r="B14" s="67" t="s">
        <v>305</v>
      </c>
      <c r="C14" s="1" t="s">
        <v>306</v>
      </c>
      <c r="D14" s="1" t="s">
        <v>307</v>
      </c>
      <c r="E14" s="1" t="s">
        <v>308</v>
      </c>
      <c r="F14" s="1" t="s">
        <v>32</v>
      </c>
      <c r="G14" s="67">
        <v>78758</v>
      </c>
      <c r="H14" s="18" t="s">
        <v>309</v>
      </c>
      <c r="I14" s="2"/>
      <c r="J14" s="3"/>
      <c r="K14" s="4"/>
    </row>
    <row r="15" spans="1:11" x14ac:dyDescent="0.25">
      <c r="A15" s="17" t="s">
        <v>94</v>
      </c>
      <c r="B15" s="67" t="s">
        <v>310</v>
      </c>
      <c r="C15" s="1" t="s">
        <v>311</v>
      </c>
      <c r="D15" s="1" t="s">
        <v>312</v>
      </c>
      <c r="E15" s="1" t="s">
        <v>313</v>
      </c>
      <c r="F15" s="1" t="s">
        <v>32</v>
      </c>
      <c r="G15" s="67">
        <v>76541</v>
      </c>
      <c r="H15" s="18" t="s">
        <v>314</v>
      </c>
      <c r="I15" s="2"/>
      <c r="J15" s="3"/>
      <c r="K15" s="4"/>
    </row>
    <row r="16" spans="1:11" x14ac:dyDescent="0.25">
      <c r="A16" s="17" t="s">
        <v>100</v>
      </c>
      <c r="B16" s="67" t="s">
        <v>315</v>
      </c>
      <c r="C16" s="1" t="s">
        <v>316</v>
      </c>
      <c r="D16" s="1" t="s">
        <v>317</v>
      </c>
      <c r="E16" s="1" t="s">
        <v>104</v>
      </c>
      <c r="F16" s="1" t="s">
        <v>105</v>
      </c>
      <c r="G16" s="67" t="s">
        <v>318</v>
      </c>
      <c r="H16" s="18" t="s">
        <v>319</v>
      </c>
      <c r="I16" s="2"/>
      <c r="J16" s="3"/>
      <c r="K16" s="4"/>
    </row>
    <row r="17" spans="1:11" x14ac:dyDescent="0.25">
      <c r="A17" s="17" t="s">
        <v>107</v>
      </c>
      <c r="B17" s="67" t="s">
        <v>320</v>
      </c>
      <c r="C17" s="1" t="s">
        <v>321</v>
      </c>
      <c r="D17" s="1" t="s">
        <v>110</v>
      </c>
      <c r="E17" s="1" t="s">
        <v>111</v>
      </c>
      <c r="F17" s="1" t="s">
        <v>112</v>
      </c>
      <c r="G17" s="67">
        <v>81005</v>
      </c>
      <c r="H17" s="18" t="s">
        <v>146</v>
      </c>
      <c r="I17" s="2"/>
      <c r="J17" s="3"/>
      <c r="K17" s="4"/>
    </row>
    <row r="18" spans="1:11" x14ac:dyDescent="0.25">
      <c r="A18" s="17" t="s">
        <v>114</v>
      </c>
      <c r="B18" s="67" t="s">
        <v>322</v>
      </c>
      <c r="C18" s="1" t="s">
        <v>323</v>
      </c>
      <c r="D18" s="1" t="s">
        <v>324</v>
      </c>
      <c r="E18" s="1" t="s">
        <v>118</v>
      </c>
      <c r="F18" s="1" t="s">
        <v>32</v>
      </c>
      <c r="G18" s="67">
        <v>79915</v>
      </c>
      <c r="H18" s="18" t="s">
        <v>325</v>
      </c>
      <c r="I18" s="2"/>
      <c r="J18" s="3"/>
      <c r="K18" s="4"/>
    </row>
    <row r="19" spans="1:11" x14ac:dyDescent="0.25">
      <c r="A19" s="17" t="s">
        <v>120</v>
      </c>
      <c r="B19" s="67" t="s">
        <v>326</v>
      </c>
      <c r="C19" s="1" t="s">
        <v>327</v>
      </c>
      <c r="D19" s="1" t="s">
        <v>328</v>
      </c>
      <c r="E19" s="1" t="s">
        <v>124</v>
      </c>
      <c r="F19" s="1" t="s">
        <v>39</v>
      </c>
      <c r="G19" s="67">
        <v>87113</v>
      </c>
      <c r="H19" s="18" t="s">
        <v>329</v>
      </c>
      <c r="I19" s="2"/>
      <c r="J19" s="3"/>
      <c r="K19" s="4"/>
    </row>
    <row r="20" spans="1:11" x14ac:dyDescent="0.25">
      <c r="A20" s="17" t="s">
        <v>168</v>
      </c>
      <c r="B20" s="67" t="s">
        <v>330</v>
      </c>
      <c r="C20" s="1" t="s">
        <v>331</v>
      </c>
      <c r="D20" s="1" t="s">
        <v>332</v>
      </c>
      <c r="E20" s="1" t="s">
        <v>333</v>
      </c>
      <c r="F20" s="1" t="s">
        <v>131</v>
      </c>
      <c r="G20" s="67">
        <v>99352</v>
      </c>
      <c r="H20" s="18" t="s">
        <v>146</v>
      </c>
      <c r="I20" s="2"/>
      <c r="J20" s="3"/>
      <c r="K20" s="4"/>
    </row>
    <row r="21" spans="1:11" x14ac:dyDescent="0.25">
      <c r="A21" s="17" t="s">
        <v>133</v>
      </c>
      <c r="B21" s="67" t="s">
        <v>334</v>
      </c>
      <c r="C21" s="1" t="s">
        <v>335</v>
      </c>
      <c r="D21" s="1" t="s">
        <v>336</v>
      </c>
      <c r="E21" s="1" t="s">
        <v>137</v>
      </c>
      <c r="F21" s="1" t="s">
        <v>138</v>
      </c>
      <c r="G21" s="67" t="s">
        <v>337</v>
      </c>
      <c r="H21" s="18" t="s">
        <v>338</v>
      </c>
      <c r="I21" s="2"/>
      <c r="J21" s="3"/>
      <c r="K21" s="4"/>
    </row>
    <row r="22" spans="1:11" x14ac:dyDescent="0.25">
      <c r="A22" s="17" t="s">
        <v>140</v>
      </c>
      <c r="B22" s="67" t="s">
        <v>141</v>
      </c>
      <c r="C22" s="1" t="s">
        <v>142</v>
      </c>
      <c r="D22" s="1" t="s">
        <v>143</v>
      </c>
      <c r="E22" s="1" t="s">
        <v>144</v>
      </c>
      <c r="F22" s="1" t="s">
        <v>145</v>
      </c>
      <c r="G22" s="67">
        <v>53703</v>
      </c>
      <c r="H22" s="18" t="s">
        <v>146</v>
      </c>
      <c r="I22" s="2"/>
      <c r="J22" s="3"/>
      <c r="K22" s="4"/>
    </row>
    <row r="23" spans="1:11" x14ac:dyDescent="0.25">
      <c r="A23" s="17" t="s">
        <v>339</v>
      </c>
      <c r="B23" s="67" t="s">
        <v>340</v>
      </c>
      <c r="C23" s="1" t="s">
        <v>341</v>
      </c>
      <c r="D23" s="1" t="s">
        <v>342</v>
      </c>
      <c r="E23" s="1" t="s">
        <v>343</v>
      </c>
      <c r="F23" s="1" t="s">
        <v>344</v>
      </c>
      <c r="G23" s="67">
        <v>61108</v>
      </c>
      <c r="H23" s="18"/>
      <c r="I23" s="2"/>
      <c r="J23" s="3"/>
      <c r="K23" s="4"/>
    </row>
    <row r="24" spans="1:11" x14ac:dyDescent="0.25">
      <c r="A24" s="17" t="s">
        <v>147</v>
      </c>
      <c r="B24" s="67" t="s">
        <v>345</v>
      </c>
      <c r="C24" s="1" t="s">
        <v>346</v>
      </c>
      <c r="D24" s="1" t="s">
        <v>150</v>
      </c>
      <c r="E24" s="1" t="s">
        <v>347</v>
      </c>
      <c r="F24" s="1" t="s">
        <v>145</v>
      </c>
      <c r="G24" s="67">
        <v>53228</v>
      </c>
      <c r="H24" s="18" t="s">
        <v>146</v>
      </c>
      <c r="I24" s="2"/>
      <c r="J24" s="3"/>
      <c r="K24" s="4"/>
    </row>
    <row r="25" spans="1:11" x14ac:dyDescent="0.25">
      <c r="A25" s="17" t="s">
        <v>154</v>
      </c>
      <c r="B25" s="67" t="s">
        <v>348</v>
      </c>
      <c r="C25" s="1" t="s">
        <v>349</v>
      </c>
      <c r="D25" s="1" t="s">
        <v>350</v>
      </c>
      <c r="E25" s="1" t="s">
        <v>158</v>
      </c>
      <c r="F25" s="1" t="s">
        <v>159</v>
      </c>
      <c r="G25" s="67">
        <v>83704</v>
      </c>
      <c r="H25" s="18" t="s">
        <v>351</v>
      </c>
      <c r="I25" s="2"/>
      <c r="J25" s="3"/>
      <c r="K25" s="4"/>
    </row>
    <row r="26" spans="1:11" x14ac:dyDescent="0.25">
      <c r="A26" s="17" t="s">
        <v>161</v>
      </c>
      <c r="B26" s="67" t="s">
        <v>352</v>
      </c>
      <c r="C26" s="1" t="s">
        <v>353</v>
      </c>
      <c r="D26" s="1" t="s">
        <v>354</v>
      </c>
      <c r="E26" s="1" t="s">
        <v>355</v>
      </c>
      <c r="F26" s="1" t="s">
        <v>166</v>
      </c>
      <c r="G26" s="67" t="s">
        <v>356</v>
      </c>
      <c r="H26" s="18" t="s">
        <v>146</v>
      </c>
      <c r="I26" s="2"/>
      <c r="J26" s="3"/>
      <c r="K26" s="4"/>
    </row>
    <row r="27" spans="1:11" x14ac:dyDescent="0.25">
      <c r="A27" s="17" t="s">
        <v>126</v>
      </c>
      <c r="B27" s="67" t="s">
        <v>357</v>
      </c>
      <c r="C27" s="1" t="s">
        <v>358</v>
      </c>
      <c r="D27" s="1" t="s">
        <v>359</v>
      </c>
      <c r="E27" s="1" t="s">
        <v>360</v>
      </c>
      <c r="F27" s="1" t="s">
        <v>131</v>
      </c>
      <c r="G27" s="67">
        <v>99216</v>
      </c>
      <c r="H27" s="18" t="s">
        <v>146</v>
      </c>
      <c r="I27" s="2"/>
      <c r="J27" s="3"/>
      <c r="K27" s="4"/>
    </row>
    <row r="28" spans="1:11" x14ac:dyDescent="0.25">
      <c r="A28" s="17" t="s">
        <v>174</v>
      </c>
      <c r="B28" s="67" t="s">
        <v>175</v>
      </c>
      <c r="C28" s="1" t="s">
        <v>176</v>
      </c>
      <c r="D28" s="1" t="s">
        <v>177</v>
      </c>
      <c r="E28" s="1" t="s">
        <v>178</v>
      </c>
      <c r="F28" s="1" t="s">
        <v>179</v>
      </c>
      <c r="G28" s="67">
        <v>55447</v>
      </c>
      <c r="H28" s="18" t="s">
        <v>180</v>
      </c>
      <c r="I28" s="2"/>
      <c r="J28" s="3"/>
      <c r="K28" s="4"/>
    </row>
    <row r="29" spans="1:11" x14ac:dyDescent="0.25">
      <c r="A29" s="17" t="s">
        <v>361</v>
      </c>
      <c r="B29" s="67" t="s">
        <v>362</v>
      </c>
      <c r="C29" s="1" t="s">
        <v>363</v>
      </c>
      <c r="D29" s="1" t="s">
        <v>364</v>
      </c>
      <c r="E29" s="1" t="s">
        <v>365</v>
      </c>
      <c r="F29" s="1" t="s">
        <v>366</v>
      </c>
      <c r="G29" s="67">
        <v>21037</v>
      </c>
      <c r="H29" s="18"/>
      <c r="I29" s="2"/>
      <c r="J29" s="3"/>
      <c r="K29" s="4"/>
    </row>
    <row r="30" spans="1:11" x14ac:dyDescent="0.25">
      <c r="A30" s="17" t="s">
        <v>253</v>
      </c>
      <c r="B30" s="67" t="s">
        <v>367</v>
      </c>
      <c r="C30" s="1" t="s">
        <v>368</v>
      </c>
      <c r="D30" s="1" t="s">
        <v>369</v>
      </c>
      <c r="E30" s="1" t="s">
        <v>256</v>
      </c>
      <c r="F30" s="1" t="s">
        <v>257</v>
      </c>
      <c r="G30" s="67">
        <v>17601</v>
      </c>
      <c r="H30" s="18" t="s">
        <v>146</v>
      </c>
      <c r="I30" s="2"/>
      <c r="J30" s="3"/>
      <c r="K30" s="4"/>
    </row>
    <row r="31" spans="1:11" x14ac:dyDescent="0.25">
      <c r="A31" s="17" t="s">
        <v>188</v>
      </c>
      <c r="B31" s="67" t="s">
        <v>370</v>
      </c>
      <c r="C31" s="1" t="s">
        <v>371</v>
      </c>
      <c r="D31" s="1" t="s">
        <v>372</v>
      </c>
      <c r="E31" s="1" t="s">
        <v>373</v>
      </c>
      <c r="F31" s="1" t="s">
        <v>186</v>
      </c>
      <c r="G31" s="67">
        <v>50131</v>
      </c>
      <c r="H31" s="18" t="s">
        <v>374</v>
      </c>
      <c r="I31" s="2"/>
      <c r="J31" s="3"/>
      <c r="K31" s="4"/>
    </row>
    <row r="32" spans="1:11" x14ac:dyDescent="0.25">
      <c r="A32" s="17" t="s">
        <v>181</v>
      </c>
      <c r="B32" s="67" t="s">
        <v>375</v>
      </c>
      <c r="C32" s="1" t="s">
        <v>376</v>
      </c>
      <c r="D32" s="1" t="s">
        <v>377</v>
      </c>
      <c r="E32" s="1" t="s">
        <v>185</v>
      </c>
      <c r="F32" s="1" t="s">
        <v>186</v>
      </c>
      <c r="G32" s="67">
        <v>52404</v>
      </c>
      <c r="H32" s="18" t="s">
        <v>146</v>
      </c>
      <c r="I32" s="2"/>
      <c r="J32" s="3"/>
      <c r="K32" s="4"/>
    </row>
    <row r="33" spans="1:11" x14ac:dyDescent="0.25">
      <c r="A33" s="17" t="s">
        <v>194</v>
      </c>
      <c r="B33" s="67" t="s">
        <v>378</v>
      </c>
      <c r="C33" s="1" t="s">
        <v>379</v>
      </c>
      <c r="D33" s="1" t="s">
        <v>380</v>
      </c>
      <c r="E33" s="1" t="s">
        <v>198</v>
      </c>
      <c r="F33" s="1" t="s">
        <v>199</v>
      </c>
      <c r="G33" s="67">
        <v>65804</v>
      </c>
      <c r="H33" s="18" t="s">
        <v>146</v>
      </c>
      <c r="I33" s="2"/>
      <c r="J33" s="3"/>
      <c r="K33" s="4"/>
    </row>
    <row r="34" spans="1:11" x14ac:dyDescent="0.25">
      <c r="A34" s="17" t="s">
        <v>201</v>
      </c>
      <c r="B34" s="67" t="s">
        <v>381</v>
      </c>
      <c r="C34" s="1" t="s">
        <v>382</v>
      </c>
      <c r="D34" s="1" t="s">
        <v>383</v>
      </c>
      <c r="E34" s="1" t="s">
        <v>384</v>
      </c>
      <c r="F34" s="1" t="s">
        <v>205</v>
      </c>
      <c r="G34" s="67">
        <v>37211</v>
      </c>
      <c r="H34" s="18" t="s">
        <v>146</v>
      </c>
      <c r="I34" s="2"/>
      <c r="J34" s="3"/>
      <c r="K34" s="4"/>
    </row>
    <row r="35" spans="1:11" x14ac:dyDescent="0.25">
      <c r="A35" s="17" t="s">
        <v>208</v>
      </c>
      <c r="B35" s="67" t="s">
        <v>385</v>
      </c>
      <c r="C35" s="1" t="s">
        <v>386</v>
      </c>
      <c r="D35" s="1" t="s">
        <v>387</v>
      </c>
      <c r="E35" s="1" t="s">
        <v>388</v>
      </c>
      <c r="F35" s="1" t="s">
        <v>213</v>
      </c>
      <c r="G35" s="67">
        <v>39208</v>
      </c>
      <c r="H35" s="18" t="s">
        <v>146</v>
      </c>
      <c r="I35" s="2"/>
      <c r="J35" s="3"/>
      <c r="K35" s="4"/>
    </row>
    <row r="36" spans="1:11" x14ac:dyDescent="0.25">
      <c r="A36" s="17" t="s">
        <v>215</v>
      </c>
      <c r="B36" s="67" t="s">
        <v>389</v>
      </c>
      <c r="C36" s="1" t="s">
        <v>390</v>
      </c>
      <c r="D36" s="1" t="s">
        <v>391</v>
      </c>
      <c r="E36" s="1" t="s">
        <v>219</v>
      </c>
      <c r="F36" s="1" t="s">
        <v>220</v>
      </c>
      <c r="G36" s="67">
        <v>95354</v>
      </c>
      <c r="H36" s="18" t="s">
        <v>146</v>
      </c>
      <c r="I36" s="2"/>
      <c r="J36" s="3"/>
      <c r="K36" s="4"/>
    </row>
    <row r="37" spans="1:11" x14ac:dyDescent="0.25">
      <c r="A37" s="17" t="s">
        <v>222</v>
      </c>
      <c r="B37" s="67">
        <v>1000</v>
      </c>
      <c r="C37" s="1" t="s">
        <v>392</v>
      </c>
      <c r="D37" s="1" t="s">
        <v>393</v>
      </c>
      <c r="E37" s="1" t="s">
        <v>225</v>
      </c>
      <c r="F37" s="1" t="s">
        <v>220</v>
      </c>
      <c r="G37" s="67" t="s">
        <v>394</v>
      </c>
      <c r="H37" s="18" t="s">
        <v>395</v>
      </c>
      <c r="I37" s="2"/>
      <c r="J37" s="3"/>
      <c r="K37" s="4"/>
    </row>
    <row r="38" spans="1:11" x14ac:dyDescent="0.25">
      <c r="A38" s="17" t="s">
        <v>232</v>
      </c>
      <c r="B38" s="67">
        <v>1050</v>
      </c>
      <c r="C38" s="1" t="s">
        <v>396</v>
      </c>
      <c r="D38" s="1" t="s">
        <v>397</v>
      </c>
      <c r="E38" s="1" t="s">
        <v>398</v>
      </c>
      <c r="F38" s="1" t="s">
        <v>220</v>
      </c>
      <c r="G38" s="67">
        <v>93274</v>
      </c>
      <c r="H38" s="18"/>
      <c r="I38" s="2"/>
      <c r="J38" s="3"/>
      <c r="K38" s="4"/>
    </row>
    <row r="39" spans="1:11" x14ac:dyDescent="0.25">
      <c r="A39" s="17" t="s">
        <v>68</v>
      </c>
      <c r="B39" s="67">
        <v>1220</v>
      </c>
      <c r="C39" s="1" t="s">
        <v>399</v>
      </c>
      <c r="D39" s="1" t="s">
        <v>288</v>
      </c>
      <c r="E39" s="1" t="s">
        <v>289</v>
      </c>
      <c r="F39" s="1" t="s">
        <v>54</v>
      </c>
      <c r="G39" s="67">
        <v>33619</v>
      </c>
      <c r="H39" s="18" t="s">
        <v>146</v>
      </c>
      <c r="I39" s="2"/>
      <c r="J39" s="3"/>
      <c r="K39" s="4"/>
    </row>
    <row r="40" spans="1:11" x14ac:dyDescent="0.25">
      <c r="A40" s="17" t="s">
        <v>248</v>
      </c>
      <c r="B40" s="67">
        <v>1460</v>
      </c>
      <c r="C40" s="1" t="s">
        <v>400</v>
      </c>
      <c r="D40" s="1" t="s">
        <v>401</v>
      </c>
      <c r="E40" s="1" t="s">
        <v>251</v>
      </c>
      <c r="F40" s="1" t="s">
        <v>138</v>
      </c>
      <c r="G40" s="67">
        <v>48604</v>
      </c>
      <c r="H40" s="18" t="s">
        <v>402</v>
      </c>
      <c r="I40" s="2"/>
      <c r="J40" s="3"/>
      <c r="K40" s="4"/>
    </row>
    <row r="41" spans="1:11" x14ac:dyDescent="0.25">
      <c r="A41" s="17" t="s">
        <v>259</v>
      </c>
      <c r="B41" s="67">
        <v>1810</v>
      </c>
      <c r="C41" s="1" t="s">
        <v>403</v>
      </c>
      <c r="D41" s="1" t="s">
        <v>404</v>
      </c>
      <c r="E41" s="1" t="s">
        <v>262</v>
      </c>
      <c r="F41" s="1" t="s">
        <v>54</v>
      </c>
      <c r="G41" s="67">
        <v>33913</v>
      </c>
      <c r="H41" s="18" t="s">
        <v>146</v>
      </c>
      <c r="I41" s="2"/>
      <c r="J41" s="3"/>
      <c r="K41" s="4"/>
    </row>
    <row r="42" spans="1:11" x14ac:dyDescent="0.25">
      <c r="A42" s="17" t="s">
        <v>264</v>
      </c>
      <c r="B42" s="67">
        <v>1850</v>
      </c>
      <c r="C42" s="1" t="s">
        <v>405</v>
      </c>
      <c r="D42" s="1" t="s">
        <v>406</v>
      </c>
      <c r="E42" s="1" t="s">
        <v>407</v>
      </c>
      <c r="F42" s="1" t="s">
        <v>54</v>
      </c>
      <c r="G42" s="67">
        <v>34984</v>
      </c>
      <c r="H42" s="18"/>
      <c r="I42" s="2"/>
      <c r="J42" s="3"/>
      <c r="K42" s="4"/>
    </row>
    <row r="43" spans="1:11" x14ac:dyDescent="0.25">
      <c r="A43" s="17" t="s">
        <v>269</v>
      </c>
      <c r="B43" s="67">
        <v>2300</v>
      </c>
      <c r="C43" s="1" t="s">
        <v>408</v>
      </c>
      <c r="D43" s="1" t="s">
        <v>409</v>
      </c>
      <c r="E43" s="1" t="s">
        <v>272</v>
      </c>
      <c r="F43" s="1" t="s">
        <v>220</v>
      </c>
      <c r="G43" s="67">
        <v>92392</v>
      </c>
      <c r="H43" s="18"/>
      <c r="I43" s="2"/>
      <c r="J43" s="3"/>
      <c r="K43" s="4"/>
    </row>
    <row r="44" spans="1:11" ht="16.5" thickBot="1" x14ac:dyDescent="0.3">
      <c r="A44" s="19" t="s">
        <v>227</v>
      </c>
      <c r="B44" s="68">
        <v>2320</v>
      </c>
      <c r="C44" s="20" t="s">
        <v>410</v>
      </c>
      <c r="D44" s="20" t="s">
        <v>411</v>
      </c>
      <c r="E44" s="20" t="s">
        <v>412</v>
      </c>
      <c r="F44" s="20" t="s">
        <v>220</v>
      </c>
      <c r="G44" s="68">
        <v>90723</v>
      </c>
      <c r="H44" s="21" t="s">
        <v>146</v>
      </c>
      <c r="I44" s="2"/>
      <c r="J44" s="3"/>
      <c r="K44" s="4"/>
    </row>
    <row r="45" spans="1:11" ht="19.5" thickBot="1" x14ac:dyDescent="0.35">
      <c r="H45" s="55" t="s">
        <v>15</v>
      </c>
      <c r="I45" s="54">
        <f>SUM(I5:I44)</f>
        <v>0</v>
      </c>
      <c r="J45" s="52">
        <f t="shared" ref="J45:K45" si="0">SUM(J5:J44)</f>
        <v>0</v>
      </c>
      <c r="K45" s="53">
        <f t="shared" si="0"/>
        <v>0</v>
      </c>
    </row>
  </sheetData>
  <mergeCells count="3">
    <mergeCell ref="I4:I5"/>
    <mergeCell ref="J4:J5"/>
    <mergeCell ref="K4:K5"/>
  </mergeCells>
  <hyperlinks>
    <hyperlink ref="F1" r:id="rId1" display="PROD_LocationDirectory_MoreData_VW" xr:uid="{F2768309-D000-4F1B-AD4C-795DE41BFB6B}"/>
  </hyperlinks>
  <pageMargins left="0.7" right="0.7" top="0.75" bottom="0.75" header="0.3" footer="0.3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15A0E-B44E-4F31-A3A5-0CDC658AFB3B}">
  <dimension ref="A1:O7"/>
  <sheetViews>
    <sheetView workbookViewId="0">
      <selection activeCell="N7" sqref="N7"/>
    </sheetView>
  </sheetViews>
  <sheetFormatPr defaultColWidth="8.875" defaultRowHeight="15.75" x14ac:dyDescent="0.25"/>
  <cols>
    <col min="1" max="1" width="19.375" customWidth="1"/>
    <col min="2" max="4" width="10.375" customWidth="1"/>
    <col min="5" max="5" width="10.375" hidden="1" customWidth="1"/>
    <col min="6" max="6" width="15.375" bestFit="1" customWidth="1"/>
    <col min="7" max="7" width="17.125" bestFit="1" customWidth="1"/>
    <col min="8" max="8" width="23.875" bestFit="1" customWidth="1"/>
    <col min="9" max="9" width="15.875" bestFit="1" customWidth="1"/>
    <col min="10" max="10" width="7.125" bestFit="1" customWidth="1"/>
    <col min="11" max="11" width="10.125" customWidth="1"/>
    <col min="12" max="12" width="13.375" bestFit="1" customWidth="1"/>
  </cols>
  <sheetData>
    <row r="1" spans="1:15" x14ac:dyDescent="0.25">
      <c r="A1" s="44" t="s">
        <v>0</v>
      </c>
      <c r="H1" s="23" t="s">
        <v>18</v>
      </c>
      <c r="I1" s="25" t="s">
        <v>413</v>
      </c>
    </row>
    <row r="2" spans="1:15" ht="18.75" x14ac:dyDescent="0.3">
      <c r="A2" s="22" t="s">
        <v>414</v>
      </c>
      <c r="H2" s="23" t="s">
        <v>21</v>
      </c>
      <c r="I2" s="25" t="s">
        <v>22</v>
      </c>
    </row>
    <row r="3" spans="1:15" ht="16.5" thickBot="1" x14ac:dyDescent="0.3"/>
    <row r="4" spans="1:15" ht="66.95" customHeight="1" x14ac:dyDescent="0.25">
      <c r="A4" s="47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537" t="s">
        <v>1</v>
      </c>
      <c r="N4" s="539" t="s">
        <v>2</v>
      </c>
      <c r="O4" s="541" t="s">
        <v>3</v>
      </c>
    </row>
    <row r="5" spans="1:15" ht="16.5" thickBot="1" x14ac:dyDescent="0.3">
      <c r="A5" s="57" t="s">
        <v>4</v>
      </c>
      <c r="B5" s="58" t="s">
        <v>5</v>
      </c>
      <c r="C5" s="58" t="s">
        <v>6</v>
      </c>
      <c r="D5" s="58" t="s">
        <v>7</v>
      </c>
      <c r="E5" s="58" t="s">
        <v>415</v>
      </c>
      <c r="F5" s="58" t="s">
        <v>8</v>
      </c>
      <c r="G5" s="58" t="s">
        <v>9</v>
      </c>
      <c r="H5" s="58" t="s">
        <v>10</v>
      </c>
      <c r="I5" s="58" t="s">
        <v>11</v>
      </c>
      <c r="J5" s="58" t="s">
        <v>12</v>
      </c>
      <c r="K5" s="58" t="s">
        <v>13</v>
      </c>
      <c r="L5" s="58" t="s">
        <v>26</v>
      </c>
      <c r="M5" s="543"/>
      <c r="N5" s="540"/>
      <c r="O5" s="542"/>
    </row>
    <row r="6" spans="1:15" ht="16.5" thickBot="1" x14ac:dyDescent="0.3">
      <c r="A6" t="s">
        <v>114</v>
      </c>
      <c r="B6">
        <v>806</v>
      </c>
      <c r="C6">
        <v>2546</v>
      </c>
      <c r="D6" t="s">
        <v>416</v>
      </c>
      <c r="E6" t="s">
        <v>417</v>
      </c>
      <c r="F6" t="s">
        <v>418</v>
      </c>
      <c r="H6" t="s">
        <v>419</v>
      </c>
      <c r="I6" t="s">
        <v>118</v>
      </c>
      <c r="J6" t="s">
        <v>32</v>
      </c>
      <c r="K6">
        <v>79938</v>
      </c>
      <c r="L6" t="s">
        <v>146</v>
      </c>
      <c r="M6" s="56"/>
      <c r="N6" s="7"/>
      <c r="O6" s="8"/>
    </row>
    <row r="7" spans="1:15" ht="19.5" thickBot="1" x14ac:dyDescent="0.35">
      <c r="L7" s="55" t="s">
        <v>15</v>
      </c>
      <c r="M7" s="54">
        <f>SUM(M6)</f>
        <v>0</v>
      </c>
      <c r="N7" s="52">
        <f t="shared" ref="N7:O7" si="0">SUM(N6)</f>
        <v>0</v>
      </c>
      <c r="O7" s="53">
        <f t="shared" si="0"/>
        <v>0</v>
      </c>
    </row>
  </sheetData>
  <mergeCells count="3">
    <mergeCell ref="M4:M5"/>
    <mergeCell ref="N4:N5"/>
    <mergeCell ref="O4:O5"/>
  </mergeCells>
  <hyperlinks>
    <hyperlink ref="I2" r:id="rId1" xr:uid="{BC66B6B1-06DF-4C2B-B294-790478E9316D}"/>
    <hyperlink ref="I1" r:id="rId2" xr:uid="{2F4A56ED-7AA7-4C23-B282-779DA99D502C}"/>
  </hyperlinks>
  <pageMargins left="0.7" right="0.7" top="0.75" bottom="0.75" header="0.3" footer="0.3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B3569-A1B1-414A-87C0-1C7493C56801}">
  <sheetPr>
    <tabColor theme="0" tint="-0.249977111117893"/>
  </sheetPr>
  <dimension ref="A1:ER556"/>
  <sheetViews>
    <sheetView zoomScale="80" zoomScaleNormal="80" workbookViewId="0">
      <selection activeCell="N7" sqref="N7"/>
    </sheetView>
  </sheetViews>
  <sheetFormatPr defaultColWidth="8.875" defaultRowHeight="15.75" x14ac:dyDescent="0.25"/>
  <cols>
    <col min="1" max="1" width="31.125" bestFit="1" customWidth="1"/>
    <col min="2" max="2" width="8.25" customWidth="1"/>
    <col min="3" max="3" width="9" customWidth="1"/>
    <col min="4" max="4" width="18.375" customWidth="1"/>
    <col min="5" max="5" width="17" bestFit="1" customWidth="1"/>
    <col min="6" max="6" width="20.625" bestFit="1" customWidth="1"/>
    <col min="7" max="7" width="26.125" bestFit="1" customWidth="1"/>
    <col min="8" max="8" width="41.625" bestFit="1" customWidth="1"/>
    <col min="9" max="9" width="18.875" bestFit="1" customWidth="1"/>
    <col min="10" max="10" width="7.25" customWidth="1"/>
    <col min="11" max="11" width="11.375" style="9" customWidth="1"/>
    <col min="12" max="12" width="16" customWidth="1"/>
    <col min="13" max="13" width="13.625" bestFit="1" customWidth="1"/>
    <col min="14" max="14" width="19.125" bestFit="1" customWidth="1"/>
    <col min="15" max="15" width="19.625" bestFit="1" customWidth="1"/>
    <col min="16" max="16" width="15" bestFit="1" customWidth="1"/>
    <col min="17" max="17" width="17.125" bestFit="1" customWidth="1"/>
    <col min="18" max="18" width="19.375" bestFit="1" customWidth="1"/>
    <col min="19" max="19" width="18.625" bestFit="1" customWidth="1"/>
    <col min="20" max="20" width="17.625" bestFit="1" customWidth="1"/>
    <col min="21" max="21" width="20.625" bestFit="1" customWidth="1"/>
    <col min="22" max="22" width="21.125" bestFit="1" customWidth="1"/>
    <col min="23" max="23" width="19.5" bestFit="1" customWidth="1"/>
    <col min="24" max="24" width="10.125" bestFit="1" customWidth="1"/>
    <col min="25" max="25" width="17.5" bestFit="1" customWidth="1"/>
    <col min="26" max="26" width="18.625" bestFit="1" customWidth="1"/>
    <col min="27" max="27" width="33.875" bestFit="1" customWidth="1"/>
    <col min="28" max="28" width="14" bestFit="1" customWidth="1"/>
    <col min="29" max="29" width="15.125" bestFit="1" customWidth="1"/>
    <col min="30" max="30" width="13.5" bestFit="1" customWidth="1"/>
    <col min="31" max="31" width="35.125" bestFit="1" customWidth="1"/>
    <col min="32" max="32" width="17.375" bestFit="1" customWidth="1"/>
    <col min="33" max="33" width="25.5" bestFit="1" customWidth="1"/>
    <col min="34" max="34" width="77.125" bestFit="1" customWidth="1"/>
    <col min="35" max="35" width="12.625" bestFit="1" customWidth="1"/>
    <col min="36" max="36" width="36.625" bestFit="1" customWidth="1"/>
    <col min="37" max="37" width="12.625" bestFit="1" customWidth="1"/>
    <col min="38" max="38" width="59.625" bestFit="1" customWidth="1"/>
    <col min="39" max="39" width="10.875" bestFit="1" customWidth="1"/>
    <col min="40" max="40" width="18.625" bestFit="1" customWidth="1"/>
    <col min="41" max="41" width="30.5" bestFit="1" customWidth="1"/>
    <col min="42" max="42" width="23.875" bestFit="1" customWidth="1"/>
    <col min="43" max="43" width="18.125" bestFit="1" customWidth="1"/>
    <col min="44" max="44" width="19.125" bestFit="1" customWidth="1"/>
    <col min="45" max="45" width="20.5" bestFit="1" customWidth="1"/>
    <col min="46" max="46" width="30" bestFit="1" customWidth="1"/>
    <col min="47" max="47" width="30.625" bestFit="1" customWidth="1"/>
    <col min="48" max="48" width="8.875" bestFit="1" customWidth="1"/>
    <col min="49" max="49" width="18.625" bestFit="1" customWidth="1"/>
    <col min="50" max="50" width="23" bestFit="1" customWidth="1"/>
    <col min="51" max="51" width="9.125" bestFit="1" customWidth="1"/>
    <col min="52" max="52" width="14.125" bestFit="1" customWidth="1"/>
    <col min="53" max="53" width="18.125" bestFit="1" customWidth="1"/>
    <col min="54" max="54" width="42.5" bestFit="1" customWidth="1"/>
    <col min="55" max="55" width="27.375" bestFit="1" customWidth="1"/>
    <col min="56" max="56" width="24.125" bestFit="1" customWidth="1"/>
    <col min="57" max="57" width="26.5" bestFit="1" customWidth="1"/>
    <col min="58" max="58" width="24.125" bestFit="1" customWidth="1"/>
    <col min="59" max="59" width="26.5" bestFit="1" customWidth="1"/>
    <col min="60" max="60" width="14.875" bestFit="1" customWidth="1"/>
    <col min="61" max="61" width="97.625" bestFit="1" customWidth="1"/>
    <col min="62" max="62" width="10.125" bestFit="1" customWidth="1"/>
    <col min="63" max="63" width="7.875" bestFit="1" customWidth="1"/>
    <col min="64" max="64" width="10.875" bestFit="1" customWidth="1"/>
    <col min="65" max="65" width="17.625" bestFit="1" customWidth="1"/>
    <col min="66" max="66" width="18.125" bestFit="1" customWidth="1"/>
    <col min="67" max="67" width="20.125" bestFit="1" customWidth="1"/>
    <col min="68" max="68" width="13.125" bestFit="1" customWidth="1"/>
    <col min="69" max="69" width="19" bestFit="1" customWidth="1"/>
    <col min="70" max="70" width="24.625" bestFit="1" customWidth="1"/>
    <col min="71" max="71" width="18.125" bestFit="1" customWidth="1"/>
    <col min="72" max="72" width="28.125" bestFit="1" customWidth="1"/>
    <col min="73" max="73" width="25.625" bestFit="1" customWidth="1"/>
    <col min="74" max="74" width="11.125" bestFit="1" customWidth="1"/>
    <col min="75" max="75" width="17.625" bestFit="1" customWidth="1"/>
    <col min="76" max="76" width="15.625" bestFit="1" customWidth="1"/>
    <col min="77" max="77" width="10.5" bestFit="1" customWidth="1"/>
    <col min="78" max="78" width="26.375" bestFit="1" customWidth="1"/>
    <col min="79" max="79" width="14.625" bestFit="1" customWidth="1"/>
    <col min="80" max="80" width="9.5" bestFit="1" customWidth="1"/>
    <col min="81" max="81" width="253.125" bestFit="1" customWidth="1"/>
    <col min="82" max="82" width="12.375" bestFit="1" customWidth="1"/>
    <col min="83" max="83" width="25.125" bestFit="1" customWidth="1"/>
    <col min="84" max="84" width="29.125" bestFit="1" customWidth="1"/>
    <col min="85" max="85" width="35.5" bestFit="1" customWidth="1"/>
    <col min="86" max="86" width="51.125" bestFit="1" customWidth="1"/>
    <col min="87" max="87" width="23.375" bestFit="1" customWidth="1"/>
    <col min="88" max="88" width="22.125" bestFit="1" customWidth="1"/>
    <col min="89" max="89" width="37.625" bestFit="1" customWidth="1"/>
    <col min="90" max="90" width="43.125" bestFit="1" customWidth="1"/>
    <col min="91" max="91" width="39.5" bestFit="1" customWidth="1"/>
    <col min="92" max="92" width="17.5" bestFit="1" customWidth="1"/>
    <col min="93" max="93" width="10.375" bestFit="1" customWidth="1"/>
    <col min="94" max="94" width="14.875" bestFit="1" customWidth="1"/>
    <col min="95" max="95" width="15.125" bestFit="1" customWidth="1"/>
    <col min="96" max="96" width="16.625" bestFit="1" customWidth="1"/>
    <col min="97" max="97" width="27.875" bestFit="1" customWidth="1"/>
    <col min="98" max="98" width="41" bestFit="1" customWidth="1"/>
    <col min="99" max="99" width="18.625" bestFit="1" customWidth="1"/>
    <col min="100" max="100" width="17" bestFit="1" customWidth="1"/>
    <col min="101" max="101" width="12.625" bestFit="1" customWidth="1"/>
    <col min="102" max="102" width="26" bestFit="1" customWidth="1"/>
    <col min="103" max="103" width="11.625" bestFit="1" customWidth="1"/>
    <col min="104" max="104" width="10.125" bestFit="1" customWidth="1"/>
    <col min="105" max="105" width="22.5" bestFit="1" customWidth="1"/>
    <col min="106" max="106" width="18.875" bestFit="1" customWidth="1"/>
    <col min="107" max="107" width="32.5" bestFit="1" customWidth="1"/>
    <col min="108" max="108" width="34.625" bestFit="1" customWidth="1"/>
    <col min="109" max="109" width="12.625" bestFit="1" customWidth="1"/>
    <col min="110" max="110" width="11.125" bestFit="1" customWidth="1"/>
    <col min="111" max="111" width="20.375" bestFit="1" customWidth="1"/>
    <col min="112" max="112" width="25.625" bestFit="1" customWidth="1"/>
    <col min="113" max="113" width="20.625" bestFit="1" customWidth="1"/>
    <col min="114" max="114" width="9.125" bestFit="1" customWidth="1"/>
    <col min="115" max="115" width="17.875" bestFit="1" customWidth="1"/>
    <col min="116" max="116" width="16.125" bestFit="1" customWidth="1"/>
    <col min="117" max="117" width="87.125" bestFit="1" customWidth="1"/>
    <col min="118" max="118" width="14" bestFit="1" customWidth="1"/>
    <col min="119" max="119" width="23.5" bestFit="1" customWidth="1"/>
    <col min="120" max="120" width="27" bestFit="1" customWidth="1"/>
    <col min="121" max="122" width="8.625" bestFit="1" customWidth="1"/>
    <col min="123" max="123" width="9.5" bestFit="1" customWidth="1"/>
    <col min="124" max="124" width="10.625" bestFit="1" customWidth="1"/>
    <col min="125" max="125" width="24.625" bestFit="1" customWidth="1"/>
    <col min="126" max="126" width="21.625" bestFit="1" customWidth="1"/>
    <col min="127" max="127" width="21.5" bestFit="1" customWidth="1"/>
    <col min="128" max="128" width="9.625" bestFit="1" customWidth="1"/>
    <col min="129" max="129" width="13.875" bestFit="1" customWidth="1"/>
    <col min="130" max="130" width="15.625" bestFit="1" customWidth="1"/>
    <col min="131" max="131" width="9.625" bestFit="1" customWidth="1"/>
    <col min="132" max="132" width="9.875" bestFit="1" customWidth="1"/>
    <col min="133" max="133" width="27" bestFit="1" customWidth="1"/>
    <col min="134" max="134" width="12.5" bestFit="1" customWidth="1"/>
    <col min="135" max="135" width="9.625" bestFit="1" customWidth="1"/>
    <col min="136" max="136" width="10" bestFit="1" customWidth="1"/>
    <col min="137" max="137" width="14" bestFit="1" customWidth="1"/>
    <col min="138" max="138" width="16.5" bestFit="1" customWidth="1"/>
    <col min="139" max="139" width="10.5" bestFit="1" customWidth="1"/>
    <col min="140" max="140" width="13.125" bestFit="1" customWidth="1"/>
    <col min="141" max="141" width="9.625" bestFit="1" customWidth="1"/>
    <col min="142" max="142" width="12.125" bestFit="1" customWidth="1"/>
    <col min="143" max="143" width="10.125" bestFit="1" customWidth="1"/>
    <col min="144" max="144" width="12.625" bestFit="1" customWidth="1"/>
    <col min="145" max="145" width="9.625" bestFit="1" customWidth="1"/>
    <col min="146" max="146" width="22.5" bestFit="1" customWidth="1"/>
    <col min="147" max="148" width="19.125" bestFit="1" customWidth="1"/>
    <col min="149" max="149" width="20.125" bestFit="1" customWidth="1"/>
    <col min="150" max="150" width="25" bestFit="1" customWidth="1"/>
    <col min="151" max="151" width="23.125" bestFit="1" customWidth="1"/>
    <col min="152" max="152" width="23" bestFit="1" customWidth="1"/>
    <col min="153" max="153" width="28.875" bestFit="1" customWidth="1"/>
    <col min="154" max="154" width="33.125" bestFit="1" customWidth="1"/>
    <col min="155" max="155" width="23.375" bestFit="1" customWidth="1"/>
    <col min="156" max="156" width="20.625" bestFit="1" customWidth="1"/>
    <col min="157" max="157" width="15.625" bestFit="1" customWidth="1"/>
    <col min="158" max="158" width="21.125" bestFit="1" customWidth="1"/>
    <col min="159" max="159" width="32.625" bestFit="1" customWidth="1"/>
    <col min="160" max="160" width="35.125" bestFit="1" customWidth="1"/>
    <col min="161" max="161" width="26.125" bestFit="1" customWidth="1"/>
    <col min="162" max="162" width="32.5" bestFit="1" customWidth="1"/>
    <col min="163" max="163" width="38.875" bestFit="1" customWidth="1"/>
    <col min="164" max="164" width="20.875" bestFit="1" customWidth="1"/>
    <col min="165" max="165" width="25.125" bestFit="1" customWidth="1"/>
    <col min="166" max="168" width="18.125" bestFit="1" customWidth="1"/>
    <col min="169" max="169" width="24" bestFit="1" customWidth="1"/>
    <col min="170" max="170" width="31.125" bestFit="1" customWidth="1"/>
    <col min="171" max="171" width="35.625" bestFit="1" customWidth="1"/>
    <col min="172" max="172" width="36" bestFit="1" customWidth="1"/>
    <col min="173" max="173" width="31.125" bestFit="1" customWidth="1"/>
  </cols>
  <sheetData>
    <row r="1" spans="1:148" x14ac:dyDescent="0.25">
      <c r="A1" s="23" t="s">
        <v>18</v>
      </c>
      <c r="B1" s="27" t="s">
        <v>420</v>
      </c>
      <c r="C1" s="27"/>
      <c r="D1" s="27"/>
      <c r="E1" s="23" t="s">
        <v>21</v>
      </c>
      <c r="F1" s="25" t="s">
        <v>22</v>
      </c>
      <c r="K1"/>
      <c r="ER1" s="10"/>
    </row>
    <row r="2" spans="1:148" x14ac:dyDescent="0.25">
      <c r="A2" s="23"/>
      <c r="B2" s="26"/>
      <c r="C2" s="26"/>
      <c r="D2" s="26"/>
      <c r="F2" s="16"/>
      <c r="G2" s="25"/>
      <c r="K2"/>
      <c r="ER2" s="10"/>
    </row>
    <row r="3" spans="1:148" ht="31.5" x14ac:dyDescent="0.25">
      <c r="A3" s="11" t="s">
        <v>4</v>
      </c>
      <c r="B3" s="28" t="s">
        <v>24</v>
      </c>
      <c r="C3" s="29" t="s">
        <v>421</v>
      </c>
      <c r="D3" s="13" t="s">
        <v>422</v>
      </c>
      <c r="E3" s="13" t="s">
        <v>423</v>
      </c>
      <c r="F3" s="13" t="s">
        <v>424</v>
      </c>
      <c r="G3" s="13" t="s">
        <v>425</v>
      </c>
      <c r="H3" s="13" t="s">
        <v>426</v>
      </c>
      <c r="I3" s="13" t="s">
        <v>11</v>
      </c>
      <c r="J3" s="28" t="s">
        <v>12</v>
      </c>
      <c r="K3" s="14" t="s">
        <v>427</v>
      </c>
      <c r="L3" s="12" t="s">
        <v>428</v>
      </c>
      <c r="ER3" s="10"/>
    </row>
    <row r="4" spans="1:148" x14ac:dyDescent="0.25">
      <c r="A4" s="15" t="s">
        <v>27</v>
      </c>
      <c r="B4" s="15">
        <v>804</v>
      </c>
      <c r="C4" s="79" t="s">
        <v>2437</v>
      </c>
      <c r="D4" s="15" t="s">
        <v>430</v>
      </c>
      <c r="E4" s="15" t="s">
        <v>431</v>
      </c>
      <c r="F4" s="15" t="s">
        <v>2438</v>
      </c>
      <c r="G4" s="15" t="s">
        <v>2439</v>
      </c>
      <c r="H4" s="15" t="s">
        <v>2440</v>
      </c>
      <c r="I4" s="15" t="s">
        <v>31</v>
      </c>
      <c r="J4" s="15" t="s">
        <v>32</v>
      </c>
      <c r="K4" s="81" t="s">
        <v>3054</v>
      </c>
      <c r="L4" s="15" t="s">
        <v>2441</v>
      </c>
      <c r="ER4" s="10"/>
    </row>
    <row r="5" spans="1:148" x14ac:dyDescent="0.25">
      <c r="A5" s="15" t="s">
        <v>27</v>
      </c>
      <c r="B5" s="15">
        <v>804</v>
      </c>
      <c r="C5" s="80" t="s">
        <v>28</v>
      </c>
      <c r="D5" s="15" t="s">
        <v>430</v>
      </c>
      <c r="E5" s="15" t="s">
        <v>431</v>
      </c>
      <c r="F5" s="15" t="s">
        <v>29</v>
      </c>
      <c r="G5" s="15" t="s">
        <v>2442</v>
      </c>
      <c r="H5" s="15" t="s">
        <v>30</v>
      </c>
      <c r="I5" s="15" t="s">
        <v>31</v>
      </c>
      <c r="J5" s="15" t="s">
        <v>32</v>
      </c>
      <c r="K5" s="81" t="s">
        <v>3055</v>
      </c>
      <c r="L5" s="15" t="s">
        <v>33</v>
      </c>
    </row>
    <row r="6" spans="1:148" x14ac:dyDescent="0.25">
      <c r="A6" s="15" t="s">
        <v>27</v>
      </c>
      <c r="B6" s="15">
        <v>804</v>
      </c>
      <c r="C6" s="80" t="s">
        <v>2443</v>
      </c>
      <c r="D6" s="15" t="s">
        <v>430</v>
      </c>
      <c r="E6" s="15" t="s">
        <v>431</v>
      </c>
      <c r="F6" s="15" t="s">
        <v>2444</v>
      </c>
      <c r="G6" s="15" t="s">
        <v>2445</v>
      </c>
      <c r="H6" s="15" t="s">
        <v>2446</v>
      </c>
      <c r="I6" s="15" t="s">
        <v>31</v>
      </c>
      <c r="J6" s="15" t="s">
        <v>32</v>
      </c>
      <c r="K6" s="81" t="s">
        <v>3056</v>
      </c>
      <c r="L6" s="15" t="s">
        <v>2447</v>
      </c>
    </row>
    <row r="7" spans="1:148" x14ac:dyDescent="0.25">
      <c r="A7" s="15" t="s">
        <v>27</v>
      </c>
      <c r="B7" s="15">
        <v>804</v>
      </c>
      <c r="C7" s="80" t="s">
        <v>2448</v>
      </c>
      <c r="D7" s="15" t="s">
        <v>430</v>
      </c>
      <c r="E7" s="15" t="s">
        <v>431</v>
      </c>
      <c r="F7" s="15" t="s">
        <v>2449</v>
      </c>
      <c r="G7" s="15" t="s">
        <v>2450</v>
      </c>
      <c r="H7" s="15" t="s">
        <v>2451</v>
      </c>
      <c r="I7" s="15" t="s">
        <v>31</v>
      </c>
      <c r="J7" s="15" t="s">
        <v>32</v>
      </c>
      <c r="K7" s="81" t="s">
        <v>3057</v>
      </c>
      <c r="L7" s="15" t="s">
        <v>2452</v>
      </c>
    </row>
    <row r="8" spans="1:148" x14ac:dyDescent="0.25">
      <c r="A8" s="15" t="s">
        <v>27</v>
      </c>
      <c r="B8" s="15">
        <v>804</v>
      </c>
      <c r="C8" s="80" t="s">
        <v>2453</v>
      </c>
      <c r="D8" s="15" t="s">
        <v>430</v>
      </c>
      <c r="E8" s="15" t="s">
        <v>431</v>
      </c>
      <c r="F8" s="15" t="s">
        <v>2454</v>
      </c>
      <c r="G8" s="15" t="s">
        <v>2508</v>
      </c>
      <c r="H8" s="15" t="s">
        <v>2455</v>
      </c>
      <c r="I8" s="15" t="s">
        <v>31</v>
      </c>
      <c r="J8" s="15" t="s">
        <v>32</v>
      </c>
      <c r="K8" s="81" t="s">
        <v>3058</v>
      </c>
      <c r="L8" s="15" t="s">
        <v>2456</v>
      </c>
    </row>
    <row r="9" spans="1:148" x14ac:dyDescent="0.25">
      <c r="A9" s="15" t="s">
        <v>27</v>
      </c>
      <c r="B9" s="15">
        <v>804</v>
      </c>
      <c r="C9" s="80" t="s">
        <v>2457</v>
      </c>
      <c r="D9" s="15" t="s">
        <v>430</v>
      </c>
      <c r="E9" s="15" t="s">
        <v>431</v>
      </c>
      <c r="F9" s="15" t="s">
        <v>2458</v>
      </c>
      <c r="G9" s="15" t="s">
        <v>2521</v>
      </c>
      <c r="H9" s="15" t="s">
        <v>2459</v>
      </c>
      <c r="I9" s="15" t="s">
        <v>31</v>
      </c>
      <c r="J9" s="15" t="s">
        <v>32</v>
      </c>
      <c r="K9" s="81" t="s">
        <v>3059</v>
      </c>
      <c r="L9" s="15" t="s">
        <v>2460</v>
      </c>
    </row>
    <row r="10" spans="1:148" x14ac:dyDescent="0.25">
      <c r="A10" s="15" t="s">
        <v>27</v>
      </c>
      <c r="B10" s="15">
        <v>804</v>
      </c>
      <c r="C10" s="80" t="s">
        <v>2461</v>
      </c>
      <c r="D10" s="15" t="s">
        <v>416</v>
      </c>
      <c r="E10" s="15" t="s">
        <v>431</v>
      </c>
      <c r="F10" s="15" t="s">
        <v>2462</v>
      </c>
      <c r="G10" s="15" t="s">
        <v>2463</v>
      </c>
      <c r="H10" s="15" t="s">
        <v>2464</v>
      </c>
      <c r="I10" s="15" t="s">
        <v>31</v>
      </c>
      <c r="J10" s="15" t="s">
        <v>32</v>
      </c>
      <c r="K10" s="81" t="s">
        <v>3060</v>
      </c>
      <c r="L10" s="15" t="s">
        <v>2465</v>
      </c>
    </row>
    <row r="11" spans="1:148" x14ac:dyDescent="0.25">
      <c r="A11" s="15" t="s">
        <v>27</v>
      </c>
      <c r="B11" s="15">
        <v>804</v>
      </c>
      <c r="C11" s="80" t="s">
        <v>2466</v>
      </c>
      <c r="D11" s="15" t="s">
        <v>430</v>
      </c>
      <c r="E11" s="15" t="s">
        <v>431</v>
      </c>
      <c r="F11" s="15" t="s">
        <v>2467</v>
      </c>
      <c r="G11" s="15" t="s">
        <v>2953</v>
      </c>
      <c r="H11" s="15" t="s">
        <v>2468</v>
      </c>
      <c r="I11" s="15" t="s">
        <v>31</v>
      </c>
      <c r="J11" s="15" t="s">
        <v>32</v>
      </c>
      <c r="K11" s="81" t="s">
        <v>3061</v>
      </c>
      <c r="L11" s="15" t="s">
        <v>2469</v>
      </c>
    </row>
    <row r="12" spans="1:148" x14ac:dyDescent="0.25">
      <c r="A12" s="15" t="s">
        <v>27</v>
      </c>
      <c r="B12" s="15">
        <v>804</v>
      </c>
      <c r="C12" s="80" t="s">
        <v>2470</v>
      </c>
      <c r="D12" s="15" t="s">
        <v>430</v>
      </c>
      <c r="E12" s="15" t="s">
        <v>431</v>
      </c>
      <c r="F12" s="15" t="s">
        <v>2471</v>
      </c>
      <c r="G12" s="15" t="s">
        <v>2472</v>
      </c>
      <c r="H12" s="15" t="s">
        <v>2473</v>
      </c>
      <c r="I12" s="15" t="s">
        <v>2430</v>
      </c>
      <c r="J12" s="15" t="s">
        <v>32</v>
      </c>
      <c r="K12" s="81" t="s">
        <v>3062</v>
      </c>
      <c r="L12" s="15" t="s">
        <v>2474</v>
      </c>
    </row>
    <row r="13" spans="1:148" x14ac:dyDescent="0.25">
      <c r="A13" s="15" t="s">
        <v>27</v>
      </c>
      <c r="B13" s="15">
        <v>804</v>
      </c>
      <c r="C13" s="80" t="s">
        <v>2475</v>
      </c>
      <c r="D13" s="15" t="s">
        <v>430</v>
      </c>
      <c r="E13" s="15" t="s">
        <v>431</v>
      </c>
      <c r="F13" s="15" t="s">
        <v>2476</v>
      </c>
      <c r="G13" s="15" t="s">
        <v>2477</v>
      </c>
      <c r="H13" s="15" t="s">
        <v>2478</v>
      </c>
      <c r="I13" s="15" t="s">
        <v>31</v>
      </c>
      <c r="J13" s="15" t="s">
        <v>32</v>
      </c>
      <c r="K13" s="81" t="s">
        <v>3063</v>
      </c>
      <c r="L13" s="15" t="s">
        <v>2479</v>
      </c>
    </row>
    <row r="14" spans="1:148" x14ac:dyDescent="0.25">
      <c r="A14" s="15" t="s">
        <v>27</v>
      </c>
      <c r="B14" s="15">
        <v>804</v>
      </c>
      <c r="C14" s="80" t="s">
        <v>2480</v>
      </c>
      <c r="D14" s="15" t="s">
        <v>430</v>
      </c>
      <c r="E14" s="15" t="s">
        <v>431</v>
      </c>
      <c r="F14" s="15" t="s">
        <v>2481</v>
      </c>
      <c r="G14" s="15" t="s">
        <v>2482</v>
      </c>
      <c r="H14" s="15" t="s">
        <v>2483</v>
      </c>
      <c r="I14" s="15" t="s">
        <v>2484</v>
      </c>
      <c r="J14" s="15" t="s">
        <v>32</v>
      </c>
      <c r="K14" s="81" t="s">
        <v>3064</v>
      </c>
      <c r="L14" s="15" t="s">
        <v>2485</v>
      </c>
    </row>
    <row r="15" spans="1:148" x14ac:dyDescent="0.25">
      <c r="A15" s="15" t="s">
        <v>27</v>
      </c>
      <c r="B15" s="15">
        <v>804</v>
      </c>
      <c r="C15" s="80" t="s">
        <v>2486</v>
      </c>
      <c r="D15" s="15" t="s">
        <v>416</v>
      </c>
      <c r="E15" s="15" t="s">
        <v>431</v>
      </c>
      <c r="F15" s="15" t="s">
        <v>2487</v>
      </c>
      <c r="G15" s="15" t="s">
        <v>2488</v>
      </c>
      <c r="H15" s="15" t="s">
        <v>2489</v>
      </c>
      <c r="I15" s="15" t="s">
        <v>31</v>
      </c>
      <c r="J15" s="15" t="s">
        <v>32</v>
      </c>
      <c r="K15" s="81" t="s">
        <v>3056</v>
      </c>
      <c r="L15" s="15" t="s">
        <v>2490</v>
      </c>
    </row>
    <row r="16" spans="1:148" x14ac:dyDescent="0.25">
      <c r="A16" s="15" t="s">
        <v>27</v>
      </c>
      <c r="B16" s="15">
        <v>804</v>
      </c>
      <c r="C16" s="80" t="s">
        <v>2491</v>
      </c>
      <c r="D16" s="15" t="s">
        <v>416</v>
      </c>
      <c r="E16" s="15" t="s">
        <v>431</v>
      </c>
      <c r="F16" s="15" t="s">
        <v>2492</v>
      </c>
      <c r="G16" s="15" t="s">
        <v>2493</v>
      </c>
      <c r="H16" s="15" t="s">
        <v>2494</v>
      </c>
      <c r="I16" s="15" t="s">
        <v>31</v>
      </c>
      <c r="J16" s="15" t="s">
        <v>32</v>
      </c>
      <c r="K16" s="81" t="s">
        <v>3065</v>
      </c>
      <c r="L16" s="15" t="s">
        <v>2495</v>
      </c>
    </row>
    <row r="17" spans="1:12" x14ac:dyDescent="0.25">
      <c r="A17" s="15" t="s">
        <v>27</v>
      </c>
      <c r="B17" s="15">
        <v>804</v>
      </c>
      <c r="C17" s="80" t="s">
        <v>2496</v>
      </c>
      <c r="D17" s="15" t="s">
        <v>430</v>
      </c>
      <c r="E17" s="15" t="s">
        <v>431</v>
      </c>
      <c r="F17" s="15" t="s">
        <v>2497</v>
      </c>
      <c r="G17" s="15" t="s">
        <v>3024</v>
      </c>
      <c r="H17" s="15" t="s">
        <v>2499</v>
      </c>
      <c r="I17" s="15" t="s">
        <v>31</v>
      </c>
      <c r="J17" s="15" t="s">
        <v>32</v>
      </c>
      <c r="K17" s="81" t="s">
        <v>3063</v>
      </c>
      <c r="L17" s="15" t="s">
        <v>2500</v>
      </c>
    </row>
    <row r="18" spans="1:12" x14ac:dyDescent="0.25">
      <c r="A18" s="15" t="s">
        <v>27</v>
      </c>
      <c r="B18" s="15">
        <v>804</v>
      </c>
      <c r="C18" s="80" t="s">
        <v>2501</v>
      </c>
      <c r="D18" s="15" t="s">
        <v>416</v>
      </c>
      <c r="E18" s="15" t="s">
        <v>431</v>
      </c>
      <c r="F18" s="15" t="s">
        <v>2502</v>
      </c>
      <c r="G18" s="15" t="s">
        <v>3025</v>
      </c>
      <c r="H18" s="15" t="s">
        <v>2503</v>
      </c>
      <c r="I18" s="15" t="s">
        <v>2504</v>
      </c>
      <c r="J18" s="15" t="s">
        <v>32</v>
      </c>
      <c r="K18" s="81" t="s">
        <v>3066</v>
      </c>
      <c r="L18" s="15" t="s">
        <v>2505</v>
      </c>
    </row>
    <row r="19" spans="1:12" x14ac:dyDescent="0.25">
      <c r="A19" s="15" t="s">
        <v>27</v>
      </c>
      <c r="B19" s="15">
        <v>804</v>
      </c>
      <c r="C19" s="80" t="s">
        <v>2506</v>
      </c>
      <c r="D19" s="15" t="s">
        <v>416</v>
      </c>
      <c r="E19" s="15" t="s">
        <v>431</v>
      </c>
      <c r="F19" s="15" t="s">
        <v>2507</v>
      </c>
      <c r="G19" s="15" t="s">
        <v>2963</v>
      </c>
      <c r="H19" s="15" t="s">
        <v>2509</v>
      </c>
      <c r="I19" s="15" t="s">
        <v>31</v>
      </c>
      <c r="J19" s="15" t="s">
        <v>32</v>
      </c>
      <c r="K19" s="81" t="s">
        <v>3067</v>
      </c>
      <c r="L19" s="15" t="s">
        <v>2510</v>
      </c>
    </row>
    <row r="20" spans="1:12" x14ac:dyDescent="0.25">
      <c r="A20" s="15" t="s">
        <v>27</v>
      </c>
      <c r="B20" s="15">
        <v>804</v>
      </c>
      <c r="C20" s="80" t="s">
        <v>2511</v>
      </c>
      <c r="D20" s="15" t="s">
        <v>416</v>
      </c>
      <c r="E20" s="15" t="s">
        <v>431</v>
      </c>
      <c r="F20" s="15" t="s">
        <v>2512</v>
      </c>
      <c r="G20" s="15" t="s">
        <v>3008</v>
      </c>
      <c r="H20" s="15" t="s">
        <v>2513</v>
      </c>
      <c r="I20" s="15" t="s">
        <v>31</v>
      </c>
      <c r="J20" s="15" t="s">
        <v>32</v>
      </c>
      <c r="K20" s="81" t="s">
        <v>3068</v>
      </c>
      <c r="L20" s="15" t="s">
        <v>2514</v>
      </c>
    </row>
    <row r="21" spans="1:12" x14ac:dyDescent="0.25">
      <c r="A21" s="15" t="s">
        <v>27</v>
      </c>
      <c r="B21" s="15">
        <v>804</v>
      </c>
      <c r="C21" s="80" t="s">
        <v>2515</v>
      </c>
      <c r="D21" s="15" t="s">
        <v>416</v>
      </c>
      <c r="E21" s="15" t="s">
        <v>431</v>
      </c>
      <c r="F21" s="15" t="s">
        <v>2516</v>
      </c>
      <c r="G21" s="15" t="s">
        <v>2583</v>
      </c>
      <c r="H21" s="15" t="s">
        <v>2517</v>
      </c>
      <c r="I21" s="15" t="s">
        <v>2430</v>
      </c>
      <c r="J21" s="15" t="s">
        <v>32</v>
      </c>
      <c r="K21" s="81" t="s">
        <v>3069</v>
      </c>
      <c r="L21" s="15" t="s">
        <v>2518</v>
      </c>
    </row>
    <row r="22" spans="1:12" x14ac:dyDescent="0.25">
      <c r="A22" s="15" t="s">
        <v>27</v>
      </c>
      <c r="B22" s="15">
        <v>804</v>
      </c>
      <c r="C22" s="80" t="s">
        <v>2519</v>
      </c>
      <c r="D22" s="15" t="s">
        <v>416</v>
      </c>
      <c r="E22" s="15" t="s">
        <v>431</v>
      </c>
      <c r="F22" s="15" t="s">
        <v>2520</v>
      </c>
      <c r="G22" s="15" t="s">
        <v>2989</v>
      </c>
      <c r="H22" s="15" t="s">
        <v>2522</v>
      </c>
      <c r="I22" s="15" t="s">
        <v>2386</v>
      </c>
      <c r="J22" s="15" t="s">
        <v>32</v>
      </c>
      <c r="K22" s="81" t="s">
        <v>3070</v>
      </c>
      <c r="L22" s="15" t="s">
        <v>2523</v>
      </c>
    </row>
    <row r="23" spans="1:12" x14ac:dyDescent="0.25">
      <c r="A23" s="15" t="s">
        <v>27</v>
      </c>
      <c r="B23" s="15">
        <v>804</v>
      </c>
      <c r="C23" s="80" t="s">
        <v>2524</v>
      </c>
      <c r="D23" s="15" t="s">
        <v>416</v>
      </c>
      <c r="E23" s="15" t="s">
        <v>431</v>
      </c>
      <c r="F23" s="15" t="s">
        <v>2525</v>
      </c>
      <c r="G23" s="15" t="s">
        <v>2526</v>
      </c>
      <c r="H23" s="15" t="s">
        <v>2527</v>
      </c>
      <c r="I23" s="15" t="s">
        <v>31</v>
      </c>
      <c r="J23" s="15" t="s">
        <v>32</v>
      </c>
      <c r="K23" s="81" t="s">
        <v>3071</v>
      </c>
      <c r="L23" s="15" t="s">
        <v>2528</v>
      </c>
    </row>
    <row r="24" spans="1:12" x14ac:dyDescent="0.25">
      <c r="A24" s="15" t="s">
        <v>27</v>
      </c>
      <c r="B24" s="15">
        <v>804</v>
      </c>
      <c r="C24" s="80" t="s">
        <v>2529</v>
      </c>
      <c r="D24" s="15" t="s">
        <v>416</v>
      </c>
      <c r="E24" s="15" t="s">
        <v>431</v>
      </c>
      <c r="F24" s="15" t="s">
        <v>2530</v>
      </c>
      <c r="G24" s="15" t="s">
        <v>2531</v>
      </c>
      <c r="H24" s="15" t="s">
        <v>2532</v>
      </c>
      <c r="I24" s="15" t="s">
        <v>2381</v>
      </c>
      <c r="J24" s="15" t="s">
        <v>32</v>
      </c>
      <c r="K24" s="81" t="s">
        <v>3072</v>
      </c>
      <c r="L24" s="15" t="s">
        <v>2533</v>
      </c>
    </row>
    <row r="25" spans="1:12" x14ac:dyDescent="0.25">
      <c r="A25" s="15" t="s">
        <v>27</v>
      </c>
      <c r="B25" s="15">
        <v>804</v>
      </c>
      <c r="C25" s="80" t="s">
        <v>2534</v>
      </c>
      <c r="D25" s="15" t="s">
        <v>416</v>
      </c>
      <c r="E25" s="15" t="s">
        <v>431</v>
      </c>
      <c r="F25" s="15" t="s">
        <v>2535</v>
      </c>
      <c r="G25" s="15" t="s">
        <v>2536</v>
      </c>
      <c r="H25" s="15" t="s">
        <v>2537</v>
      </c>
      <c r="I25" s="15" t="s">
        <v>31</v>
      </c>
      <c r="J25" s="15" t="s">
        <v>32</v>
      </c>
      <c r="K25" s="81" t="s">
        <v>3073</v>
      </c>
      <c r="L25" s="15" t="s">
        <v>2538</v>
      </c>
    </row>
    <row r="26" spans="1:12" x14ac:dyDescent="0.25">
      <c r="A26" s="15" t="s">
        <v>27</v>
      </c>
      <c r="B26" s="15">
        <v>804</v>
      </c>
      <c r="C26" s="80" t="s">
        <v>2539</v>
      </c>
      <c r="D26" s="15" t="s">
        <v>416</v>
      </c>
      <c r="E26" s="15" t="s">
        <v>431</v>
      </c>
      <c r="F26" s="15" t="s">
        <v>2540</v>
      </c>
      <c r="G26" s="15" t="s">
        <v>2541</v>
      </c>
      <c r="H26" s="15" t="s">
        <v>2542</v>
      </c>
      <c r="I26" s="15" t="s">
        <v>31</v>
      </c>
      <c r="J26" s="15" t="s">
        <v>32</v>
      </c>
      <c r="K26" s="81" t="s">
        <v>3074</v>
      </c>
      <c r="L26" s="15" t="s">
        <v>2543</v>
      </c>
    </row>
    <row r="27" spans="1:12" x14ac:dyDescent="0.25">
      <c r="A27" s="15" t="s">
        <v>27</v>
      </c>
      <c r="B27" s="15">
        <v>804</v>
      </c>
      <c r="C27" s="80" t="s">
        <v>2544</v>
      </c>
      <c r="D27" s="15" t="s">
        <v>527</v>
      </c>
      <c r="E27" s="15" t="s">
        <v>431</v>
      </c>
      <c r="F27" s="15" t="s">
        <v>2545</v>
      </c>
      <c r="G27" s="15" t="s">
        <v>3075</v>
      </c>
      <c r="H27" s="15" t="s">
        <v>2546</v>
      </c>
      <c r="I27" s="15" t="s">
        <v>31</v>
      </c>
      <c r="J27" s="15" t="s">
        <v>32</v>
      </c>
      <c r="K27" s="81" t="s">
        <v>3076</v>
      </c>
      <c r="L27" s="15" t="s">
        <v>2547</v>
      </c>
    </row>
    <row r="28" spans="1:12" x14ac:dyDescent="0.25">
      <c r="A28" s="15" t="s">
        <v>27</v>
      </c>
      <c r="B28" s="15">
        <v>804</v>
      </c>
      <c r="C28" s="80" t="s">
        <v>2548</v>
      </c>
      <c r="D28" s="15" t="s">
        <v>430</v>
      </c>
      <c r="E28" s="15" t="s">
        <v>431</v>
      </c>
      <c r="F28" s="15" t="s">
        <v>2549</v>
      </c>
      <c r="G28" s="15" t="s">
        <v>2550</v>
      </c>
      <c r="H28" s="15" t="s">
        <v>2551</v>
      </c>
      <c r="I28" s="15" t="s">
        <v>31</v>
      </c>
      <c r="J28" s="15" t="s">
        <v>32</v>
      </c>
      <c r="K28" s="81" t="s">
        <v>2552</v>
      </c>
      <c r="L28" s="15" t="s">
        <v>2553</v>
      </c>
    </row>
    <row r="29" spans="1:12" x14ac:dyDescent="0.25">
      <c r="A29" s="15" t="s">
        <v>27</v>
      </c>
      <c r="B29" s="15">
        <v>804</v>
      </c>
      <c r="C29" s="80" t="s">
        <v>2554</v>
      </c>
      <c r="D29" s="15" t="s">
        <v>416</v>
      </c>
      <c r="E29" s="15" t="s">
        <v>431</v>
      </c>
      <c r="F29" s="15" t="s">
        <v>2555</v>
      </c>
      <c r="G29" s="15" t="s">
        <v>2556</v>
      </c>
      <c r="H29" s="15" t="s">
        <v>2557</v>
      </c>
      <c r="I29" s="15" t="s">
        <v>2558</v>
      </c>
      <c r="J29" s="15" t="s">
        <v>32</v>
      </c>
      <c r="K29" s="81" t="s">
        <v>3077</v>
      </c>
      <c r="L29" s="15" t="s">
        <v>2559</v>
      </c>
    </row>
    <row r="30" spans="1:12" x14ac:dyDescent="0.25">
      <c r="A30" s="15" t="s">
        <v>27</v>
      </c>
      <c r="B30" s="15">
        <v>804</v>
      </c>
      <c r="C30" s="80" t="s">
        <v>2560</v>
      </c>
      <c r="D30" s="15" t="s">
        <v>416</v>
      </c>
      <c r="E30" s="15" t="s">
        <v>431</v>
      </c>
      <c r="F30" s="15" t="s">
        <v>2561</v>
      </c>
      <c r="G30" s="15" t="s">
        <v>2964</v>
      </c>
      <c r="H30" s="15" t="s">
        <v>2562</v>
      </c>
      <c r="I30" s="15" t="s">
        <v>31</v>
      </c>
      <c r="J30" s="15" t="s">
        <v>32</v>
      </c>
      <c r="K30" s="81" t="s">
        <v>3078</v>
      </c>
      <c r="L30" s="15" t="s">
        <v>2563</v>
      </c>
    </row>
    <row r="31" spans="1:12" x14ac:dyDescent="0.25">
      <c r="A31" s="15" t="s">
        <v>27</v>
      </c>
      <c r="B31" s="15">
        <v>804</v>
      </c>
      <c r="C31" s="80" t="s">
        <v>2564</v>
      </c>
      <c r="D31" s="15" t="s">
        <v>416</v>
      </c>
      <c r="E31" s="15" t="s">
        <v>431</v>
      </c>
      <c r="F31" s="15" t="s">
        <v>2565</v>
      </c>
      <c r="G31" s="15" t="s">
        <v>2566</v>
      </c>
      <c r="H31" s="15" t="s">
        <v>2567</v>
      </c>
      <c r="I31" s="15" t="s">
        <v>2504</v>
      </c>
      <c r="J31" s="15" t="s">
        <v>32</v>
      </c>
      <c r="K31" s="81" t="s">
        <v>3079</v>
      </c>
      <c r="L31" s="15" t="s">
        <v>2568</v>
      </c>
    </row>
    <row r="32" spans="1:12" x14ac:dyDescent="0.25">
      <c r="A32" s="15" t="s">
        <v>34</v>
      </c>
      <c r="B32" s="15">
        <v>807</v>
      </c>
      <c r="C32" s="80" t="s">
        <v>35</v>
      </c>
      <c r="D32" s="15" t="s">
        <v>416</v>
      </c>
      <c r="E32" s="15" t="s">
        <v>431</v>
      </c>
      <c r="F32" s="15" t="s">
        <v>36</v>
      </c>
      <c r="G32" s="15" t="s">
        <v>2081</v>
      </c>
      <c r="H32" s="15" t="s">
        <v>37</v>
      </c>
      <c r="I32" s="15" t="s">
        <v>38</v>
      </c>
      <c r="J32" s="15" t="s">
        <v>39</v>
      </c>
      <c r="K32" s="81" t="s">
        <v>3080</v>
      </c>
      <c r="L32" s="15" t="s">
        <v>40</v>
      </c>
    </row>
    <row r="33" spans="1:12" x14ac:dyDescent="0.25">
      <c r="A33" s="15" t="s">
        <v>34</v>
      </c>
      <c r="B33" s="15">
        <v>807</v>
      </c>
      <c r="C33" s="80" t="s">
        <v>2082</v>
      </c>
      <c r="D33" s="15" t="s">
        <v>416</v>
      </c>
      <c r="E33" s="15" t="s">
        <v>431</v>
      </c>
      <c r="F33" s="15" t="s">
        <v>2083</v>
      </c>
      <c r="G33" s="15" t="s">
        <v>2084</v>
      </c>
      <c r="H33" s="15" t="s">
        <v>2085</v>
      </c>
      <c r="I33" s="15" t="s">
        <v>38</v>
      </c>
      <c r="J33" s="15" t="s">
        <v>39</v>
      </c>
      <c r="K33" s="81" t="s">
        <v>3080</v>
      </c>
      <c r="L33" s="15" t="s">
        <v>2086</v>
      </c>
    </row>
    <row r="34" spans="1:12" x14ac:dyDescent="0.25">
      <c r="A34" s="15" t="s">
        <v>107</v>
      </c>
      <c r="B34" s="15">
        <v>807</v>
      </c>
      <c r="C34" s="80" t="s">
        <v>893</v>
      </c>
      <c r="D34" s="15" t="s">
        <v>416</v>
      </c>
      <c r="E34" s="15" t="s">
        <v>431</v>
      </c>
      <c r="F34" s="15" t="s">
        <v>894</v>
      </c>
      <c r="G34" s="15" t="s">
        <v>895</v>
      </c>
      <c r="H34" s="15" t="s">
        <v>896</v>
      </c>
      <c r="I34" s="15" t="s">
        <v>111</v>
      </c>
      <c r="J34" s="15" t="s">
        <v>112</v>
      </c>
      <c r="K34" s="81" t="s">
        <v>3081</v>
      </c>
      <c r="L34" s="15" t="s">
        <v>897</v>
      </c>
    </row>
    <row r="35" spans="1:12" x14ac:dyDescent="0.25">
      <c r="A35" s="15" t="s">
        <v>41</v>
      </c>
      <c r="B35" s="15">
        <v>813</v>
      </c>
      <c r="C35" s="80" t="s">
        <v>434</v>
      </c>
      <c r="D35" s="15" t="s">
        <v>416</v>
      </c>
      <c r="E35" s="15" t="s">
        <v>431</v>
      </c>
      <c r="F35" s="15" t="s">
        <v>435</v>
      </c>
      <c r="G35" s="15" t="s">
        <v>2990</v>
      </c>
      <c r="H35" s="15" t="s">
        <v>437</v>
      </c>
      <c r="I35" s="15" t="s">
        <v>438</v>
      </c>
      <c r="J35" s="15" t="s">
        <v>46</v>
      </c>
      <c r="K35" s="81" t="s">
        <v>439</v>
      </c>
      <c r="L35" s="15" t="s">
        <v>440</v>
      </c>
    </row>
    <row r="36" spans="1:12" x14ac:dyDescent="0.25">
      <c r="A36" s="15" t="s">
        <v>41</v>
      </c>
      <c r="B36" s="15">
        <v>813</v>
      </c>
      <c r="C36" s="80" t="s">
        <v>42</v>
      </c>
      <c r="D36" s="15" t="s">
        <v>416</v>
      </c>
      <c r="E36" s="15" t="s">
        <v>431</v>
      </c>
      <c r="F36" s="15" t="s">
        <v>43</v>
      </c>
      <c r="G36" s="15" t="s">
        <v>441</v>
      </c>
      <c r="H36" s="15" t="s">
        <v>44</v>
      </c>
      <c r="I36" s="15" t="s">
        <v>45</v>
      </c>
      <c r="J36" s="15" t="s">
        <v>46</v>
      </c>
      <c r="K36" s="81" t="s">
        <v>47</v>
      </c>
      <c r="L36" s="15" t="s">
        <v>48</v>
      </c>
    </row>
    <row r="37" spans="1:12" x14ac:dyDescent="0.25">
      <c r="A37" s="15" t="s">
        <v>41</v>
      </c>
      <c r="B37" s="15">
        <v>813</v>
      </c>
      <c r="C37" s="80" t="s">
        <v>442</v>
      </c>
      <c r="D37" s="15" t="s">
        <v>416</v>
      </c>
      <c r="E37" s="15" t="s">
        <v>431</v>
      </c>
      <c r="F37" s="15" t="s">
        <v>443</v>
      </c>
      <c r="G37" s="15" t="s">
        <v>2954</v>
      </c>
      <c r="H37" s="15" t="s">
        <v>444</v>
      </c>
      <c r="I37" s="15" t="s">
        <v>144</v>
      </c>
      <c r="J37" s="15" t="s">
        <v>46</v>
      </c>
      <c r="K37" s="81" t="s">
        <v>445</v>
      </c>
      <c r="L37" s="15" t="s">
        <v>446</v>
      </c>
    </row>
    <row r="38" spans="1:12" x14ac:dyDescent="0.25">
      <c r="A38" s="15" t="s">
        <v>41</v>
      </c>
      <c r="B38" s="15">
        <v>813</v>
      </c>
      <c r="C38" s="80" t="s">
        <v>447</v>
      </c>
      <c r="D38" s="15" t="s">
        <v>416</v>
      </c>
      <c r="E38" s="15" t="s">
        <v>431</v>
      </c>
      <c r="F38" s="15" t="s">
        <v>448</v>
      </c>
      <c r="G38" s="15" t="s">
        <v>436</v>
      </c>
      <c r="H38" s="15" t="s">
        <v>450</v>
      </c>
      <c r="I38" s="15" t="s">
        <v>451</v>
      </c>
      <c r="J38" s="15" t="s">
        <v>46</v>
      </c>
      <c r="K38" s="81" t="s">
        <v>3082</v>
      </c>
      <c r="L38" s="15" t="s">
        <v>452</v>
      </c>
    </row>
    <row r="39" spans="1:12" x14ac:dyDescent="0.25">
      <c r="A39" s="15" t="s">
        <v>41</v>
      </c>
      <c r="B39" s="15">
        <v>813</v>
      </c>
      <c r="C39" s="80" t="s">
        <v>453</v>
      </c>
      <c r="D39" s="15" t="s">
        <v>416</v>
      </c>
      <c r="E39" s="15" t="s">
        <v>431</v>
      </c>
      <c r="F39" s="15" t="s">
        <v>454</v>
      </c>
      <c r="G39" s="15" t="s">
        <v>449</v>
      </c>
      <c r="H39" s="15" t="s">
        <v>455</v>
      </c>
      <c r="I39" s="15" t="s">
        <v>451</v>
      </c>
      <c r="J39" s="15" t="s">
        <v>46</v>
      </c>
      <c r="K39" s="81" t="s">
        <v>456</v>
      </c>
      <c r="L39" s="15" t="s">
        <v>457</v>
      </c>
    </row>
    <row r="40" spans="1:12" x14ac:dyDescent="0.25">
      <c r="A40" s="15" t="s">
        <v>41</v>
      </c>
      <c r="B40" s="15">
        <v>813</v>
      </c>
      <c r="C40" s="80" t="s">
        <v>458</v>
      </c>
      <c r="D40" s="15" t="s">
        <v>416</v>
      </c>
      <c r="E40" s="15" t="s">
        <v>431</v>
      </c>
      <c r="F40" s="15" t="s">
        <v>459</v>
      </c>
      <c r="G40" s="15" t="s">
        <v>460</v>
      </c>
      <c r="H40" s="15" t="s">
        <v>461</v>
      </c>
      <c r="I40" s="15" t="s">
        <v>451</v>
      </c>
      <c r="J40" s="15" t="s">
        <v>46</v>
      </c>
      <c r="K40" s="81" t="s">
        <v>462</v>
      </c>
      <c r="L40" s="15" t="s">
        <v>463</v>
      </c>
    </row>
    <row r="41" spans="1:12" x14ac:dyDescent="0.25">
      <c r="A41" s="15" t="s">
        <v>41</v>
      </c>
      <c r="B41" s="15">
        <v>813</v>
      </c>
      <c r="C41" s="80" t="s">
        <v>464</v>
      </c>
      <c r="D41" s="15" t="s">
        <v>416</v>
      </c>
      <c r="E41" s="15" t="s">
        <v>431</v>
      </c>
      <c r="F41" s="15" t="s">
        <v>465</v>
      </c>
      <c r="G41" s="15" t="s">
        <v>466</v>
      </c>
      <c r="H41" s="15" t="s">
        <v>467</v>
      </c>
      <c r="I41" s="15" t="s">
        <v>45</v>
      </c>
      <c r="J41" s="15" t="s">
        <v>46</v>
      </c>
      <c r="K41" s="81" t="s">
        <v>468</v>
      </c>
      <c r="L41" s="15" t="s">
        <v>469</v>
      </c>
    </row>
    <row r="42" spans="1:12" x14ac:dyDescent="0.25">
      <c r="A42" s="15" t="s">
        <v>41</v>
      </c>
      <c r="B42" s="15">
        <v>813</v>
      </c>
      <c r="C42" s="80" t="s">
        <v>470</v>
      </c>
      <c r="D42" s="15" t="s">
        <v>416</v>
      </c>
      <c r="E42" s="15" t="s">
        <v>431</v>
      </c>
      <c r="F42" s="15" t="s">
        <v>471</v>
      </c>
      <c r="G42" s="15" t="s">
        <v>472</v>
      </c>
      <c r="H42" s="15" t="s">
        <v>473</v>
      </c>
      <c r="I42" s="15" t="s">
        <v>474</v>
      </c>
      <c r="J42" s="15" t="s">
        <v>46</v>
      </c>
      <c r="K42" s="81" t="s">
        <v>475</v>
      </c>
      <c r="L42" s="15" t="s">
        <v>476</v>
      </c>
    </row>
    <row r="43" spans="1:12" x14ac:dyDescent="0.25">
      <c r="A43" s="15" t="s">
        <v>41</v>
      </c>
      <c r="B43" s="15">
        <v>813</v>
      </c>
      <c r="C43" s="80" t="s">
        <v>477</v>
      </c>
      <c r="D43" s="15" t="s">
        <v>416</v>
      </c>
      <c r="E43" s="15" t="s">
        <v>431</v>
      </c>
      <c r="F43" s="15" t="s">
        <v>478</v>
      </c>
      <c r="G43" s="15" t="s">
        <v>479</v>
      </c>
      <c r="H43" s="15" t="s">
        <v>480</v>
      </c>
      <c r="I43" s="15" t="s">
        <v>481</v>
      </c>
      <c r="J43" s="15" t="s">
        <v>46</v>
      </c>
      <c r="K43" s="81" t="s">
        <v>482</v>
      </c>
      <c r="L43" s="15" t="s">
        <v>483</v>
      </c>
    </row>
    <row r="44" spans="1:12" x14ac:dyDescent="0.25">
      <c r="A44" s="15" t="s">
        <v>41</v>
      </c>
      <c r="B44" s="15">
        <v>813</v>
      </c>
      <c r="C44" s="80" t="s">
        <v>484</v>
      </c>
      <c r="D44" s="15" t="s">
        <v>416</v>
      </c>
      <c r="E44" s="15" t="s">
        <v>431</v>
      </c>
      <c r="F44" s="15" t="s">
        <v>485</v>
      </c>
      <c r="G44" s="15" t="s">
        <v>486</v>
      </c>
      <c r="H44" s="15" t="s">
        <v>487</v>
      </c>
      <c r="I44" s="15" t="s">
        <v>474</v>
      </c>
      <c r="J44" s="15" t="s">
        <v>46</v>
      </c>
      <c r="K44" s="81" t="s">
        <v>3083</v>
      </c>
      <c r="L44" s="15" t="s">
        <v>488</v>
      </c>
    </row>
    <row r="45" spans="1:12" x14ac:dyDescent="0.25">
      <c r="A45" s="15" t="s">
        <v>27</v>
      </c>
      <c r="B45" s="15">
        <v>804</v>
      </c>
      <c r="C45" s="80" t="s">
        <v>2569</v>
      </c>
      <c r="D45" s="15" t="s">
        <v>416</v>
      </c>
      <c r="E45" s="15" t="s">
        <v>431</v>
      </c>
      <c r="F45" s="15" t="s">
        <v>2570</v>
      </c>
      <c r="G45" s="15" t="s">
        <v>2571</v>
      </c>
      <c r="H45" s="15" t="s">
        <v>2572</v>
      </c>
      <c r="I45" s="15" t="s">
        <v>2573</v>
      </c>
      <c r="J45" s="15" t="s">
        <v>32</v>
      </c>
      <c r="K45" s="81" t="s">
        <v>3084</v>
      </c>
      <c r="L45" s="15" t="s">
        <v>2574</v>
      </c>
    </row>
    <row r="46" spans="1:12" x14ac:dyDescent="0.25">
      <c r="A46" s="15" t="s">
        <v>27</v>
      </c>
      <c r="B46" s="15">
        <v>804</v>
      </c>
      <c r="C46" s="80" t="s">
        <v>2575</v>
      </c>
      <c r="D46" s="15" t="s">
        <v>416</v>
      </c>
      <c r="E46" s="15" t="s">
        <v>431</v>
      </c>
      <c r="F46" s="15" t="s">
        <v>2576</v>
      </c>
      <c r="G46" s="15" t="s">
        <v>2577</v>
      </c>
      <c r="H46" s="15" t="s">
        <v>2578</v>
      </c>
      <c r="I46" s="15" t="s">
        <v>2579</v>
      </c>
      <c r="J46" s="15" t="s">
        <v>32</v>
      </c>
      <c r="K46" s="81" t="s">
        <v>3085</v>
      </c>
      <c r="L46" s="15" t="s">
        <v>2580</v>
      </c>
    </row>
    <row r="47" spans="1:12" x14ac:dyDescent="0.25">
      <c r="A47" s="15" t="s">
        <v>27</v>
      </c>
      <c r="B47" s="15">
        <v>805</v>
      </c>
      <c r="C47" s="80" t="s">
        <v>2581</v>
      </c>
      <c r="D47" s="15" t="s">
        <v>416</v>
      </c>
      <c r="E47" s="15" t="s">
        <v>431</v>
      </c>
      <c r="F47" s="15" t="s">
        <v>2582</v>
      </c>
      <c r="G47" s="15" t="s">
        <v>2991</v>
      </c>
      <c r="H47" s="15" t="s">
        <v>2584</v>
      </c>
      <c r="I47" s="15" t="s">
        <v>31</v>
      </c>
      <c r="J47" s="15" t="s">
        <v>32</v>
      </c>
      <c r="K47" s="81" t="s">
        <v>3086</v>
      </c>
      <c r="L47" s="15" t="s">
        <v>2585</v>
      </c>
    </row>
    <row r="48" spans="1:12" x14ac:dyDescent="0.25">
      <c r="A48" s="15" t="s">
        <v>27</v>
      </c>
      <c r="B48" s="15">
        <v>805</v>
      </c>
      <c r="C48" s="80" t="s">
        <v>2586</v>
      </c>
      <c r="D48" s="15" t="s">
        <v>416</v>
      </c>
      <c r="E48" s="15" t="s">
        <v>431</v>
      </c>
      <c r="F48" s="15" t="s">
        <v>2587</v>
      </c>
      <c r="G48" s="15" t="s">
        <v>2992</v>
      </c>
      <c r="H48" s="15" t="s">
        <v>2588</v>
      </c>
      <c r="I48" s="15" t="s">
        <v>31</v>
      </c>
      <c r="J48" s="15" t="s">
        <v>32</v>
      </c>
      <c r="K48" s="81" t="s">
        <v>3087</v>
      </c>
      <c r="L48" s="15" t="s">
        <v>2589</v>
      </c>
    </row>
    <row r="49" spans="1:12" x14ac:dyDescent="0.25">
      <c r="A49" s="15" t="s">
        <v>49</v>
      </c>
      <c r="B49" s="15">
        <v>812</v>
      </c>
      <c r="C49" s="80" t="s">
        <v>1129</v>
      </c>
      <c r="D49" s="15" t="s">
        <v>416</v>
      </c>
      <c r="E49" s="15" t="s">
        <v>431</v>
      </c>
      <c r="F49" s="15" t="s">
        <v>1130</v>
      </c>
      <c r="G49" s="15" t="s">
        <v>1131</v>
      </c>
      <c r="H49" s="15" t="s">
        <v>1132</v>
      </c>
      <c r="I49" s="15" t="s">
        <v>1133</v>
      </c>
      <c r="J49" s="15" t="s">
        <v>54</v>
      </c>
      <c r="K49" s="81" t="s">
        <v>3088</v>
      </c>
      <c r="L49" s="15" t="s">
        <v>1134</v>
      </c>
    </row>
    <row r="50" spans="1:12" x14ac:dyDescent="0.25">
      <c r="A50" s="15" t="s">
        <v>49</v>
      </c>
      <c r="B50" s="15">
        <v>812</v>
      </c>
      <c r="C50" s="80" t="s">
        <v>1135</v>
      </c>
      <c r="D50" s="15" t="s">
        <v>416</v>
      </c>
      <c r="E50" s="15" t="s">
        <v>431</v>
      </c>
      <c r="F50" s="15" t="s">
        <v>1136</v>
      </c>
      <c r="G50" s="15" t="s">
        <v>1137</v>
      </c>
      <c r="H50" s="15" t="s">
        <v>1138</v>
      </c>
      <c r="I50" s="15" t="s">
        <v>1019</v>
      </c>
      <c r="J50" s="15" t="s">
        <v>54</v>
      </c>
      <c r="K50" s="81" t="s">
        <v>3089</v>
      </c>
      <c r="L50" s="15" t="s">
        <v>1139</v>
      </c>
    </row>
    <row r="51" spans="1:12" x14ac:dyDescent="0.25">
      <c r="A51" s="15" t="s">
        <v>49</v>
      </c>
      <c r="B51" s="15">
        <v>812</v>
      </c>
      <c r="C51" s="80" t="s">
        <v>1140</v>
      </c>
      <c r="D51" s="15" t="s">
        <v>416</v>
      </c>
      <c r="E51" s="15" t="s">
        <v>431</v>
      </c>
      <c r="F51" s="15" t="s">
        <v>1141</v>
      </c>
      <c r="G51" s="15" t="s">
        <v>1147</v>
      </c>
      <c r="H51" s="15" t="s">
        <v>1142</v>
      </c>
      <c r="I51" s="15" t="s">
        <v>1143</v>
      </c>
      <c r="J51" s="15" t="s">
        <v>54</v>
      </c>
      <c r="K51" s="81" t="s">
        <v>3090</v>
      </c>
      <c r="L51" s="15" t="s">
        <v>1144</v>
      </c>
    </row>
    <row r="52" spans="1:12" x14ac:dyDescent="0.25">
      <c r="A52" s="15" t="s">
        <v>49</v>
      </c>
      <c r="B52" s="15">
        <v>812</v>
      </c>
      <c r="C52" s="80" t="s">
        <v>1145</v>
      </c>
      <c r="D52" s="15" t="s">
        <v>416</v>
      </c>
      <c r="E52" s="15" t="s">
        <v>431</v>
      </c>
      <c r="F52" s="15" t="s">
        <v>1146</v>
      </c>
      <c r="G52" s="15" t="s">
        <v>3009</v>
      </c>
      <c r="H52" s="15" t="s">
        <v>1148</v>
      </c>
      <c r="I52" s="15" t="s">
        <v>1074</v>
      </c>
      <c r="J52" s="15" t="s">
        <v>54</v>
      </c>
      <c r="K52" s="81" t="s">
        <v>1149</v>
      </c>
      <c r="L52" s="15" t="s">
        <v>1150</v>
      </c>
    </row>
    <row r="53" spans="1:12" x14ac:dyDescent="0.25">
      <c r="A53" s="15" t="s">
        <v>62</v>
      </c>
      <c r="B53" s="15">
        <v>812</v>
      </c>
      <c r="C53" s="80" t="s">
        <v>1260</v>
      </c>
      <c r="D53" s="15" t="s">
        <v>416</v>
      </c>
      <c r="E53" s="15" t="s">
        <v>431</v>
      </c>
      <c r="F53" s="15" t="s">
        <v>1261</v>
      </c>
      <c r="G53" s="15" t="s">
        <v>1262</v>
      </c>
      <c r="H53" s="15" t="s">
        <v>1263</v>
      </c>
      <c r="I53" s="15" t="s">
        <v>1264</v>
      </c>
      <c r="J53" s="15" t="s">
        <v>54</v>
      </c>
      <c r="K53" s="81" t="s">
        <v>3091</v>
      </c>
      <c r="L53" s="15" t="s">
        <v>1265</v>
      </c>
    </row>
    <row r="54" spans="1:12" x14ac:dyDescent="0.25">
      <c r="A54" s="15" t="s">
        <v>62</v>
      </c>
      <c r="B54" s="15">
        <v>812</v>
      </c>
      <c r="C54" s="80" t="s">
        <v>1266</v>
      </c>
      <c r="D54" s="15" t="s">
        <v>430</v>
      </c>
      <c r="E54" s="15" t="s">
        <v>431</v>
      </c>
      <c r="F54" s="15" t="s">
        <v>1267</v>
      </c>
      <c r="G54" s="15" t="s">
        <v>1268</v>
      </c>
      <c r="H54" s="15" t="s">
        <v>1269</v>
      </c>
      <c r="I54" s="15" t="s">
        <v>1270</v>
      </c>
      <c r="J54" s="15" t="s">
        <v>54</v>
      </c>
      <c r="K54" s="81" t="s">
        <v>3092</v>
      </c>
      <c r="L54" s="15" t="s">
        <v>1271</v>
      </c>
    </row>
    <row r="55" spans="1:12" x14ac:dyDescent="0.25">
      <c r="A55" s="15" t="s">
        <v>62</v>
      </c>
      <c r="B55" s="15">
        <v>812</v>
      </c>
      <c r="C55" s="80" t="s">
        <v>1272</v>
      </c>
      <c r="D55" s="15" t="s">
        <v>430</v>
      </c>
      <c r="E55" s="15" t="s">
        <v>431</v>
      </c>
      <c r="F55" s="15" t="s">
        <v>1273</v>
      </c>
      <c r="G55" s="15" t="s">
        <v>1256</v>
      </c>
      <c r="H55" s="15" t="s">
        <v>1275</v>
      </c>
      <c r="I55" s="15" t="s">
        <v>289</v>
      </c>
      <c r="J55" s="15" t="s">
        <v>54</v>
      </c>
      <c r="K55" s="81" t="s">
        <v>3093</v>
      </c>
      <c r="L55" s="15" t="s">
        <v>1276</v>
      </c>
    </row>
    <row r="56" spans="1:12" x14ac:dyDescent="0.25">
      <c r="A56" s="15" t="s">
        <v>62</v>
      </c>
      <c r="B56" s="15">
        <v>812</v>
      </c>
      <c r="C56" s="80" t="s">
        <v>1277</v>
      </c>
      <c r="D56" s="15" t="s">
        <v>430</v>
      </c>
      <c r="E56" s="15" t="s">
        <v>431</v>
      </c>
      <c r="F56" s="15" t="s">
        <v>1278</v>
      </c>
      <c r="G56" s="15" t="s">
        <v>1279</v>
      </c>
      <c r="H56" s="15" t="s">
        <v>1280</v>
      </c>
      <c r="I56" s="15" t="s">
        <v>289</v>
      </c>
      <c r="J56" s="15" t="s">
        <v>54</v>
      </c>
      <c r="K56" s="81" t="s">
        <v>3094</v>
      </c>
      <c r="L56" s="15" t="s">
        <v>1281</v>
      </c>
    </row>
    <row r="57" spans="1:12" x14ac:dyDescent="0.25">
      <c r="A57" s="15" t="s">
        <v>62</v>
      </c>
      <c r="B57" s="15">
        <v>812</v>
      </c>
      <c r="C57" s="80" t="s">
        <v>1282</v>
      </c>
      <c r="D57" s="15" t="s">
        <v>430</v>
      </c>
      <c r="E57" s="15" t="s">
        <v>431</v>
      </c>
      <c r="F57" s="15" t="s">
        <v>1283</v>
      </c>
      <c r="G57" s="15" t="s">
        <v>1284</v>
      </c>
      <c r="H57" s="15" t="s">
        <v>1285</v>
      </c>
      <c r="I57" s="15" t="s">
        <v>289</v>
      </c>
      <c r="J57" s="15" t="s">
        <v>54</v>
      </c>
      <c r="K57" s="81" t="s">
        <v>3095</v>
      </c>
      <c r="L57" s="15" t="s">
        <v>1286</v>
      </c>
    </row>
    <row r="58" spans="1:12" x14ac:dyDescent="0.25">
      <c r="A58" s="15" t="s">
        <v>49</v>
      </c>
      <c r="B58" s="15">
        <v>812</v>
      </c>
      <c r="C58" s="80" t="s">
        <v>50</v>
      </c>
      <c r="D58" s="15" t="s">
        <v>416</v>
      </c>
      <c r="E58" s="15" t="s">
        <v>431</v>
      </c>
      <c r="F58" s="15" t="s">
        <v>51</v>
      </c>
      <c r="G58" s="15" t="s">
        <v>1151</v>
      </c>
      <c r="H58" s="15" t="s">
        <v>52</v>
      </c>
      <c r="I58" s="15" t="s">
        <v>53</v>
      </c>
      <c r="J58" s="15" t="s">
        <v>54</v>
      </c>
      <c r="K58" s="81" t="s">
        <v>3096</v>
      </c>
      <c r="L58" s="15" t="s">
        <v>55</v>
      </c>
    </row>
    <row r="59" spans="1:12" x14ac:dyDescent="0.25">
      <c r="A59" s="15" t="s">
        <v>49</v>
      </c>
      <c r="B59" s="15">
        <v>812</v>
      </c>
      <c r="C59" s="80" t="s">
        <v>1152</v>
      </c>
      <c r="D59" s="15" t="s">
        <v>430</v>
      </c>
      <c r="E59" s="15" t="s">
        <v>431</v>
      </c>
      <c r="F59" s="15" t="s">
        <v>1153</v>
      </c>
      <c r="G59" s="15" t="s">
        <v>1154</v>
      </c>
      <c r="H59" s="15" t="s">
        <v>1155</v>
      </c>
      <c r="I59" s="15" t="s">
        <v>1156</v>
      </c>
      <c r="J59" s="15" t="s">
        <v>54</v>
      </c>
      <c r="K59" s="81" t="s">
        <v>3097</v>
      </c>
      <c r="L59" s="15" t="s">
        <v>1157</v>
      </c>
    </row>
    <row r="60" spans="1:12" x14ac:dyDescent="0.25">
      <c r="A60" s="15" t="s">
        <v>49</v>
      </c>
      <c r="B60" s="15">
        <v>812</v>
      </c>
      <c r="C60" s="80" t="s">
        <v>1158</v>
      </c>
      <c r="D60" s="15" t="s">
        <v>416</v>
      </c>
      <c r="E60" s="15" t="s">
        <v>431</v>
      </c>
      <c r="F60" s="15" t="s">
        <v>1159</v>
      </c>
      <c r="G60" s="15" t="s">
        <v>1160</v>
      </c>
      <c r="H60" s="15" t="s">
        <v>1161</v>
      </c>
      <c r="I60" s="15" t="s">
        <v>1113</v>
      </c>
      <c r="J60" s="15" t="s">
        <v>54</v>
      </c>
      <c r="K60" s="81" t="s">
        <v>3098</v>
      </c>
      <c r="L60" s="15" t="s">
        <v>1162</v>
      </c>
    </row>
    <row r="61" spans="1:12" x14ac:dyDescent="0.25">
      <c r="A61" s="15" t="s">
        <v>49</v>
      </c>
      <c r="B61" s="15">
        <v>812</v>
      </c>
      <c r="C61" s="80" t="s">
        <v>1163</v>
      </c>
      <c r="D61" s="15" t="s">
        <v>416</v>
      </c>
      <c r="E61" s="15" t="s">
        <v>431</v>
      </c>
      <c r="F61" s="15" t="s">
        <v>1164</v>
      </c>
      <c r="G61" s="15" t="s">
        <v>1165</v>
      </c>
      <c r="H61" s="15" t="s">
        <v>1166</v>
      </c>
      <c r="I61" s="15" t="s">
        <v>1084</v>
      </c>
      <c r="J61" s="15" t="s">
        <v>54</v>
      </c>
      <c r="K61" s="81" t="s">
        <v>1167</v>
      </c>
      <c r="L61" s="15" t="s">
        <v>1168</v>
      </c>
    </row>
    <row r="62" spans="1:12" x14ac:dyDescent="0.25">
      <c r="A62" s="15" t="s">
        <v>49</v>
      </c>
      <c r="B62" s="15">
        <v>812</v>
      </c>
      <c r="C62" s="80" t="s">
        <v>1169</v>
      </c>
      <c r="D62" s="15" t="s">
        <v>416</v>
      </c>
      <c r="E62" s="15" t="s">
        <v>431</v>
      </c>
      <c r="F62" s="15" t="s">
        <v>1170</v>
      </c>
      <c r="G62" s="15" t="s">
        <v>2993</v>
      </c>
      <c r="H62" s="15" t="s">
        <v>1171</v>
      </c>
      <c r="I62" s="15" t="s">
        <v>1172</v>
      </c>
      <c r="J62" s="15" t="s">
        <v>54</v>
      </c>
      <c r="K62" s="81" t="s">
        <v>1173</v>
      </c>
      <c r="L62" s="15" t="s">
        <v>299</v>
      </c>
    </row>
    <row r="63" spans="1:12" x14ac:dyDescent="0.25">
      <c r="A63" s="15" t="s">
        <v>49</v>
      </c>
      <c r="B63" s="15">
        <v>812</v>
      </c>
      <c r="C63" s="80" t="s">
        <v>1174</v>
      </c>
      <c r="D63" s="15" t="s">
        <v>416</v>
      </c>
      <c r="E63" s="15" t="s">
        <v>431</v>
      </c>
      <c r="F63" s="15" t="s">
        <v>1175</v>
      </c>
      <c r="G63" s="15" t="s">
        <v>3026</v>
      </c>
      <c r="H63" s="15" t="s">
        <v>1177</v>
      </c>
      <c r="I63" s="15" t="s">
        <v>1178</v>
      </c>
      <c r="J63" s="15" t="s">
        <v>54</v>
      </c>
      <c r="K63" s="81" t="s">
        <v>3099</v>
      </c>
      <c r="L63" s="15" t="s">
        <v>1179</v>
      </c>
    </row>
    <row r="64" spans="1:12" x14ac:dyDescent="0.25">
      <c r="A64" s="15" t="s">
        <v>49</v>
      </c>
      <c r="B64" s="15">
        <v>812</v>
      </c>
      <c r="C64" s="80" t="s">
        <v>1180</v>
      </c>
      <c r="D64" s="15" t="s">
        <v>416</v>
      </c>
      <c r="E64" s="15" t="s">
        <v>431</v>
      </c>
      <c r="F64" s="15" t="s">
        <v>1181</v>
      </c>
      <c r="G64" s="15"/>
      <c r="H64" s="15" t="s">
        <v>1183</v>
      </c>
      <c r="I64" s="15" t="s">
        <v>53</v>
      </c>
      <c r="J64" s="15" t="s">
        <v>54</v>
      </c>
      <c r="K64" s="81" t="s">
        <v>3096</v>
      </c>
      <c r="L64" s="15" t="s">
        <v>1184</v>
      </c>
    </row>
    <row r="65" spans="1:12" x14ac:dyDescent="0.25">
      <c r="A65" s="15" t="s">
        <v>49</v>
      </c>
      <c r="B65" s="15">
        <v>812</v>
      </c>
      <c r="C65" s="80" t="s">
        <v>1185</v>
      </c>
      <c r="D65" s="15" t="s">
        <v>416</v>
      </c>
      <c r="E65" s="15" t="s">
        <v>431</v>
      </c>
      <c r="F65" s="15" t="s">
        <v>1186</v>
      </c>
      <c r="G65" s="15" t="s">
        <v>3010</v>
      </c>
      <c r="H65" s="15" t="s">
        <v>1188</v>
      </c>
      <c r="I65" s="15" t="s">
        <v>1074</v>
      </c>
      <c r="J65" s="15" t="s">
        <v>54</v>
      </c>
      <c r="K65" s="81" t="s">
        <v>3100</v>
      </c>
      <c r="L65" s="15" t="s">
        <v>1189</v>
      </c>
    </row>
    <row r="66" spans="1:12" x14ac:dyDescent="0.25">
      <c r="A66" s="15" t="s">
        <v>49</v>
      </c>
      <c r="B66" s="15">
        <v>812</v>
      </c>
      <c r="C66" s="80" t="s">
        <v>1190</v>
      </c>
      <c r="D66" s="15" t="s">
        <v>416</v>
      </c>
      <c r="E66" s="15" t="s">
        <v>431</v>
      </c>
      <c r="F66" s="15" t="s">
        <v>1191</v>
      </c>
      <c r="G66" s="15" t="s">
        <v>2965</v>
      </c>
      <c r="H66" s="15" t="s">
        <v>1192</v>
      </c>
      <c r="I66" s="15" t="s">
        <v>1074</v>
      </c>
      <c r="J66" s="15" t="s">
        <v>54</v>
      </c>
      <c r="K66" s="81" t="s">
        <v>3101</v>
      </c>
      <c r="L66" s="15" t="s">
        <v>1193</v>
      </c>
    </row>
    <row r="67" spans="1:12" x14ac:dyDescent="0.25">
      <c r="A67" s="15" t="s">
        <v>56</v>
      </c>
      <c r="B67" s="15">
        <v>813</v>
      </c>
      <c r="C67" s="80" t="s">
        <v>429</v>
      </c>
      <c r="D67" s="15" t="s">
        <v>430</v>
      </c>
      <c r="E67" s="15" t="s">
        <v>431</v>
      </c>
      <c r="F67" s="15" t="s">
        <v>432</v>
      </c>
      <c r="G67" s="15" t="s">
        <v>3102</v>
      </c>
      <c r="H67" s="15" t="s">
        <v>292</v>
      </c>
      <c r="I67" s="15" t="s">
        <v>293</v>
      </c>
      <c r="J67" s="15" t="s">
        <v>46</v>
      </c>
      <c r="K67" s="81" t="s">
        <v>3103</v>
      </c>
      <c r="L67" s="15" t="s">
        <v>294</v>
      </c>
    </row>
    <row r="68" spans="1:12" x14ac:dyDescent="0.25">
      <c r="A68" s="15" t="s">
        <v>56</v>
      </c>
      <c r="B68" s="15">
        <v>813</v>
      </c>
      <c r="C68" s="80" t="s">
        <v>57</v>
      </c>
      <c r="D68" s="15" t="s">
        <v>416</v>
      </c>
      <c r="E68" s="15" t="s">
        <v>431</v>
      </c>
      <c r="F68" s="15" t="s">
        <v>58</v>
      </c>
      <c r="G68" s="15" t="s">
        <v>433</v>
      </c>
      <c r="H68" s="15" t="s">
        <v>59</v>
      </c>
      <c r="I68" s="15" t="s">
        <v>60</v>
      </c>
      <c r="J68" s="15" t="s">
        <v>46</v>
      </c>
      <c r="K68" s="81" t="s">
        <v>3104</v>
      </c>
      <c r="L68" s="15" t="s">
        <v>61</v>
      </c>
    </row>
    <row r="69" spans="1:12" x14ac:dyDescent="0.25">
      <c r="A69" s="15" t="s">
        <v>49</v>
      </c>
      <c r="B69" s="15">
        <v>812</v>
      </c>
      <c r="C69" s="80" t="s">
        <v>1194</v>
      </c>
      <c r="D69" s="15" t="s">
        <v>416</v>
      </c>
      <c r="E69" s="15" t="s">
        <v>431</v>
      </c>
      <c r="F69" s="15" t="s">
        <v>1195</v>
      </c>
      <c r="G69" s="15" t="s">
        <v>1196</v>
      </c>
      <c r="H69" s="15" t="s">
        <v>1197</v>
      </c>
      <c r="I69" s="15" t="s">
        <v>1074</v>
      </c>
      <c r="J69" s="15" t="s">
        <v>54</v>
      </c>
      <c r="K69" s="81" t="s">
        <v>3105</v>
      </c>
      <c r="L69" s="15" t="s">
        <v>1198</v>
      </c>
    </row>
    <row r="70" spans="1:12" x14ac:dyDescent="0.25">
      <c r="A70" s="15" t="s">
        <v>237</v>
      </c>
      <c r="B70" s="15">
        <v>813</v>
      </c>
      <c r="C70" s="80" t="s">
        <v>1309</v>
      </c>
      <c r="D70" s="15" t="s">
        <v>416</v>
      </c>
      <c r="E70" s="15" t="s">
        <v>431</v>
      </c>
      <c r="F70" s="15" t="s">
        <v>1310</v>
      </c>
      <c r="G70" s="15" t="s">
        <v>1311</v>
      </c>
      <c r="H70" s="15" t="s">
        <v>1312</v>
      </c>
      <c r="I70" s="15" t="s">
        <v>1313</v>
      </c>
      <c r="J70" s="15" t="s">
        <v>241</v>
      </c>
      <c r="K70" s="81" t="s">
        <v>3106</v>
      </c>
      <c r="L70" s="15" t="s">
        <v>1314</v>
      </c>
    </row>
    <row r="71" spans="1:12" x14ac:dyDescent="0.25">
      <c r="A71" s="15" t="s">
        <v>237</v>
      </c>
      <c r="B71" s="15">
        <v>813</v>
      </c>
      <c r="C71" s="80" t="s">
        <v>1315</v>
      </c>
      <c r="D71" s="15" t="s">
        <v>416</v>
      </c>
      <c r="E71" s="15" t="s">
        <v>431</v>
      </c>
      <c r="F71" s="15" t="s">
        <v>1316</v>
      </c>
      <c r="G71" s="15" t="s">
        <v>1317</v>
      </c>
      <c r="H71" s="15" t="s">
        <v>1318</v>
      </c>
      <c r="I71" s="15" t="s">
        <v>1319</v>
      </c>
      <c r="J71" s="15" t="s">
        <v>46</v>
      </c>
      <c r="K71" s="81" t="s">
        <v>3107</v>
      </c>
      <c r="L71" s="15" t="s">
        <v>1320</v>
      </c>
    </row>
    <row r="72" spans="1:12" x14ac:dyDescent="0.25">
      <c r="A72" s="15" t="s">
        <v>237</v>
      </c>
      <c r="B72" s="15">
        <v>813</v>
      </c>
      <c r="C72" s="80" t="s">
        <v>1321</v>
      </c>
      <c r="D72" s="15" t="s">
        <v>416</v>
      </c>
      <c r="E72" s="15" t="s">
        <v>431</v>
      </c>
      <c r="F72" s="15" t="s">
        <v>1322</v>
      </c>
      <c r="G72" s="15" t="s">
        <v>1323</v>
      </c>
      <c r="H72" s="15" t="s">
        <v>1324</v>
      </c>
      <c r="I72" s="15" t="s">
        <v>45</v>
      </c>
      <c r="J72" s="15" t="s">
        <v>241</v>
      </c>
      <c r="K72" s="81" t="s">
        <v>1325</v>
      </c>
      <c r="L72" s="15" t="s">
        <v>1326</v>
      </c>
    </row>
    <row r="73" spans="1:12" x14ac:dyDescent="0.25">
      <c r="A73" s="15" t="s">
        <v>237</v>
      </c>
      <c r="B73" s="15">
        <v>813</v>
      </c>
      <c r="C73" s="80" t="s">
        <v>1327</v>
      </c>
      <c r="D73" s="15" t="s">
        <v>416</v>
      </c>
      <c r="E73" s="15" t="s">
        <v>431</v>
      </c>
      <c r="F73" s="15" t="s">
        <v>1328</v>
      </c>
      <c r="G73" s="15" t="s">
        <v>1329</v>
      </c>
      <c r="H73" s="15" t="s">
        <v>1330</v>
      </c>
      <c r="I73" s="15" t="s">
        <v>1331</v>
      </c>
      <c r="J73" s="15" t="s">
        <v>241</v>
      </c>
      <c r="K73" s="81" t="s">
        <v>1332</v>
      </c>
      <c r="L73" s="15" t="s">
        <v>1333</v>
      </c>
    </row>
    <row r="74" spans="1:12" x14ac:dyDescent="0.25">
      <c r="A74" s="15" t="s">
        <v>237</v>
      </c>
      <c r="B74" s="15">
        <v>813</v>
      </c>
      <c r="C74" s="80" t="s">
        <v>1334</v>
      </c>
      <c r="D74" s="15" t="s">
        <v>416</v>
      </c>
      <c r="E74" s="15" t="s">
        <v>431</v>
      </c>
      <c r="F74" s="15" t="s">
        <v>1335</v>
      </c>
      <c r="G74" s="15" t="s">
        <v>3108</v>
      </c>
      <c r="H74" s="15" t="s">
        <v>1336</v>
      </c>
      <c r="I74" s="15" t="s">
        <v>1337</v>
      </c>
      <c r="J74" s="15" t="s">
        <v>241</v>
      </c>
      <c r="K74" s="81" t="s">
        <v>3109</v>
      </c>
      <c r="L74" s="15" t="s">
        <v>1338</v>
      </c>
    </row>
    <row r="75" spans="1:12" x14ac:dyDescent="0.25">
      <c r="A75" s="15" t="s">
        <v>237</v>
      </c>
      <c r="B75" s="15">
        <v>813</v>
      </c>
      <c r="C75" s="80" t="s">
        <v>1339</v>
      </c>
      <c r="D75" s="15" t="s">
        <v>416</v>
      </c>
      <c r="E75" s="15" t="s">
        <v>431</v>
      </c>
      <c r="F75" s="15" t="s">
        <v>1340</v>
      </c>
      <c r="G75" s="15" t="s">
        <v>1341</v>
      </c>
      <c r="H75" s="15" t="s">
        <v>1342</v>
      </c>
      <c r="I75" s="15" t="s">
        <v>1343</v>
      </c>
      <c r="J75" s="15" t="s">
        <v>241</v>
      </c>
      <c r="K75" s="81" t="s">
        <v>3110</v>
      </c>
      <c r="L75" s="15" t="s">
        <v>1344</v>
      </c>
    </row>
    <row r="76" spans="1:12" x14ac:dyDescent="0.25">
      <c r="A76" s="15" t="s">
        <v>237</v>
      </c>
      <c r="B76" s="15">
        <v>813</v>
      </c>
      <c r="C76" s="80" t="s">
        <v>1345</v>
      </c>
      <c r="D76" s="15" t="s">
        <v>416</v>
      </c>
      <c r="E76" s="15" t="s">
        <v>431</v>
      </c>
      <c r="F76" s="15" t="s">
        <v>1346</v>
      </c>
      <c r="G76" s="15" t="s">
        <v>2966</v>
      </c>
      <c r="H76" s="15" t="s">
        <v>1347</v>
      </c>
      <c r="I76" s="15" t="s">
        <v>1348</v>
      </c>
      <c r="J76" s="15" t="s">
        <v>241</v>
      </c>
      <c r="K76" s="81" t="s">
        <v>3111</v>
      </c>
      <c r="L76" s="15" t="s">
        <v>1349</v>
      </c>
    </row>
    <row r="77" spans="1:12" x14ac:dyDescent="0.25">
      <c r="A77" s="15" t="s">
        <v>237</v>
      </c>
      <c r="B77" s="15">
        <v>813</v>
      </c>
      <c r="C77" s="80" t="s">
        <v>1350</v>
      </c>
      <c r="D77" s="15" t="s">
        <v>416</v>
      </c>
      <c r="E77" s="15" t="s">
        <v>431</v>
      </c>
      <c r="F77" s="15" t="s">
        <v>1351</v>
      </c>
      <c r="G77" s="15" t="s">
        <v>1352</v>
      </c>
      <c r="H77" s="15" t="s">
        <v>1353</v>
      </c>
      <c r="I77" s="15" t="s">
        <v>1354</v>
      </c>
      <c r="J77" s="15" t="s">
        <v>241</v>
      </c>
      <c r="K77" s="81" t="s">
        <v>3112</v>
      </c>
      <c r="L77" s="15" t="s">
        <v>1355</v>
      </c>
    </row>
    <row r="78" spans="1:12" x14ac:dyDescent="0.25">
      <c r="A78" s="15" t="s">
        <v>237</v>
      </c>
      <c r="B78" s="15">
        <v>813</v>
      </c>
      <c r="C78" s="80" t="s">
        <v>1356</v>
      </c>
      <c r="D78" s="15" t="s">
        <v>416</v>
      </c>
      <c r="E78" s="15" t="s">
        <v>431</v>
      </c>
      <c r="F78" s="15" t="s">
        <v>1357</v>
      </c>
      <c r="G78" s="15" t="s">
        <v>1358</v>
      </c>
      <c r="H78" s="15" t="s">
        <v>1359</v>
      </c>
      <c r="I78" s="15" t="s">
        <v>1360</v>
      </c>
      <c r="J78" s="15" t="s">
        <v>241</v>
      </c>
      <c r="K78" s="81" t="s">
        <v>3113</v>
      </c>
      <c r="L78" s="15" t="s">
        <v>1361</v>
      </c>
    </row>
    <row r="79" spans="1:12" x14ac:dyDescent="0.25">
      <c r="A79" s="15" t="s">
        <v>237</v>
      </c>
      <c r="B79" s="15">
        <v>813</v>
      </c>
      <c r="C79" s="80" t="s">
        <v>1362</v>
      </c>
      <c r="D79" s="15" t="s">
        <v>527</v>
      </c>
      <c r="E79" s="15" t="s">
        <v>431</v>
      </c>
      <c r="F79" s="15" t="s">
        <v>1363</v>
      </c>
      <c r="G79" s="15" t="s">
        <v>1364</v>
      </c>
      <c r="H79" s="15" t="s">
        <v>1365</v>
      </c>
      <c r="I79" s="15" t="s">
        <v>1366</v>
      </c>
      <c r="J79" s="15" t="s">
        <v>241</v>
      </c>
      <c r="K79" s="81" t="s">
        <v>3114</v>
      </c>
      <c r="L79" s="15" t="s">
        <v>1367</v>
      </c>
    </row>
    <row r="80" spans="1:12" x14ac:dyDescent="0.25">
      <c r="A80" s="15" t="s">
        <v>237</v>
      </c>
      <c r="B80" s="15">
        <v>813</v>
      </c>
      <c r="C80" s="80" t="s">
        <v>1368</v>
      </c>
      <c r="D80" s="15" t="s">
        <v>527</v>
      </c>
      <c r="E80" s="15" t="s">
        <v>431</v>
      </c>
      <c r="F80" s="15" t="s">
        <v>1369</v>
      </c>
      <c r="G80" s="15" t="s">
        <v>3115</v>
      </c>
      <c r="H80" s="15" t="s">
        <v>1370</v>
      </c>
      <c r="I80" s="15" t="s">
        <v>1366</v>
      </c>
      <c r="J80" s="15" t="s">
        <v>241</v>
      </c>
      <c r="K80" s="81" t="s">
        <v>3116</v>
      </c>
      <c r="L80" s="15" t="s">
        <v>1371</v>
      </c>
    </row>
    <row r="81" spans="1:12" x14ac:dyDescent="0.25">
      <c r="A81" s="15" t="s">
        <v>94</v>
      </c>
      <c r="B81" s="15">
        <v>814</v>
      </c>
      <c r="C81" s="80" t="s">
        <v>2590</v>
      </c>
      <c r="D81" s="15" t="s">
        <v>430</v>
      </c>
      <c r="E81" s="15" t="s">
        <v>431</v>
      </c>
      <c r="F81" s="15" t="s">
        <v>2591</v>
      </c>
      <c r="G81" s="15" t="s">
        <v>2592</v>
      </c>
      <c r="H81" s="15" t="s">
        <v>2593</v>
      </c>
      <c r="I81" s="15" t="s">
        <v>2594</v>
      </c>
      <c r="J81" s="15" t="s">
        <v>32</v>
      </c>
      <c r="K81" s="81" t="s">
        <v>3117</v>
      </c>
      <c r="L81" s="15" t="s">
        <v>2595</v>
      </c>
    </row>
    <row r="82" spans="1:12" x14ac:dyDescent="0.25">
      <c r="A82" s="15" t="s">
        <v>237</v>
      </c>
      <c r="B82" s="15">
        <v>813</v>
      </c>
      <c r="C82" s="80" t="s">
        <v>1372</v>
      </c>
      <c r="D82" s="15" t="s">
        <v>416</v>
      </c>
      <c r="E82" s="15" t="s">
        <v>431</v>
      </c>
      <c r="F82" s="15" t="s">
        <v>1373</v>
      </c>
      <c r="G82" s="15" t="s">
        <v>1374</v>
      </c>
      <c r="H82" s="15" t="s">
        <v>1375</v>
      </c>
      <c r="I82" s="15" t="s">
        <v>1376</v>
      </c>
      <c r="J82" s="15" t="s">
        <v>241</v>
      </c>
      <c r="K82" s="81" t="s">
        <v>1377</v>
      </c>
      <c r="L82" s="15" t="s">
        <v>1378</v>
      </c>
    </row>
    <row r="83" spans="1:12" x14ac:dyDescent="0.25">
      <c r="A83" s="15" t="s">
        <v>237</v>
      </c>
      <c r="B83" s="15">
        <v>813</v>
      </c>
      <c r="C83" s="80" t="s">
        <v>1379</v>
      </c>
      <c r="D83" s="15" t="s">
        <v>416</v>
      </c>
      <c r="E83" s="15" t="s">
        <v>431</v>
      </c>
      <c r="F83" s="15" t="s">
        <v>1380</v>
      </c>
      <c r="G83" s="15" t="s">
        <v>1381</v>
      </c>
      <c r="H83" s="15" t="s">
        <v>1382</v>
      </c>
      <c r="I83" s="15" t="s">
        <v>1383</v>
      </c>
      <c r="J83" s="15" t="s">
        <v>241</v>
      </c>
      <c r="K83" s="81" t="s">
        <v>1384</v>
      </c>
      <c r="L83" s="15" t="s">
        <v>1385</v>
      </c>
    </row>
    <row r="84" spans="1:12" x14ac:dyDescent="0.25">
      <c r="A84" s="15" t="s">
        <v>237</v>
      </c>
      <c r="B84" s="15">
        <v>813</v>
      </c>
      <c r="C84" s="80" t="s">
        <v>1386</v>
      </c>
      <c r="D84" s="15" t="s">
        <v>416</v>
      </c>
      <c r="E84" s="15" t="s">
        <v>431</v>
      </c>
      <c r="F84" s="15" t="s">
        <v>1387</v>
      </c>
      <c r="G84" s="15" t="s">
        <v>1388</v>
      </c>
      <c r="H84" s="15" t="s">
        <v>1389</v>
      </c>
      <c r="I84" s="15" t="s">
        <v>1390</v>
      </c>
      <c r="J84" s="15" t="s">
        <v>241</v>
      </c>
      <c r="K84" s="81" t="s">
        <v>1391</v>
      </c>
      <c r="L84" s="15" t="s">
        <v>1392</v>
      </c>
    </row>
    <row r="85" spans="1:12" x14ac:dyDescent="0.25">
      <c r="A85" s="15" t="s">
        <v>237</v>
      </c>
      <c r="B85" s="15">
        <v>813</v>
      </c>
      <c r="C85" s="80" t="s">
        <v>1393</v>
      </c>
      <c r="D85" s="15" t="s">
        <v>416</v>
      </c>
      <c r="E85" s="15" t="s">
        <v>431</v>
      </c>
      <c r="F85" s="15" t="s">
        <v>1394</v>
      </c>
      <c r="G85" s="15" t="s">
        <v>1395</v>
      </c>
      <c r="H85" s="15" t="s">
        <v>1396</v>
      </c>
      <c r="I85" s="15" t="s">
        <v>1397</v>
      </c>
      <c r="J85" s="15" t="s">
        <v>241</v>
      </c>
      <c r="K85" s="81" t="s">
        <v>1398</v>
      </c>
      <c r="L85" s="15" t="s">
        <v>1399</v>
      </c>
    </row>
    <row r="86" spans="1:12" x14ac:dyDescent="0.25">
      <c r="A86" s="15" t="s">
        <v>237</v>
      </c>
      <c r="B86" s="15">
        <v>813</v>
      </c>
      <c r="C86" s="80" t="s">
        <v>1400</v>
      </c>
      <c r="D86" s="15" t="s">
        <v>416</v>
      </c>
      <c r="E86" s="15" t="s">
        <v>431</v>
      </c>
      <c r="F86" s="15" t="s">
        <v>1401</v>
      </c>
      <c r="G86" s="15" t="s">
        <v>1402</v>
      </c>
      <c r="H86" s="15" t="s">
        <v>1403</v>
      </c>
      <c r="I86" s="15" t="s">
        <v>1404</v>
      </c>
      <c r="J86" s="15" t="s">
        <v>241</v>
      </c>
      <c r="K86" s="81" t="s">
        <v>3118</v>
      </c>
      <c r="L86" s="15" t="s">
        <v>1405</v>
      </c>
    </row>
    <row r="87" spans="1:12" x14ac:dyDescent="0.25">
      <c r="A87" s="15" t="s">
        <v>237</v>
      </c>
      <c r="B87" s="15">
        <v>813</v>
      </c>
      <c r="C87" s="80" t="s">
        <v>1406</v>
      </c>
      <c r="D87" s="15" t="s">
        <v>416</v>
      </c>
      <c r="E87" s="15" t="s">
        <v>431</v>
      </c>
      <c r="F87" s="15" t="s">
        <v>1407</v>
      </c>
      <c r="G87" s="15" t="s">
        <v>3027</v>
      </c>
      <c r="H87" s="15" t="s">
        <v>1408</v>
      </c>
      <c r="I87" s="15" t="s">
        <v>1409</v>
      </c>
      <c r="J87" s="15" t="s">
        <v>241</v>
      </c>
      <c r="K87" s="81" t="s">
        <v>3119</v>
      </c>
      <c r="L87" s="15" t="s">
        <v>1410</v>
      </c>
    </row>
    <row r="88" spans="1:12" x14ac:dyDescent="0.25">
      <c r="A88" s="15" t="s">
        <v>237</v>
      </c>
      <c r="B88" s="15">
        <v>813</v>
      </c>
      <c r="C88" s="80" t="s">
        <v>1411</v>
      </c>
      <c r="D88" s="15" t="s">
        <v>416</v>
      </c>
      <c r="E88" s="15" t="s">
        <v>431</v>
      </c>
      <c r="F88" s="15" t="s">
        <v>1412</v>
      </c>
      <c r="G88" s="15" t="s">
        <v>3028</v>
      </c>
      <c r="H88" s="15" t="s">
        <v>1413</v>
      </c>
      <c r="I88" s="15" t="s">
        <v>1414</v>
      </c>
      <c r="J88" s="15" t="s">
        <v>241</v>
      </c>
      <c r="K88" s="81" t="s">
        <v>3120</v>
      </c>
      <c r="L88" s="15" t="s">
        <v>1415</v>
      </c>
    </row>
    <row r="89" spans="1:12" x14ac:dyDescent="0.25">
      <c r="A89" s="15" t="s">
        <v>237</v>
      </c>
      <c r="B89" s="15">
        <v>813</v>
      </c>
      <c r="C89" s="80" t="s">
        <v>1416</v>
      </c>
      <c r="D89" s="15" t="s">
        <v>416</v>
      </c>
      <c r="E89" s="15" t="s">
        <v>431</v>
      </c>
      <c r="F89" s="15" t="s">
        <v>1417</v>
      </c>
      <c r="G89" s="15" t="s">
        <v>1418</v>
      </c>
      <c r="H89" s="15" t="s">
        <v>1419</v>
      </c>
      <c r="I89" s="15" t="s">
        <v>1420</v>
      </c>
      <c r="J89" s="15" t="s">
        <v>241</v>
      </c>
      <c r="K89" s="81" t="s">
        <v>1421</v>
      </c>
      <c r="L89" s="15" t="s">
        <v>1422</v>
      </c>
    </row>
    <row r="90" spans="1:12" x14ac:dyDescent="0.25">
      <c r="A90" s="15" t="s">
        <v>237</v>
      </c>
      <c r="B90" s="15">
        <v>813</v>
      </c>
      <c r="C90" s="80" t="s">
        <v>1423</v>
      </c>
      <c r="D90" s="15" t="s">
        <v>416</v>
      </c>
      <c r="E90" s="15" t="s">
        <v>431</v>
      </c>
      <c r="F90" s="15" t="s">
        <v>1424</v>
      </c>
      <c r="G90" s="15" t="s">
        <v>1425</v>
      </c>
      <c r="H90" s="15" t="s">
        <v>1426</v>
      </c>
      <c r="I90" s="15" t="s">
        <v>1420</v>
      </c>
      <c r="J90" s="15" t="s">
        <v>241</v>
      </c>
      <c r="K90" s="81" t="s">
        <v>1427</v>
      </c>
      <c r="L90" s="15" t="s">
        <v>1428</v>
      </c>
    </row>
    <row r="91" spans="1:12" x14ac:dyDescent="0.25">
      <c r="A91" s="15" t="s">
        <v>62</v>
      </c>
      <c r="B91" s="15">
        <v>812</v>
      </c>
      <c r="C91" s="80" t="s">
        <v>63</v>
      </c>
      <c r="D91" s="15" t="s">
        <v>527</v>
      </c>
      <c r="E91" s="15" t="s">
        <v>431</v>
      </c>
      <c r="F91" s="15" t="s">
        <v>64</v>
      </c>
      <c r="G91" s="15" t="s">
        <v>1287</v>
      </c>
      <c r="H91" s="15" t="s">
        <v>65</v>
      </c>
      <c r="I91" s="15" t="s">
        <v>66</v>
      </c>
      <c r="J91" s="15" t="s">
        <v>54</v>
      </c>
      <c r="K91" s="81" t="s">
        <v>3121</v>
      </c>
      <c r="L91" s="15" t="s">
        <v>67</v>
      </c>
    </row>
    <row r="92" spans="1:12" x14ac:dyDescent="0.25">
      <c r="A92" s="15" t="s">
        <v>62</v>
      </c>
      <c r="B92" s="15">
        <v>812</v>
      </c>
      <c r="C92" s="80" t="s">
        <v>1288</v>
      </c>
      <c r="D92" s="15" t="s">
        <v>416</v>
      </c>
      <c r="E92" s="15" t="s">
        <v>431</v>
      </c>
      <c r="F92" s="15" t="s">
        <v>1289</v>
      </c>
      <c r="G92" s="15" t="s">
        <v>1290</v>
      </c>
      <c r="H92" s="15" t="s">
        <v>1291</v>
      </c>
      <c r="I92" s="15" t="s">
        <v>1239</v>
      </c>
      <c r="J92" s="15" t="s">
        <v>54</v>
      </c>
      <c r="K92" s="81" t="s">
        <v>1292</v>
      </c>
      <c r="L92" s="15" t="s">
        <v>1293</v>
      </c>
    </row>
    <row r="93" spans="1:12" x14ac:dyDescent="0.25">
      <c r="A93" s="15" t="s">
        <v>62</v>
      </c>
      <c r="B93" s="15">
        <v>812</v>
      </c>
      <c r="C93" s="80" t="s">
        <v>1294</v>
      </c>
      <c r="D93" s="15" t="s">
        <v>416</v>
      </c>
      <c r="E93" s="15" t="s">
        <v>431</v>
      </c>
      <c r="F93" s="15" t="s">
        <v>1295</v>
      </c>
      <c r="G93" s="15" t="s">
        <v>3029</v>
      </c>
      <c r="H93" s="15" t="s">
        <v>1297</v>
      </c>
      <c r="I93" s="15" t="s">
        <v>1298</v>
      </c>
      <c r="J93" s="15" t="s">
        <v>54</v>
      </c>
      <c r="K93" s="81" t="s">
        <v>3122</v>
      </c>
      <c r="L93" s="15" t="s">
        <v>1299</v>
      </c>
    </row>
    <row r="94" spans="1:12" x14ac:dyDescent="0.25">
      <c r="A94" s="15" t="s">
        <v>68</v>
      </c>
      <c r="B94" s="15">
        <v>812</v>
      </c>
      <c r="C94" s="80" t="s">
        <v>69</v>
      </c>
      <c r="D94" s="15" t="s">
        <v>430</v>
      </c>
      <c r="E94" s="15" t="s">
        <v>431</v>
      </c>
      <c r="F94" s="15" t="s">
        <v>70</v>
      </c>
      <c r="G94" s="15" t="s">
        <v>1015</v>
      </c>
      <c r="H94" s="15" t="s">
        <v>71</v>
      </c>
      <c r="I94" s="15" t="s">
        <v>72</v>
      </c>
      <c r="J94" s="15" t="s">
        <v>54</v>
      </c>
      <c r="K94" s="81" t="s">
        <v>73</v>
      </c>
      <c r="L94" s="15" t="s">
        <v>74</v>
      </c>
    </row>
    <row r="95" spans="1:12" x14ac:dyDescent="0.25">
      <c r="A95" s="15" t="s">
        <v>49</v>
      </c>
      <c r="B95" s="15">
        <v>812</v>
      </c>
      <c r="C95" s="80" t="s">
        <v>1199</v>
      </c>
      <c r="D95" s="15" t="s">
        <v>416</v>
      </c>
      <c r="E95" s="15" t="s">
        <v>431</v>
      </c>
      <c r="F95" s="15" t="s">
        <v>1200</v>
      </c>
      <c r="G95" s="15" t="s">
        <v>1201</v>
      </c>
      <c r="H95" s="15" t="s">
        <v>1202</v>
      </c>
      <c r="I95" s="15" t="s">
        <v>1084</v>
      </c>
      <c r="J95" s="15" t="s">
        <v>54</v>
      </c>
      <c r="K95" s="81" t="s">
        <v>3123</v>
      </c>
      <c r="L95" s="15" t="s">
        <v>1203</v>
      </c>
    </row>
    <row r="96" spans="1:12" x14ac:dyDescent="0.25">
      <c r="A96" s="15" t="s">
        <v>49</v>
      </c>
      <c r="B96" s="15">
        <v>812</v>
      </c>
      <c r="C96" s="80" t="s">
        <v>1204</v>
      </c>
      <c r="D96" s="15" t="s">
        <v>416</v>
      </c>
      <c r="E96" s="15" t="s">
        <v>431</v>
      </c>
      <c r="F96" s="15" t="s">
        <v>1205</v>
      </c>
      <c r="G96" s="15" t="s">
        <v>2975</v>
      </c>
      <c r="H96" s="15" t="s">
        <v>1206</v>
      </c>
      <c r="I96" s="15" t="s">
        <v>1207</v>
      </c>
      <c r="J96" s="15" t="s">
        <v>54</v>
      </c>
      <c r="K96" s="81" t="s">
        <v>3124</v>
      </c>
      <c r="L96" s="15" t="s">
        <v>1208</v>
      </c>
    </row>
    <row r="97" spans="1:12" x14ac:dyDescent="0.25">
      <c r="A97" s="15" t="s">
        <v>49</v>
      </c>
      <c r="B97" s="15">
        <v>812</v>
      </c>
      <c r="C97" s="80" t="s">
        <v>1209</v>
      </c>
      <c r="D97" s="15" t="s">
        <v>416</v>
      </c>
      <c r="E97" s="15" t="s">
        <v>431</v>
      </c>
      <c r="F97" s="15" t="s">
        <v>1210</v>
      </c>
      <c r="G97" s="15" t="s">
        <v>1187</v>
      </c>
      <c r="H97" s="15" t="s">
        <v>1211</v>
      </c>
      <c r="I97" s="15" t="s">
        <v>1212</v>
      </c>
      <c r="J97" s="15" t="s">
        <v>54</v>
      </c>
      <c r="K97" s="81" t="s">
        <v>3125</v>
      </c>
      <c r="L97" s="15" t="s">
        <v>1213</v>
      </c>
    </row>
    <row r="98" spans="1:12" x14ac:dyDescent="0.25">
      <c r="A98" s="15" t="s">
        <v>49</v>
      </c>
      <c r="B98" s="15">
        <v>812</v>
      </c>
      <c r="C98" s="80" t="s">
        <v>1214</v>
      </c>
      <c r="D98" s="15" t="s">
        <v>416</v>
      </c>
      <c r="E98" s="15" t="s">
        <v>431</v>
      </c>
      <c r="F98" s="15" t="s">
        <v>1215</v>
      </c>
      <c r="G98" s="15" t="s">
        <v>1216</v>
      </c>
      <c r="H98" s="15" t="s">
        <v>1217</v>
      </c>
      <c r="I98" s="15" t="s">
        <v>1074</v>
      </c>
      <c r="J98" s="15" t="s">
        <v>54</v>
      </c>
      <c r="K98" s="81" t="s">
        <v>3126</v>
      </c>
      <c r="L98" s="15" t="s">
        <v>1218</v>
      </c>
    </row>
    <row r="99" spans="1:12" x14ac:dyDescent="0.25">
      <c r="A99" s="15" t="s">
        <v>75</v>
      </c>
      <c r="B99" s="15">
        <v>818</v>
      </c>
      <c r="C99" s="80" t="s">
        <v>2220</v>
      </c>
      <c r="D99" s="15" t="s">
        <v>416</v>
      </c>
      <c r="E99" s="15" t="s">
        <v>431</v>
      </c>
      <c r="F99" s="15" t="s">
        <v>2221</v>
      </c>
      <c r="G99" s="15" t="s">
        <v>3127</v>
      </c>
      <c r="H99" s="15" t="s">
        <v>2223</v>
      </c>
      <c r="I99" s="15" t="s">
        <v>79</v>
      </c>
      <c r="J99" s="15" t="s">
        <v>32</v>
      </c>
      <c r="K99" s="81" t="s">
        <v>3128</v>
      </c>
      <c r="L99" s="15" t="s">
        <v>2224</v>
      </c>
    </row>
    <row r="100" spans="1:12" x14ac:dyDescent="0.25">
      <c r="A100" s="15" t="s">
        <v>75</v>
      </c>
      <c r="B100" s="15">
        <v>818</v>
      </c>
      <c r="C100" s="80" t="s">
        <v>2225</v>
      </c>
      <c r="D100" s="15" t="s">
        <v>416</v>
      </c>
      <c r="E100" s="15" t="s">
        <v>431</v>
      </c>
      <c r="F100" s="15" t="s">
        <v>2226</v>
      </c>
      <c r="G100" s="15" t="s">
        <v>3030</v>
      </c>
      <c r="H100" s="15" t="s">
        <v>2227</v>
      </c>
      <c r="I100" s="15" t="s">
        <v>79</v>
      </c>
      <c r="J100" s="15" t="s">
        <v>32</v>
      </c>
      <c r="K100" s="81" t="s">
        <v>3129</v>
      </c>
      <c r="L100" s="15" t="s">
        <v>2228</v>
      </c>
    </row>
    <row r="101" spans="1:12" x14ac:dyDescent="0.25">
      <c r="A101" s="15" t="s">
        <v>75</v>
      </c>
      <c r="B101" s="15">
        <v>818</v>
      </c>
      <c r="C101" s="80" t="s">
        <v>76</v>
      </c>
      <c r="D101" s="15" t="s">
        <v>430</v>
      </c>
      <c r="E101" s="15" t="s">
        <v>431</v>
      </c>
      <c r="F101" s="15" t="s">
        <v>77</v>
      </c>
      <c r="G101" s="15" t="s">
        <v>2229</v>
      </c>
      <c r="H101" s="15" t="s">
        <v>78</v>
      </c>
      <c r="I101" s="15" t="s">
        <v>79</v>
      </c>
      <c r="J101" s="15" t="s">
        <v>32</v>
      </c>
      <c r="K101" s="81" t="s">
        <v>80</v>
      </c>
      <c r="L101" s="15" t="s">
        <v>81</v>
      </c>
    </row>
    <row r="102" spans="1:12" x14ac:dyDescent="0.25">
      <c r="A102" s="15" t="s">
        <v>75</v>
      </c>
      <c r="B102" s="15">
        <v>818</v>
      </c>
      <c r="C102" s="80" t="s">
        <v>2230</v>
      </c>
      <c r="D102" s="15" t="s">
        <v>416</v>
      </c>
      <c r="E102" s="15" t="s">
        <v>431</v>
      </c>
      <c r="F102" s="15" t="s">
        <v>2231</v>
      </c>
      <c r="G102" s="15" t="s">
        <v>2988</v>
      </c>
      <c r="H102" s="15" t="s">
        <v>2232</v>
      </c>
      <c r="I102" s="15" t="s">
        <v>79</v>
      </c>
      <c r="J102" s="15" t="s">
        <v>32</v>
      </c>
      <c r="K102" s="81" t="s">
        <v>3130</v>
      </c>
      <c r="L102" s="15" t="s">
        <v>2233</v>
      </c>
    </row>
    <row r="103" spans="1:12" x14ac:dyDescent="0.25">
      <c r="A103" s="15" t="s">
        <v>82</v>
      </c>
      <c r="B103" s="15">
        <v>818</v>
      </c>
      <c r="C103" s="80" t="s">
        <v>2636</v>
      </c>
      <c r="D103" s="15" t="s">
        <v>416</v>
      </c>
      <c r="E103" s="15" t="s">
        <v>431</v>
      </c>
      <c r="F103" s="15" t="s">
        <v>2637</v>
      </c>
      <c r="G103" s="15" t="s">
        <v>2638</v>
      </c>
      <c r="H103" s="15" t="s">
        <v>2639</v>
      </c>
      <c r="I103" s="15" t="s">
        <v>86</v>
      </c>
      <c r="J103" s="15" t="s">
        <v>32</v>
      </c>
      <c r="K103" s="81" t="s">
        <v>3131</v>
      </c>
      <c r="L103" s="15" t="s">
        <v>2640</v>
      </c>
    </row>
    <row r="104" spans="1:12" x14ac:dyDescent="0.25">
      <c r="A104" s="15" t="s">
        <v>82</v>
      </c>
      <c r="B104" s="15">
        <v>818</v>
      </c>
      <c r="C104" s="80" t="s">
        <v>2641</v>
      </c>
      <c r="D104" s="15" t="s">
        <v>416</v>
      </c>
      <c r="E104" s="15" t="s">
        <v>431</v>
      </c>
      <c r="F104" s="15" t="s">
        <v>2642</v>
      </c>
      <c r="G104" s="15" t="s">
        <v>2643</v>
      </c>
      <c r="H104" s="15" t="s">
        <v>2644</v>
      </c>
      <c r="I104" s="15" t="s">
        <v>86</v>
      </c>
      <c r="J104" s="15" t="s">
        <v>32</v>
      </c>
      <c r="K104" s="81" t="s">
        <v>3132</v>
      </c>
      <c r="L104" s="15" t="s">
        <v>2645</v>
      </c>
    </row>
    <row r="105" spans="1:12" x14ac:dyDescent="0.25">
      <c r="A105" s="15" t="s">
        <v>82</v>
      </c>
      <c r="B105" s="15">
        <v>818</v>
      </c>
      <c r="C105" s="80" t="s">
        <v>2646</v>
      </c>
      <c r="D105" s="15" t="s">
        <v>416</v>
      </c>
      <c r="E105" s="15" t="s">
        <v>431</v>
      </c>
      <c r="F105" s="15" t="s">
        <v>2647</v>
      </c>
      <c r="G105" s="15" t="s">
        <v>2648</v>
      </c>
      <c r="H105" s="15" t="s">
        <v>2649</v>
      </c>
      <c r="I105" s="15" t="s">
        <v>86</v>
      </c>
      <c r="J105" s="15" t="s">
        <v>32</v>
      </c>
      <c r="K105" s="81" t="s">
        <v>3133</v>
      </c>
      <c r="L105" s="15" t="s">
        <v>2650</v>
      </c>
    </row>
    <row r="106" spans="1:12" x14ac:dyDescent="0.25">
      <c r="A106" s="15" t="s">
        <v>82</v>
      </c>
      <c r="B106" s="15">
        <v>818</v>
      </c>
      <c r="C106" s="80" t="s">
        <v>83</v>
      </c>
      <c r="D106" s="15" t="s">
        <v>416</v>
      </c>
      <c r="E106" s="15" t="s">
        <v>431</v>
      </c>
      <c r="F106" s="15" t="s">
        <v>84</v>
      </c>
      <c r="G106" s="15" t="s">
        <v>2651</v>
      </c>
      <c r="H106" s="15" t="s">
        <v>85</v>
      </c>
      <c r="I106" s="15" t="s">
        <v>86</v>
      </c>
      <c r="J106" s="15" t="s">
        <v>32</v>
      </c>
      <c r="K106" s="81" t="s">
        <v>3132</v>
      </c>
      <c r="L106" s="15" t="s">
        <v>87</v>
      </c>
    </row>
    <row r="107" spans="1:12" x14ac:dyDescent="0.25">
      <c r="A107" s="15" t="s">
        <v>88</v>
      </c>
      <c r="B107" s="15">
        <v>806</v>
      </c>
      <c r="C107" s="80" t="s">
        <v>2234</v>
      </c>
      <c r="D107" s="15" t="s">
        <v>416</v>
      </c>
      <c r="E107" s="15" t="s">
        <v>431</v>
      </c>
      <c r="F107" s="15" t="s">
        <v>2235</v>
      </c>
      <c r="G107" s="15" t="s">
        <v>2236</v>
      </c>
      <c r="H107" s="15" t="s">
        <v>2237</v>
      </c>
      <c r="I107" s="15" t="s">
        <v>308</v>
      </c>
      <c r="J107" s="15" t="s">
        <v>32</v>
      </c>
      <c r="K107" s="81" t="s">
        <v>3134</v>
      </c>
      <c r="L107" s="15" t="s">
        <v>2238</v>
      </c>
    </row>
    <row r="108" spans="1:12" x14ac:dyDescent="0.25">
      <c r="A108" s="15" t="s">
        <v>88</v>
      </c>
      <c r="B108" s="15">
        <v>806</v>
      </c>
      <c r="C108" s="80" t="s">
        <v>2239</v>
      </c>
      <c r="D108" s="15" t="s">
        <v>430</v>
      </c>
      <c r="E108" s="15" t="s">
        <v>431</v>
      </c>
      <c r="F108" s="15" t="s">
        <v>2240</v>
      </c>
      <c r="G108" s="15" t="s">
        <v>2241</v>
      </c>
      <c r="H108" s="15" t="s">
        <v>2242</v>
      </c>
      <c r="I108" s="15" t="s">
        <v>308</v>
      </c>
      <c r="J108" s="15" t="s">
        <v>32</v>
      </c>
      <c r="K108" s="81" t="s">
        <v>3135</v>
      </c>
      <c r="L108" s="15" t="s">
        <v>2243</v>
      </c>
    </row>
    <row r="109" spans="1:12" x14ac:dyDescent="0.25">
      <c r="A109" s="15" t="s">
        <v>88</v>
      </c>
      <c r="B109" s="15">
        <v>806</v>
      </c>
      <c r="C109" s="80" t="s">
        <v>89</v>
      </c>
      <c r="D109" s="15" t="s">
        <v>416</v>
      </c>
      <c r="E109" s="15" t="s">
        <v>431</v>
      </c>
      <c r="F109" s="15" t="s">
        <v>90</v>
      </c>
      <c r="G109" s="15" t="s">
        <v>2244</v>
      </c>
      <c r="H109" s="15" t="s">
        <v>91</v>
      </c>
      <c r="I109" s="15" t="s">
        <v>92</v>
      </c>
      <c r="J109" s="15" t="s">
        <v>32</v>
      </c>
      <c r="K109" s="81" t="s">
        <v>3136</v>
      </c>
      <c r="L109" s="15" t="s">
        <v>93</v>
      </c>
    </row>
    <row r="110" spans="1:12" x14ac:dyDescent="0.25">
      <c r="A110" s="15" t="s">
        <v>88</v>
      </c>
      <c r="B110" s="15">
        <v>806</v>
      </c>
      <c r="C110" s="80" t="s">
        <v>2245</v>
      </c>
      <c r="D110" s="15" t="s">
        <v>416</v>
      </c>
      <c r="E110" s="15" t="s">
        <v>431</v>
      </c>
      <c r="F110" s="15" t="s">
        <v>2246</v>
      </c>
      <c r="G110" s="15" t="s">
        <v>2247</v>
      </c>
      <c r="H110" s="15" t="s">
        <v>2248</v>
      </c>
      <c r="I110" s="15" t="s">
        <v>2249</v>
      </c>
      <c r="J110" s="15" t="s">
        <v>32</v>
      </c>
      <c r="K110" s="81" t="s">
        <v>3137</v>
      </c>
      <c r="L110" s="15" t="s">
        <v>2250</v>
      </c>
    </row>
    <row r="111" spans="1:12" x14ac:dyDescent="0.25">
      <c r="A111" s="15" t="s">
        <v>88</v>
      </c>
      <c r="B111" s="15">
        <v>806</v>
      </c>
      <c r="C111" s="80" t="s">
        <v>2251</v>
      </c>
      <c r="D111" s="15" t="s">
        <v>416</v>
      </c>
      <c r="E111" s="15" t="s">
        <v>431</v>
      </c>
      <c r="F111" s="15" t="s">
        <v>2252</v>
      </c>
      <c r="G111" s="15" t="s">
        <v>3138</v>
      </c>
      <c r="H111" s="15" t="s">
        <v>2253</v>
      </c>
      <c r="I111" s="15" t="s">
        <v>92</v>
      </c>
      <c r="J111" s="15" t="s">
        <v>32</v>
      </c>
      <c r="K111" s="81" t="s">
        <v>3139</v>
      </c>
      <c r="L111" s="15" t="s">
        <v>2254</v>
      </c>
    </row>
    <row r="112" spans="1:12" x14ac:dyDescent="0.25">
      <c r="A112" s="15" t="s">
        <v>94</v>
      </c>
      <c r="B112" s="15">
        <v>807</v>
      </c>
      <c r="C112" s="80" t="s">
        <v>2596</v>
      </c>
      <c r="D112" s="15" t="s">
        <v>416</v>
      </c>
      <c r="E112" s="15" t="s">
        <v>431</v>
      </c>
      <c r="F112" s="15" t="s">
        <v>2597</v>
      </c>
      <c r="G112" s="15" t="s">
        <v>2598</v>
      </c>
      <c r="H112" s="15" t="s">
        <v>2599</v>
      </c>
      <c r="I112" s="15" t="s">
        <v>313</v>
      </c>
      <c r="J112" s="15" t="s">
        <v>32</v>
      </c>
      <c r="K112" s="81" t="s">
        <v>3140</v>
      </c>
      <c r="L112" s="15" t="s">
        <v>2600</v>
      </c>
    </row>
    <row r="113" spans="1:12" x14ac:dyDescent="0.25">
      <c r="A113" s="15" t="s">
        <v>94</v>
      </c>
      <c r="B113" s="15">
        <v>807</v>
      </c>
      <c r="C113" s="80" t="s">
        <v>2601</v>
      </c>
      <c r="D113" s="15" t="s">
        <v>416</v>
      </c>
      <c r="E113" s="15" t="s">
        <v>431</v>
      </c>
      <c r="F113" s="15" t="s">
        <v>2602</v>
      </c>
      <c r="G113" s="15" t="s">
        <v>2603</v>
      </c>
      <c r="H113" s="15" t="s">
        <v>2604</v>
      </c>
      <c r="I113" s="15" t="s">
        <v>2605</v>
      </c>
      <c r="J113" s="15" t="s">
        <v>32</v>
      </c>
      <c r="K113" s="81" t="s">
        <v>3141</v>
      </c>
      <c r="L113" s="15" t="s">
        <v>2606</v>
      </c>
    </row>
    <row r="114" spans="1:12" x14ac:dyDescent="0.25">
      <c r="A114" s="15" t="s">
        <v>94</v>
      </c>
      <c r="B114" s="15">
        <v>807</v>
      </c>
      <c r="C114" s="80" t="s">
        <v>95</v>
      </c>
      <c r="D114" s="15" t="s">
        <v>416</v>
      </c>
      <c r="E114" s="15" t="s">
        <v>431</v>
      </c>
      <c r="F114" s="15" t="s">
        <v>96</v>
      </c>
      <c r="G114" s="15" t="s">
        <v>2607</v>
      </c>
      <c r="H114" s="15" t="s">
        <v>97</v>
      </c>
      <c r="I114" s="15" t="s">
        <v>98</v>
      </c>
      <c r="J114" s="15" t="s">
        <v>32</v>
      </c>
      <c r="K114" s="81" t="s">
        <v>3142</v>
      </c>
      <c r="L114" s="15" t="s">
        <v>99</v>
      </c>
    </row>
    <row r="115" spans="1:12" x14ac:dyDescent="0.25">
      <c r="A115" s="15" t="s">
        <v>94</v>
      </c>
      <c r="B115" s="15">
        <v>807</v>
      </c>
      <c r="C115" s="80" t="s">
        <v>2608</v>
      </c>
      <c r="D115" s="15" t="s">
        <v>416</v>
      </c>
      <c r="E115" s="15" t="s">
        <v>431</v>
      </c>
      <c r="F115" s="15" t="s">
        <v>2609</v>
      </c>
      <c r="G115" s="15"/>
      <c r="H115" s="15" t="s">
        <v>2610</v>
      </c>
      <c r="I115" s="15" t="s">
        <v>2611</v>
      </c>
      <c r="J115" s="15" t="s">
        <v>32</v>
      </c>
      <c r="K115" s="81" t="s">
        <v>3143</v>
      </c>
      <c r="L115" s="15" t="s">
        <v>2612</v>
      </c>
    </row>
    <row r="116" spans="1:12" x14ac:dyDescent="0.25">
      <c r="A116" s="15" t="s">
        <v>88</v>
      </c>
      <c r="B116" s="15">
        <v>807</v>
      </c>
      <c r="C116" s="80" t="s">
        <v>2255</v>
      </c>
      <c r="D116" s="15" t="s">
        <v>416</v>
      </c>
      <c r="E116" s="15" t="s">
        <v>431</v>
      </c>
      <c r="F116" s="15" t="s">
        <v>2256</v>
      </c>
      <c r="G116" s="15" t="s">
        <v>2257</v>
      </c>
      <c r="H116" s="15" t="s">
        <v>2258</v>
      </c>
      <c r="I116" s="15" t="s">
        <v>2259</v>
      </c>
      <c r="J116" s="15" t="s">
        <v>32</v>
      </c>
      <c r="K116" s="81" t="s">
        <v>3144</v>
      </c>
      <c r="L116" s="15" t="s">
        <v>2260</v>
      </c>
    </row>
    <row r="117" spans="1:12" x14ac:dyDescent="0.25">
      <c r="A117" s="15" t="s">
        <v>94</v>
      </c>
      <c r="B117" s="15">
        <v>807</v>
      </c>
      <c r="C117" s="80" t="s">
        <v>2613</v>
      </c>
      <c r="D117" s="15" t="s">
        <v>416</v>
      </c>
      <c r="E117" s="15" t="s">
        <v>431</v>
      </c>
      <c r="F117" s="15" t="s">
        <v>2614</v>
      </c>
      <c r="G117" s="15" t="s">
        <v>2615</v>
      </c>
      <c r="H117" s="15" t="s">
        <v>2616</v>
      </c>
      <c r="I117" s="15" t="s">
        <v>313</v>
      </c>
      <c r="J117" s="15" t="s">
        <v>32</v>
      </c>
      <c r="K117" s="81" t="s">
        <v>3145</v>
      </c>
      <c r="L117" s="15" t="s">
        <v>2617</v>
      </c>
    </row>
    <row r="118" spans="1:12" x14ac:dyDescent="0.25">
      <c r="A118" s="15" t="s">
        <v>88</v>
      </c>
      <c r="B118" s="15">
        <v>806</v>
      </c>
      <c r="C118" s="80" t="s">
        <v>2261</v>
      </c>
      <c r="D118" s="15" t="s">
        <v>416</v>
      </c>
      <c r="E118" s="15" t="s">
        <v>431</v>
      </c>
      <c r="F118" s="15" t="s">
        <v>2262</v>
      </c>
      <c r="G118" s="15" t="s">
        <v>3138</v>
      </c>
      <c r="H118" s="15" t="s">
        <v>2263</v>
      </c>
      <c r="I118" s="15" t="s">
        <v>92</v>
      </c>
      <c r="J118" s="15" t="s">
        <v>32</v>
      </c>
      <c r="K118" s="81" t="s">
        <v>3136</v>
      </c>
      <c r="L118" s="15" t="s">
        <v>2264</v>
      </c>
    </row>
    <row r="119" spans="1:12" x14ac:dyDescent="0.25">
      <c r="A119" s="15" t="s">
        <v>100</v>
      </c>
      <c r="B119" s="15">
        <v>806</v>
      </c>
      <c r="C119" s="80" t="s">
        <v>526</v>
      </c>
      <c r="D119" s="15" t="s">
        <v>527</v>
      </c>
      <c r="E119" s="15" t="s">
        <v>431</v>
      </c>
      <c r="F119" s="15" t="s">
        <v>528</v>
      </c>
      <c r="G119" s="15" t="s">
        <v>529</v>
      </c>
      <c r="H119" s="15" t="s">
        <v>530</v>
      </c>
      <c r="I119" s="15" t="s">
        <v>104</v>
      </c>
      <c r="J119" s="15" t="s">
        <v>105</v>
      </c>
      <c r="K119" s="81" t="s">
        <v>3146</v>
      </c>
      <c r="L119" s="15" t="s">
        <v>531</v>
      </c>
    </row>
    <row r="120" spans="1:12" x14ac:dyDescent="0.25">
      <c r="A120" s="15" t="s">
        <v>100</v>
      </c>
      <c r="B120" s="15">
        <v>806</v>
      </c>
      <c r="C120" s="80" t="s">
        <v>532</v>
      </c>
      <c r="D120" s="15" t="s">
        <v>527</v>
      </c>
      <c r="E120" s="15" t="s">
        <v>431</v>
      </c>
      <c r="F120" s="15" t="s">
        <v>533</v>
      </c>
      <c r="G120" s="15" t="s">
        <v>519</v>
      </c>
      <c r="H120" s="15" t="s">
        <v>535</v>
      </c>
      <c r="I120" s="15" t="s">
        <v>104</v>
      </c>
      <c r="J120" s="15" t="s">
        <v>105</v>
      </c>
      <c r="K120" s="81" t="s">
        <v>3147</v>
      </c>
      <c r="L120" s="15" t="s">
        <v>536</v>
      </c>
    </row>
    <row r="121" spans="1:12" x14ac:dyDescent="0.25">
      <c r="A121" s="15" t="s">
        <v>100</v>
      </c>
      <c r="B121" s="15">
        <v>806</v>
      </c>
      <c r="C121" s="80" t="s">
        <v>537</v>
      </c>
      <c r="D121" s="15" t="s">
        <v>527</v>
      </c>
      <c r="E121" s="15" t="s">
        <v>431</v>
      </c>
      <c r="F121" s="15" t="s">
        <v>538</v>
      </c>
      <c r="G121" s="15" t="s">
        <v>534</v>
      </c>
      <c r="H121" s="15" t="s">
        <v>539</v>
      </c>
      <c r="I121" s="15" t="s">
        <v>104</v>
      </c>
      <c r="J121" s="15" t="s">
        <v>105</v>
      </c>
      <c r="K121" s="81" t="s">
        <v>3148</v>
      </c>
      <c r="L121" s="15" t="s">
        <v>540</v>
      </c>
    </row>
    <row r="122" spans="1:12" x14ac:dyDescent="0.25">
      <c r="A122" s="15" t="s">
        <v>100</v>
      </c>
      <c r="B122" s="15">
        <v>806</v>
      </c>
      <c r="C122" s="80" t="s">
        <v>541</v>
      </c>
      <c r="D122" s="15" t="s">
        <v>430</v>
      </c>
      <c r="E122" s="15" t="s">
        <v>431</v>
      </c>
      <c r="F122" s="15" t="s">
        <v>542</v>
      </c>
      <c r="G122" s="15" t="s">
        <v>568</v>
      </c>
      <c r="H122" s="15" t="s">
        <v>543</v>
      </c>
      <c r="I122" s="15" t="s">
        <v>104</v>
      </c>
      <c r="J122" s="15" t="s">
        <v>105</v>
      </c>
      <c r="K122" s="81" t="s">
        <v>3147</v>
      </c>
      <c r="L122" s="15" t="s">
        <v>544</v>
      </c>
    </row>
    <row r="123" spans="1:12" x14ac:dyDescent="0.25">
      <c r="A123" s="15" t="s">
        <v>100</v>
      </c>
      <c r="B123" s="15">
        <v>806</v>
      </c>
      <c r="C123" s="80" t="s">
        <v>545</v>
      </c>
      <c r="D123" s="15" t="s">
        <v>416</v>
      </c>
      <c r="E123" s="15" t="s">
        <v>431</v>
      </c>
      <c r="F123" s="15" t="s">
        <v>546</v>
      </c>
      <c r="G123" s="15" t="s">
        <v>558</v>
      </c>
      <c r="H123" s="15" t="s">
        <v>547</v>
      </c>
      <c r="I123" s="15" t="s">
        <v>104</v>
      </c>
      <c r="J123" s="15" t="s">
        <v>105</v>
      </c>
      <c r="K123" s="81" t="s">
        <v>548</v>
      </c>
      <c r="L123" s="15" t="s">
        <v>549</v>
      </c>
    </row>
    <row r="124" spans="1:12" x14ac:dyDescent="0.25">
      <c r="A124" s="15" t="s">
        <v>100</v>
      </c>
      <c r="B124" s="15">
        <v>806</v>
      </c>
      <c r="C124" s="80" t="s">
        <v>550</v>
      </c>
      <c r="D124" s="15" t="s">
        <v>430</v>
      </c>
      <c r="E124" s="15" t="s">
        <v>431</v>
      </c>
      <c r="F124" s="15" t="s">
        <v>551</v>
      </c>
      <c r="G124" s="15" t="s">
        <v>552</v>
      </c>
      <c r="H124" s="15" t="s">
        <v>553</v>
      </c>
      <c r="I124" s="15" t="s">
        <v>104</v>
      </c>
      <c r="J124" s="15" t="s">
        <v>105</v>
      </c>
      <c r="K124" s="81" t="s">
        <v>3149</v>
      </c>
      <c r="L124" s="15" t="s">
        <v>554</v>
      </c>
    </row>
    <row r="125" spans="1:12" x14ac:dyDescent="0.25">
      <c r="A125" s="15" t="s">
        <v>100</v>
      </c>
      <c r="B125" s="15">
        <v>806</v>
      </c>
      <c r="C125" s="80" t="s">
        <v>101</v>
      </c>
      <c r="D125" s="15" t="s">
        <v>416</v>
      </c>
      <c r="E125" s="15" t="s">
        <v>431</v>
      </c>
      <c r="F125" s="15" t="s">
        <v>102</v>
      </c>
      <c r="G125" s="15" t="s">
        <v>555</v>
      </c>
      <c r="H125" s="15" t="s">
        <v>103</v>
      </c>
      <c r="I125" s="15" t="s">
        <v>104</v>
      </c>
      <c r="J125" s="15" t="s">
        <v>105</v>
      </c>
      <c r="K125" s="81" t="s">
        <v>3150</v>
      </c>
      <c r="L125" s="15" t="s">
        <v>106</v>
      </c>
    </row>
    <row r="126" spans="1:12" x14ac:dyDescent="0.25">
      <c r="A126" s="15" t="s">
        <v>100</v>
      </c>
      <c r="B126" s="15">
        <v>806</v>
      </c>
      <c r="C126" s="80" t="s">
        <v>556</v>
      </c>
      <c r="D126" s="15" t="s">
        <v>416</v>
      </c>
      <c r="E126" s="15" t="s">
        <v>431</v>
      </c>
      <c r="F126" s="15" t="s">
        <v>557</v>
      </c>
      <c r="G126" s="15" t="s">
        <v>3011</v>
      </c>
      <c r="H126" s="15" t="s">
        <v>559</v>
      </c>
      <c r="I126" s="15" t="s">
        <v>104</v>
      </c>
      <c r="J126" s="15" t="s">
        <v>105</v>
      </c>
      <c r="K126" s="81" t="s">
        <v>3151</v>
      </c>
      <c r="L126" s="15" t="s">
        <v>560</v>
      </c>
    </row>
    <row r="127" spans="1:12" x14ac:dyDescent="0.25">
      <c r="A127" s="15" t="s">
        <v>100</v>
      </c>
      <c r="B127" s="15">
        <v>806</v>
      </c>
      <c r="C127" s="80" t="s">
        <v>561</v>
      </c>
      <c r="D127" s="15" t="s">
        <v>416</v>
      </c>
      <c r="E127" s="15" t="s">
        <v>431</v>
      </c>
      <c r="F127" s="15" t="s">
        <v>562</v>
      </c>
      <c r="G127" s="15" t="s">
        <v>563</v>
      </c>
      <c r="H127" s="15" t="s">
        <v>564</v>
      </c>
      <c r="I127" s="15" t="s">
        <v>104</v>
      </c>
      <c r="J127" s="15" t="s">
        <v>105</v>
      </c>
      <c r="K127" s="81" t="s">
        <v>3152</v>
      </c>
      <c r="L127" s="15" t="s">
        <v>565</v>
      </c>
    </row>
    <row r="128" spans="1:12" x14ac:dyDescent="0.25">
      <c r="A128" s="15" t="s">
        <v>100</v>
      </c>
      <c r="B128" s="15">
        <v>806</v>
      </c>
      <c r="C128" s="80" t="s">
        <v>566</v>
      </c>
      <c r="D128" s="15" t="s">
        <v>416</v>
      </c>
      <c r="E128" s="15" t="s">
        <v>431</v>
      </c>
      <c r="F128" s="15" t="s">
        <v>567</v>
      </c>
      <c r="G128" s="15" t="s">
        <v>2994</v>
      </c>
      <c r="H128" s="15" t="s">
        <v>569</v>
      </c>
      <c r="I128" s="15" t="s">
        <v>104</v>
      </c>
      <c r="J128" s="15" t="s">
        <v>105</v>
      </c>
      <c r="K128" s="81" t="s">
        <v>3153</v>
      </c>
      <c r="L128" s="15" t="s">
        <v>374</v>
      </c>
    </row>
    <row r="129" spans="1:12" x14ac:dyDescent="0.25">
      <c r="A129" s="15" t="s">
        <v>100</v>
      </c>
      <c r="B129" s="15">
        <v>806</v>
      </c>
      <c r="C129" s="80" t="s">
        <v>570</v>
      </c>
      <c r="D129" s="15" t="s">
        <v>416</v>
      </c>
      <c r="E129" s="15" t="s">
        <v>431</v>
      </c>
      <c r="F129" s="15" t="s">
        <v>571</v>
      </c>
      <c r="G129" s="15"/>
      <c r="H129" s="15" t="s">
        <v>572</v>
      </c>
      <c r="I129" s="15" t="s">
        <v>104</v>
      </c>
      <c r="J129" s="15" t="s">
        <v>105</v>
      </c>
      <c r="K129" s="81" t="s">
        <v>3151</v>
      </c>
      <c r="L129" s="15" t="s">
        <v>573</v>
      </c>
    </row>
    <row r="130" spans="1:12" x14ac:dyDescent="0.25">
      <c r="A130" s="15" t="s">
        <v>100</v>
      </c>
      <c r="B130" s="15">
        <v>806</v>
      </c>
      <c r="C130" s="80" t="s">
        <v>574</v>
      </c>
      <c r="D130" s="15" t="s">
        <v>416</v>
      </c>
      <c r="E130" s="15" t="s">
        <v>431</v>
      </c>
      <c r="F130" s="15" t="s">
        <v>575</v>
      </c>
      <c r="G130" s="15" t="s">
        <v>576</v>
      </c>
      <c r="H130" s="15" t="s">
        <v>577</v>
      </c>
      <c r="I130" s="15" t="s">
        <v>104</v>
      </c>
      <c r="J130" s="15" t="s">
        <v>105</v>
      </c>
      <c r="K130" s="81" t="s">
        <v>3154</v>
      </c>
      <c r="L130" s="15" t="s">
        <v>578</v>
      </c>
    </row>
    <row r="131" spans="1:12" x14ac:dyDescent="0.25">
      <c r="A131" s="15" t="s">
        <v>100</v>
      </c>
      <c r="B131" s="15">
        <v>806</v>
      </c>
      <c r="C131" s="80" t="s">
        <v>579</v>
      </c>
      <c r="D131" s="15" t="s">
        <v>416</v>
      </c>
      <c r="E131" s="15" t="s">
        <v>431</v>
      </c>
      <c r="F131" s="15" t="s">
        <v>580</v>
      </c>
      <c r="G131" s="15" t="s">
        <v>3155</v>
      </c>
      <c r="H131" s="15" t="s">
        <v>581</v>
      </c>
      <c r="I131" s="15" t="s">
        <v>104</v>
      </c>
      <c r="J131" s="15" t="s">
        <v>105</v>
      </c>
      <c r="K131" s="81" t="s">
        <v>3147</v>
      </c>
      <c r="L131" s="15" t="s">
        <v>582</v>
      </c>
    </row>
    <row r="132" spans="1:12" x14ac:dyDescent="0.25">
      <c r="A132" s="15" t="s">
        <v>100</v>
      </c>
      <c r="B132" s="15">
        <v>806</v>
      </c>
      <c r="C132" s="80" t="s">
        <v>583</v>
      </c>
      <c r="D132" s="15" t="s">
        <v>416</v>
      </c>
      <c r="E132" s="15" t="s">
        <v>431</v>
      </c>
      <c r="F132" s="15" t="s">
        <v>584</v>
      </c>
      <c r="G132" s="15" t="s">
        <v>585</v>
      </c>
      <c r="H132" s="15" t="s">
        <v>586</v>
      </c>
      <c r="I132" s="15" t="s">
        <v>104</v>
      </c>
      <c r="J132" s="15" t="s">
        <v>105</v>
      </c>
      <c r="K132" s="81" t="s">
        <v>3149</v>
      </c>
      <c r="L132" s="15" t="s">
        <v>587</v>
      </c>
    </row>
    <row r="133" spans="1:12" x14ac:dyDescent="0.25">
      <c r="A133" s="15" t="s">
        <v>100</v>
      </c>
      <c r="B133" s="15">
        <v>806</v>
      </c>
      <c r="C133" s="80" t="s">
        <v>588</v>
      </c>
      <c r="D133" s="15" t="s">
        <v>416</v>
      </c>
      <c r="E133" s="15" t="s">
        <v>431</v>
      </c>
      <c r="F133" s="15" t="s">
        <v>589</v>
      </c>
      <c r="G133" s="15" t="s">
        <v>590</v>
      </c>
      <c r="H133" s="15" t="s">
        <v>591</v>
      </c>
      <c r="I133" s="15" t="s">
        <v>592</v>
      </c>
      <c r="J133" s="15" t="s">
        <v>105</v>
      </c>
      <c r="K133" s="81" t="s">
        <v>3156</v>
      </c>
      <c r="L133" s="15" t="s">
        <v>593</v>
      </c>
    </row>
    <row r="134" spans="1:12" x14ac:dyDescent="0.25">
      <c r="A134" s="15" t="s">
        <v>107</v>
      </c>
      <c r="B134" s="15">
        <v>810</v>
      </c>
      <c r="C134" s="80" t="s">
        <v>898</v>
      </c>
      <c r="D134" s="15" t="s">
        <v>416</v>
      </c>
      <c r="E134" s="15" t="s">
        <v>431</v>
      </c>
      <c r="F134" s="15" t="s">
        <v>899</v>
      </c>
      <c r="G134" s="15" t="s">
        <v>900</v>
      </c>
      <c r="H134" s="15" t="s">
        <v>901</v>
      </c>
      <c r="I134" s="15" t="s">
        <v>902</v>
      </c>
      <c r="J134" s="15" t="s">
        <v>112</v>
      </c>
      <c r="K134" s="81" t="s">
        <v>3157</v>
      </c>
      <c r="L134" s="15" t="s">
        <v>903</v>
      </c>
    </row>
    <row r="135" spans="1:12" x14ac:dyDescent="0.25">
      <c r="A135" s="15" t="s">
        <v>107</v>
      </c>
      <c r="B135" s="15">
        <v>810</v>
      </c>
      <c r="C135" s="80" t="s">
        <v>904</v>
      </c>
      <c r="D135" s="15" t="s">
        <v>416</v>
      </c>
      <c r="E135" s="15" t="s">
        <v>431</v>
      </c>
      <c r="F135" s="15" t="s">
        <v>905</v>
      </c>
      <c r="G135" s="15" t="s">
        <v>906</v>
      </c>
      <c r="H135" s="15" t="s">
        <v>907</v>
      </c>
      <c r="I135" s="15" t="s">
        <v>877</v>
      </c>
      <c r="J135" s="15" t="s">
        <v>112</v>
      </c>
      <c r="K135" s="81" t="s">
        <v>908</v>
      </c>
      <c r="L135" s="15" t="s">
        <v>909</v>
      </c>
    </row>
    <row r="136" spans="1:12" x14ac:dyDescent="0.25">
      <c r="A136" s="15" t="s">
        <v>107</v>
      </c>
      <c r="B136" s="15">
        <v>810</v>
      </c>
      <c r="C136" s="80" t="s">
        <v>910</v>
      </c>
      <c r="D136" s="15" t="s">
        <v>416</v>
      </c>
      <c r="E136" s="15" t="s">
        <v>431</v>
      </c>
      <c r="F136" s="15" t="s">
        <v>911</v>
      </c>
      <c r="G136" s="15" t="s">
        <v>912</v>
      </c>
      <c r="H136" s="15" t="s">
        <v>913</v>
      </c>
      <c r="I136" s="15" t="s">
        <v>877</v>
      </c>
      <c r="J136" s="15" t="s">
        <v>112</v>
      </c>
      <c r="K136" s="81" t="s">
        <v>914</v>
      </c>
      <c r="L136" s="15" t="s">
        <v>915</v>
      </c>
    </row>
    <row r="137" spans="1:12" x14ac:dyDescent="0.25">
      <c r="A137" s="15" t="s">
        <v>107</v>
      </c>
      <c r="B137" s="15">
        <v>810</v>
      </c>
      <c r="C137" s="80" t="s">
        <v>108</v>
      </c>
      <c r="D137" s="15" t="s">
        <v>416</v>
      </c>
      <c r="E137" s="15" t="s">
        <v>431</v>
      </c>
      <c r="F137" s="15" t="s">
        <v>109</v>
      </c>
      <c r="G137" s="15" t="s">
        <v>916</v>
      </c>
      <c r="H137" s="15" t="s">
        <v>110</v>
      </c>
      <c r="I137" s="15" t="s">
        <v>111</v>
      </c>
      <c r="J137" s="15" t="s">
        <v>112</v>
      </c>
      <c r="K137" s="81" t="s">
        <v>3158</v>
      </c>
      <c r="L137" s="15" t="s">
        <v>113</v>
      </c>
    </row>
    <row r="138" spans="1:12" x14ac:dyDescent="0.25">
      <c r="A138" s="15" t="s">
        <v>107</v>
      </c>
      <c r="B138" s="15">
        <v>810</v>
      </c>
      <c r="C138" s="80" t="s">
        <v>917</v>
      </c>
      <c r="D138" s="15" t="s">
        <v>416</v>
      </c>
      <c r="E138" s="15" t="s">
        <v>431</v>
      </c>
      <c r="F138" s="15" t="s">
        <v>918</v>
      </c>
      <c r="G138" s="15" t="s">
        <v>919</v>
      </c>
      <c r="H138" s="15" t="s">
        <v>920</v>
      </c>
      <c r="I138" s="15" t="s">
        <v>921</v>
      </c>
      <c r="J138" s="15" t="s">
        <v>112</v>
      </c>
      <c r="K138" s="81" t="s">
        <v>3159</v>
      </c>
      <c r="L138" s="15" t="s">
        <v>922</v>
      </c>
    </row>
    <row r="139" spans="1:12" x14ac:dyDescent="0.25">
      <c r="A139" s="15" t="s">
        <v>107</v>
      </c>
      <c r="B139" s="15">
        <v>810</v>
      </c>
      <c r="C139" s="80" t="s">
        <v>923</v>
      </c>
      <c r="D139" s="15" t="s">
        <v>416</v>
      </c>
      <c r="E139" s="15" t="s">
        <v>431</v>
      </c>
      <c r="F139" s="15" t="s">
        <v>924</v>
      </c>
      <c r="G139" s="15" t="s">
        <v>925</v>
      </c>
      <c r="H139" s="15" t="s">
        <v>926</v>
      </c>
      <c r="I139" s="15" t="s">
        <v>877</v>
      </c>
      <c r="J139" s="15" t="s">
        <v>112</v>
      </c>
      <c r="K139" s="81" t="s">
        <v>3160</v>
      </c>
      <c r="L139" s="15" t="s">
        <v>927</v>
      </c>
    </row>
    <row r="140" spans="1:12" x14ac:dyDescent="0.25">
      <c r="A140" s="15" t="s">
        <v>114</v>
      </c>
      <c r="B140" s="15">
        <v>806</v>
      </c>
      <c r="C140" s="80" t="s">
        <v>2297</v>
      </c>
      <c r="D140" s="15" t="s">
        <v>430</v>
      </c>
      <c r="E140" s="15" t="s">
        <v>431</v>
      </c>
      <c r="F140" s="15" t="s">
        <v>2298</v>
      </c>
      <c r="G140" s="15" t="s">
        <v>2331</v>
      </c>
      <c r="H140" s="15" t="s">
        <v>2300</v>
      </c>
      <c r="I140" s="15" t="s">
        <v>118</v>
      </c>
      <c r="J140" s="15" t="s">
        <v>32</v>
      </c>
      <c r="K140" s="81" t="s">
        <v>3161</v>
      </c>
      <c r="L140" s="15" t="s">
        <v>2301</v>
      </c>
    </row>
    <row r="141" spans="1:12" x14ac:dyDescent="0.25">
      <c r="A141" s="15" t="s">
        <v>114</v>
      </c>
      <c r="B141" s="15">
        <v>806</v>
      </c>
      <c r="C141" s="80" t="s">
        <v>2302</v>
      </c>
      <c r="D141" s="15" t="s">
        <v>527</v>
      </c>
      <c r="E141" s="15" t="s">
        <v>431</v>
      </c>
      <c r="F141" s="15" t="s">
        <v>2303</v>
      </c>
      <c r="G141" s="15" t="s">
        <v>2304</v>
      </c>
      <c r="H141" s="15" t="s">
        <v>2305</v>
      </c>
      <c r="I141" s="15" t="s">
        <v>118</v>
      </c>
      <c r="J141" s="15" t="s">
        <v>32</v>
      </c>
      <c r="K141" s="81" t="s">
        <v>3162</v>
      </c>
      <c r="L141" s="15" t="s">
        <v>2306</v>
      </c>
    </row>
    <row r="142" spans="1:12" x14ac:dyDescent="0.25">
      <c r="A142" s="15" t="s">
        <v>114</v>
      </c>
      <c r="B142" s="15">
        <v>806</v>
      </c>
      <c r="C142" s="80" t="s">
        <v>2307</v>
      </c>
      <c r="D142" s="15" t="s">
        <v>527</v>
      </c>
      <c r="E142" s="15" t="s">
        <v>431</v>
      </c>
      <c r="F142" s="15" t="s">
        <v>2308</v>
      </c>
      <c r="G142" s="15" t="s">
        <v>2270</v>
      </c>
      <c r="H142" s="15" t="s">
        <v>2310</v>
      </c>
      <c r="I142" s="15" t="s">
        <v>118</v>
      </c>
      <c r="J142" s="15" t="s">
        <v>32</v>
      </c>
      <c r="K142" s="81" t="s">
        <v>3163</v>
      </c>
      <c r="L142" s="15" t="s">
        <v>2311</v>
      </c>
    </row>
    <row r="143" spans="1:12" x14ac:dyDescent="0.25">
      <c r="A143" s="15" t="s">
        <v>114</v>
      </c>
      <c r="B143" s="15">
        <v>806</v>
      </c>
      <c r="C143" s="80" t="s">
        <v>2312</v>
      </c>
      <c r="D143" s="15" t="s">
        <v>527</v>
      </c>
      <c r="E143" s="15" t="s">
        <v>431</v>
      </c>
      <c r="F143" s="15" t="s">
        <v>2313</v>
      </c>
      <c r="G143" s="15" t="s">
        <v>2314</v>
      </c>
      <c r="H143" s="15" t="s">
        <v>2315</v>
      </c>
      <c r="I143" s="15" t="s">
        <v>118</v>
      </c>
      <c r="J143" s="15" t="s">
        <v>32</v>
      </c>
      <c r="K143" s="81" t="s">
        <v>3164</v>
      </c>
      <c r="L143" s="15" t="s">
        <v>2316</v>
      </c>
    </row>
    <row r="144" spans="1:12" x14ac:dyDescent="0.25">
      <c r="A144" s="15" t="s">
        <v>114</v>
      </c>
      <c r="B144" s="15">
        <v>806</v>
      </c>
      <c r="C144" s="80" t="s">
        <v>2317</v>
      </c>
      <c r="D144" s="15" t="s">
        <v>416</v>
      </c>
      <c r="E144" s="15" t="s">
        <v>431</v>
      </c>
      <c r="F144" s="15" t="s">
        <v>2318</v>
      </c>
      <c r="G144" s="15" t="s">
        <v>2319</v>
      </c>
      <c r="H144" s="15" t="s">
        <v>2320</v>
      </c>
      <c r="I144" s="15" t="s">
        <v>118</v>
      </c>
      <c r="J144" s="15" t="s">
        <v>32</v>
      </c>
      <c r="K144" s="81" t="s">
        <v>3162</v>
      </c>
      <c r="L144" s="15" t="s">
        <v>2321</v>
      </c>
    </row>
    <row r="145" spans="1:12" x14ac:dyDescent="0.25">
      <c r="A145" s="15" t="s">
        <v>114</v>
      </c>
      <c r="B145" s="15">
        <v>806</v>
      </c>
      <c r="C145" s="80" t="s">
        <v>2322</v>
      </c>
      <c r="D145" s="15" t="s">
        <v>416</v>
      </c>
      <c r="E145" s="15" t="s">
        <v>431</v>
      </c>
      <c r="F145" s="15" t="s">
        <v>2323</v>
      </c>
      <c r="G145" s="15" t="s">
        <v>3012</v>
      </c>
      <c r="H145" s="15" t="s">
        <v>2325</v>
      </c>
      <c r="I145" s="15" t="s">
        <v>118</v>
      </c>
      <c r="J145" s="15" t="s">
        <v>32</v>
      </c>
      <c r="K145" s="81" t="s">
        <v>3165</v>
      </c>
      <c r="L145" s="15" t="s">
        <v>2326</v>
      </c>
    </row>
    <row r="146" spans="1:12" x14ac:dyDescent="0.25">
      <c r="A146" s="15" t="s">
        <v>114</v>
      </c>
      <c r="B146" s="15">
        <v>806</v>
      </c>
      <c r="C146" s="80" t="s">
        <v>2327</v>
      </c>
      <c r="D146" s="15" t="s">
        <v>416</v>
      </c>
      <c r="E146" s="15" t="s">
        <v>431</v>
      </c>
      <c r="F146" s="15" t="s">
        <v>2328</v>
      </c>
      <c r="G146" s="15" t="s">
        <v>2967</v>
      </c>
      <c r="H146" s="15" t="s">
        <v>2329</v>
      </c>
      <c r="I146" s="15" t="s">
        <v>118</v>
      </c>
      <c r="J146" s="15" t="s">
        <v>32</v>
      </c>
      <c r="K146" s="81" t="s">
        <v>3166</v>
      </c>
      <c r="L146" s="15" t="s">
        <v>2330</v>
      </c>
    </row>
    <row r="147" spans="1:12" x14ac:dyDescent="0.25">
      <c r="A147" s="15" t="s">
        <v>114</v>
      </c>
      <c r="B147" s="15">
        <v>806</v>
      </c>
      <c r="C147" s="80" t="s">
        <v>115</v>
      </c>
      <c r="D147" s="15" t="s">
        <v>416</v>
      </c>
      <c r="E147" s="15" t="s">
        <v>431</v>
      </c>
      <c r="F147" s="15" t="s">
        <v>116</v>
      </c>
      <c r="G147" s="15" t="s">
        <v>2299</v>
      </c>
      <c r="H147" s="15" t="s">
        <v>117</v>
      </c>
      <c r="I147" s="15" t="s">
        <v>118</v>
      </c>
      <c r="J147" s="15" t="s">
        <v>32</v>
      </c>
      <c r="K147" s="81" t="s">
        <v>3167</v>
      </c>
      <c r="L147" s="15" t="s">
        <v>119</v>
      </c>
    </row>
    <row r="148" spans="1:12" x14ac:dyDescent="0.25">
      <c r="A148" s="15" t="s">
        <v>114</v>
      </c>
      <c r="B148" s="15">
        <v>806</v>
      </c>
      <c r="C148" s="80" t="s">
        <v>2332</v>
      </c>
      <c r="D148" s="15" t="s">
        <v>416</v>
      </c>
      <c r="E148" s="15" t="s">
        <v>431</v>
      </c>
      <c r="F148" s="15" t="s">
        <v>2333</v>
      </c>
      <c r="G148" s="15" t="s">
        <v>2334</v>
      </c>
      <c r="H148" s="15" t="s">
        <v>2335</v>
      </c>
      <c r="I148" s="15" t="s">
        <v>118</v>
      </c>
      <c r="J148" s="15" t="s">
        <v>32</v>
      </c>
      <c r="K148" s="81" t="s">
        <v>3163</v>
      </c>
      <c r="L148" s="15" t="s">
        <v>2336</v>
      </c>
    </row>
    <row r="149" spans="1:12" x14ac:dyDescent="0.25">
      <c r="A149" s="15" t="s">
        <v>114</v>
      </c>
      <c r="B149" s="15">
        <v>806</v>
      </c>
      <c r="C149" s="80" t="s">
        <v>2337</v>
      </c>
      <c r="D149" s="15" t="s">
        <v>416</v>
      </c>
      <c r="E149" s="15" t="s">
        <v>431</v>
      </c>
      <c r="F149" s="15" t="s">
        <v>2338</v>
      </c>
      <c r="G149" s="15" t="s">
        <v>2339</v>
      </c>
      <c r="H149" s="15" t="s">
        <v>2340</v>
      </c>
      <c r="I149" s="15" t="s">
        <v>118</v>
      </c>
      <c r="J149" s="15" t="s">
        <v>32</v>
      </c>
      <c r="K149" s="81" t="s">
        <v>3168</v>
      </c>
      <c r="L149" s="15" t="s">
        <v>2341</v>
      </c>
    </row>
    <row r="150" spans="1:12" x14ac:dyDescent="0.25">
      <c r="A150" s="15" t="s">
        <v>114</v>
      </c>
      <c r="B150" s="15">
        <v>806</v>
      </c>
      <c r="C150" s="80" t="s">
        <v>2342</v>
      </c>
      <c r="D150" s="15" t="s">
        <v>416</v>
      </c>
      <c r="E150" s="15" t="s">
        <v>431</v>
      </c>
      <c r="F150" s="15" t="s">
        <v>2343</v>
      </c>
      <c r="G150" s="15" t="s">
        <v>3031</v>
      </c>
      <c r="H150" s="15" t="s">
        <v>2344</v>
      </c>
      <c r="I150" s="15" t="s">
        <v>118</v>
      </c>
      <c r="J150" s="15" t="s">
        <v>32</v>
      </c>
      <c r="K150" s="81" t="s">
        <v>3169</v>
      </c>
      <c r="L150" s="15" t="s">
        <v>2345</v>
      </c>
    </row>
    <row r="151" spans="1:12" x14ac:dyDescent="0.25">
      <c r="A151" s="15" t="s">
        <v>114</v>
      </c>
      <c r="B151" s="15">
        <v>806</v>
      </c>
      <c r="C151" s="80" t="s">
        <v>2346</v>
      </c>
      <c r="D151" s="15" t="s">
        <v>416</v>
      </c>
      <c r="E151" s="15" t="s">
        <v>431</v>
      </c>
      <c r="F151" s="15" t="s">
        <v>2347</v>
      </c>
      <c r="G151" s="15" t="s">
        <v>2348</v>
      </c>
      <c r="H151" s="15" t="s">
        <v>2349</v>
      </c>
      <c r="I151" s="15" t="s">
        <v>118</v>
      </c>
      <c r="J151" s="15" t="s">
        <v>32</v>
      </c>
      <c r="K151" s="81" t="s">
        <v>3161</v>
      </c>
      <c r="L151" s="15" t="s">
        <v>2350</v>
      </c>
    </row>
    <row r="152" spans="1:12" x14ac:dyDescent="0.25">
      <c r="A152" s="15" t="s">
        <v>114</v>
      </c>
      <c r="B152" s="15">
        <v>806</v>
      </c>
      <c r="C152" s="80" t="s">
        <v>2351</v>
      </c>
      <c r="D152" s="15" t="s">
        <v>416</v>
      </c>
      <c r="E152" s="15" t="s">
        <v>431</v>
      </c>
      <c r="F152" s="15" t="s">
        <v>2352</v>
      </c>
      <c r="G152" s="15" t="s">
        <v>2353</v>
      </c>
      <c r="H152" s="15" t="s">
        <v>2354</v>
      </c>
      <c r="I152" s="15" t="s">
        <v>118</v>
      </c>
      <c r="J152" s="15" t="s">
        <v>32</v>
      </c>
      <c r="K152" s="81" t="s">
        <v>3168</v>
      </c>
      <c r="L152" s="15" t="s">
        <v>2355</v>
      </c>
    </row>
    <row r="153" spans="1:12" x14ac:dyDescent="0.25">
      <c r="A153" s="15" t="s">
        <v>114</v>
      </c>
      <c r="B153" s="15">
        <v>806</v>
      </c>
      <c r="C153" s="80" t="s">
        <v>2356</v>
      </c>
      <c r="D153" s="15" t="s">
        <v>416</v>
      </c>
      <c r="E153" s="15" t="s">
        <v>431</v>
      </c>
      <c r="F153" s="15" t="s">
        <v>2357</v>
      </c>
      <c r="G153" s="15" t="s">
        <v>2358</v>
      </c>
      <c r="H153" s="15" t="s">
        <v>2359</v>
      </c>
      <c r="I153" s="15" t="s">
        <v>118</v>
      </c>
      <c r="J153" s="15" t="s">
        <v>32</v>
      </c>
      <c r="K153" s="81" t="s">
        <v>3164</v>
      </c>
      <c r="L153" s="15" t="s">
        <v>2360</v>
      </c>
    </row>
    <row r="154" spans="1:12" x14ac:dyDescent="0.25">
      <c r="A154" s="15" t="s">
        <v>114</v>
      </c>
      <c r="B154" s="15">
        <v>806</v>
      </c>
      <c r="C154" s="80" t="s">
        <v>2361</v>
      </c>
      <c r="D154" s="15" t="s">
        <v>416</v>
      </c>
      <c r="E154" s="15" t="s">
        <v>431</v>
      </c>
      <c r="F154" s="15" t="s">
        <v>2362</v>
      </c>
      <c r="G154" s="15" t="s">
        <v>2324</v>
      </c>
      <c r="H154" s="15" t="s">
        <v>2363</v>
      </c>
      <c r="I154" s="15" t="s">
        <v>118</v>
      </c>
      <c r="J154" s="15" t="s">
        <v>32</v>
      </c>
      <c r="K154" s="81" t="s">
        <v>3170</v>
      </c>
      <c r="L154" s="15" t="s">
        <v>2364</v>
      </c>
    </row>
    <row r="155" spans="1:12" x14ac:dyDescent="0.25">
      <c r="A155" s="15" t="s">
        <v>114</v>
      </c>
      <c r="B155" s="15">
        <v>806</v>
      </c>
      <c r="C155" s="80" t="s">
        <v>2365</v>
      </c>
      <c r="D155" s="15" t="s">
        <v>416</v>
      </c>
      <c r="E155" s="15" t="s">
        <v>431</v>
      </c>
      <c r="F155" s="15" t="s">
        <v>2366</v>
      </c>
      <c r="G155" s="15" t="s">
        <v>3013</v>
      </c>
      <c r="H155" s="15" t="s">
        <v>2367</v>
      </c>
      <c r="I155" s="15" t="s">
        <v>118</v>
      </c>
      <c r="J155" s="15" t="s">
        <v>32</v>
      </c>
      <c r="K155" s="81" t="s">
        <v>3170</v>
      </c>
      <c r="L155" s="15" t="s">
        <v>2368</v>
      </c>
    </row>
    <row r="156" spans="1:12" x14ac:dyDescent="0.25">
      <c r="A156" s="15" t="s">
        <v>114</v>
      </c>
      <c r="B156" s="15">
        <v>806</v>
      </c>
      <c r="C156" s="80" t="s">
        <v>2369</v>
      </c>
      <c r="D156" s="15" t="s">
        <v>416</v>
      </c>
      <c r="E156" s="15" t="s">
        <v>431</v>
      </c>
      <c r="F156" s="15" t="s">
        <v>2370</v>
      </c>
      <c r="G156" s="15" t="s">
        <v>2371</v>
      </c>
      <c r="H156" s="15" t="s">
        <v>2372</v>
      </c>
      <c r="I156" s="15" t="s">
        <v>2373</v>
      </c>
      <c r="J156" s="15" t="s">
        <v>32</v>
      </c>
      <c r="K156" s="81" t="s">
        <v>3170</v>
      </c>
      <c r="L156" s="15" t="s">
        <v>2374</v>
      </c>
    </row>
    <row r="157" spans="1:12" x14ac:dyDescent="0.25">
      <c r="A157" s="15" t="s">
        <v>243</v>
      </c>
      <c r="B157" s="15">
        <v>806</v>
      </c>
      <c r="C157" s="80" t="s">
        <v>2091</v>
      </c>
      <c r="D157" s="15" t="s">
        <v>416</v>
      </c>
      <c r="E157" s="15" t="s">
        <v>431</v>
      </c>
      <c r="F157" s="15" t="s">
        <v>2092</v>
      </c>
      <c r="G157" s="15" t="s">
        <v>2093</v>
      </c>
      <c r="H157" s="15" t="s">
        <v>2094</v>
      </c>
      <c r="I157" s="15" t="s">
        <v>246</v>
      </c>
      <c r="J157" s="15" t="s">
        <v>39</v>
      </c>
      <c r="K157" s="81" t="s">
        <v>3171</v>
      </c>
      <c r="L157" s="15" t="s">
        <v>2095</v>
      </c>
    </row>
    <row r="158" spans="1:12" x14ac:dyDescent="0.25">
      <c r="A158" s="15" t="s">
        <v>243</v>
      </c>
      <c r="B158" s="15">
        <v>806</v>
      </c>
      <c r="C158" s="80" t="s">
        <v>2096</v>
      </c>
      <c r="D158" s="15" t="s">
        <v>416</v>
      </c>
      <c r="E158" s="15" t="s">
        <v>431</v>
      </c>
      <c r="F158" s="15" t="s">
        <v>2097</v>
      </c>
      <c r="G158" s="15" t="s">
        <v>2098</v>
      </c>
      <c r="H158" s="15" t="s">
        <v>2099</v>
      </c>
      <c r="I158" s="15" t="s">
        <v>246</v>
      </c>
      <c r="J158" s="15" t="s">
        <v>39</v>
      </c>
      <c r="K158" s="81" t="s">
        <v>3171</v>
      </c>
      <c r="L158" s="15" t="s">
        <v>2100</v>
      </c>
    </row>
    <row r="159" spans="1:12" x14ac:dyDescent="0.25">
      <c r="A159" s="15" t="s">
        <v>120</v>
      </c>
      <c r="B159" s="15">
        <v>806</v>
      </c>
      <c r="C159" s="80" t="s">
        <v>2025</v>
      </c>
      <c r="D159" s="15" t="s">
        <v>416</v>
      </c>
      <c r="E159" s="15" t="s">
        <v>431</v>
      </c>
      <c r="F159" s="15" t="s">
        <v>2026</v>
      </c>
      <c r="G159" s="15" t="s">
        <v>2027</v>
      </c>
      <c r="H159" s="15" t="s">
        <v>2028</v>
      </c>
      <c r="I159" s="15" t="s">
        <v>124</v>
      </c>
      <c r="J159" s="15" t="s">
        <v>39</v>
      </c>
      <c r="K159" s="81" t="s">
        <v>3172</v>
      </c>
      <c r="L159" s="15" t="s">
        <v>2029</v>
      </c>
    </row>
    <row r="160" spans="1:12" x14ac:dyDescent="0.25">
      <c r="A160" s="15" t="s">
        <v>120</v>
      </c>
      <c r="B160" s="15">
        <v>806</v>
      </c>
      <c r="C160" s="80" t="s">
        <v>2030</v>
      </c>
      <c r="D160" s="15" t="s">
        <v>416</v>
      </c>
      <c r="E160" s="15" t="s">
        <v>431</v>
      </c>
      <c r="F160" s="15" t="s">
        <v>2031</v>
      </c>
      <c r="G160" s="15" t="s">
        <v>2032</v>
      </c>
      <c r="H160" s="15" t="s">
        <v>2033</v>
      </c>
      <c r="I160" s="15" t="s">
        <v>2015</v>
      </c>
      <c r="J160" s="15" t="s">
        <v>39</v>
      </c>
      <c r="K160" s="81" t="s">
        <v>3173</v>
      </c>
      <c r="L160" s="15" t="s">
        <v>2034</v>
      </c>
    </row>
    <row r="161" spans="1:12" x14ac:dyDescent="0.25">
      <c r="A161" s="15" t="s">
        <v>120</v>
      </c>
      <c r="B161" s="15">
        <v>806</v>
      </c>
      <c r="C161" s="80" t="s">
        <v>2035</v>
      </c>
      <c r="D161" s="15" t="s">
        <v>430</v>
      </c>
      <c r="E161" s="15" t="s">
        <v>431</v>
      </c>
      <c r="F161" s="15" t="s">
        <v>2036</v>
      </c>
      <c r="G161" s="15" t="s">
        <v>1996</v>
      </c>
      <c r="H161" s="15" t="s">
        <v>2038</v>
      </c>
      <c r="I161" s="15" t="s">
        <v>124</v>
      </c>
      <c r="J161" s="15" t="s">
        <v>39</v>
      </c>
      <c r="K161" s="81" t="s">
        <v>3174</v>
      </c>
      <c r="L161" s="15" t="s">
        <v>2039</v>
      </c>
    </row>
    <row r="162" spans="1:12" x14ac:dyDescent="0.25">
      <c r="A162" s="15" t="s">
        <v>120</v>
      </c>
      <c r="B162" s="15">
        <v>806</v>
      </c>
      <c r="C162" s="80" t="s">
        <v>2040</v>
      </c>
      <c r="D162" s="15" t="s">
        <v>527</v>
      </c>
      <c r="E162" s="15" t="s">
        <v>431</v>
      </c>
      <c r="F162" s="15" t="s">
        <v>2041</v>
      </c>
      <c r="G162" s="15" t="s">
        <v>2042</v>
      </c>
      <c r="H162" s="15" t="s">
        <v>2043</v>
      </c>
      <c r="I162" s="15" t="s">
        <v>124</v>
      </c>
      <c r="J162" s="15" t="s">
        <v>39</v>
      </c>
      <c r="K162" s="81" t="s">
        <v>3175</v>
      </c>
      <c r="L162" s="15" t="s">
        <v>2044</v>
      </c>
    </row>
    <row r="163" spans="1:12" x14ac:dyDescent="0.25">
      <c r="A163" s="15" t="s">
        <v>120</v>
      </c>
      <c r="B163" s="15">
        <v>806</v>
      </c>
      <c r="C163" s="80" t="s">
        <v>2045</v>
      </c>
      <c r="D163" s="15" t="s">
        <v>430</v>
      </c>
      <c r="E163" s="15" t="s">
        <v>431</v>
      </c>
      <c r="F163" s="15" t="s">
        <v>2046</v>
      </c>
      <c r="G163" s="15" t="s">
        <v>2037</v>
      </c>
      <c r="H163" s="15" t="s">
        <v>2047</v>
      </c>
      <c r="I163" s="15" t="s">
        <v>124</v>
      </c>
      <c r="J163" s="15" t="s">
        <v>39</v>
      </c>
      <c r="K163" s="81" t="s">
        <v>3176</v>
      </c>
      <c r="L163" s="15" t="s">
        <v>2048</v>
      </c>
    </row>
    <row r="164" spans="1:12" x14ac:dyDescent="0.25">
      <c r="A164" s="15" t="s">
        <v>120</v>
      </c>
      <c r="B164" s="15">
        <v>806</v>
      </c>
      <c r="C164" s="80" t="s">
        <v>2049</v>
      </c>
      <c r="D164" s="15" t="s">
        <v>430</v>
      </c>
      <c r="E164" s="15" t="s">
        <v>431</v>
      </c>
      <c r="F164" s="15" t="s">
        <v>2050</v>
      </c>
      <c r="G164" s="15" t="s">
        <v>2051</v>
      </c>
      <c r="H164" s="15" t="s">
        <v>2052</v>
      </c>
      <c r="I164" s="15" t="s">
        <v>124</v>
      </c>
      <c r="J164" s="15" t="s">
        <v>39</v>
      </c>
      <c r="K164" s="81" t="s">
        <v>3177</v>
      </c>
      <c r="L164" s="15" t="s">
        <v>2053</v>
      </c>
    </row>
    <row r="165" spans="1:12" x14ac:dyDescent="0.25">
      <c r="A165" s="15" t="s">
        <v>120</v>
      </c>
      <c r="B165" s="15">
        <v>806</v>
      </c>
      <c r="C165" s="80" t="s">
        <v>2054</v>
      </c>
      <c r="D165" s="15" t="s">
        <v>430</v>
      </c>
      <c r="E165" s="15" t="s">
        <v>431</v>
      </c>
      <c r="F165" s="15" t="s">
        <v>2055</v>
      </c>
      <c r="G165" s="15" t="s">
        <v>2056</v>
      </c>
      <c r="H165" s="15" t="s">
        <v>2057</v>
      </c>
      <c r="I165" s="15" t="s">
        <v>124</v>
      </c>
      <c r="J165" s="15" t="s">
        <v>39</v>
      </c>
      <c r="K165" s="81" t="s">
        <v>3178</v>
      </c>
      <c r="L165" s="15" t="s">
        <v>2058</v>
      </c>
    </row>
    <row r="166" spans="1:12" x14ac:dyDescent="0.25">
      <c r="A166" s="15" t="s">
        <v>120</v>
      </c>
      <c r="B166" s="15">
        <v>806</v>
      </c>
      <c r="C166" s="80" t="s">
        <v>121</v>
      </c>
      <c r="D166" s="15" t="s">
        <v>430</v>
      </c>
      <c r="E166" s="15" t="s">
        <v>431</v>
      </c>
      <c r="F166" s="15" t="s">
        <v>122</v>
      </c>
      <c r="G166" s="15" t="s">
        <v>2059</v>
      </c>
      <c r="H166" s="15" t="s">
        <v>123</v>
      </c>
      <c r="I166" s="15" t="s">
        <v>124</v>
      </c>
      <c r="J166" s="15" t="s">
        <v>39</v>
      </c>
      <c r="K166" s="81" t="s">
        <v>3179</v>
      </c>
      <c r="L166" s="15" t="s">
        <v>125</v>
      </c>
    </row>
    <row r="167" spans="1:12" x14ac:dyDescent="0.25">
      <c r="A167" s="15" t="s">
        <v>120</v>
      </c>
      <c r="B167" s="15">
        <v>806</v>
      </c>
      <c r="C167" s="80" t="s">
        <v>2060</v>
      </c>
      <c r="D167" s="15" t="s">
        <v>416</v>
      </c>
      <c r="E167" s="15" t="s">
        <v>431</v>
      </c>
      <c r="F167" s="15" t="s">
        <v>2061</v>
      </c>
      <c r="G167" s="15" t="s">
        <v>2062</v>
      </c>
      <c r="H167" s="15" t="s">
        <v>2063</v>
      </c>
      <c r="I167" s="15" t="s">
        <v>2064</v>
      </c>
      <c r="J167" s="15" t="s">
        <v>39</v>
      </c>
      <c r="K167" s="81" t="s">
        <v>3180</v>
      </c>
      <c r="L167" s="15" t="s">
        <v>2065</v>
      </c>
    </row>
    <row r="168" spans="1:12" x14ac:dyDescent="0.25">
      <c r="A168" s="15" t="s">
        <v>120</v>
      </c>
      <c r="B168" s="15">
        <v>806</v>
      </c>
      <c r="C168" s="80" t="s">
        <v>2066</v>
      </c>
      <c r="D168" s="15" t="s">
        <v>416</v>
      </c>
      <c r="E168" s="15" t="s">
        <v>431</v>
      </c>
      <c r="F168" s="15" t="s">
        <v>2067</v>
      </c>
      <c r="G168" s="15" t="s">
        <v>2068</v>
      </c>
      <c r="H168" s="15" t="s">
        <v>2069</v>
      </c>
      <c r="I168" s="15" t="s">
        <v>124</v>
      </c>
      <c r="J168" s="15" t="s">
        <v>39</v>
      </c>
      <c r="K168" s="81" t="s">
        <v>3174</v>
      </c>
      <c r="L168" s="15" t="s">
        <v>2070</v>
      </c>
    </row>
    <row r="169" spans="1:12" x14ac:dyDescent="0.25">
      <c r="A169" s="15" t="s">
        <v>120</v>
      </c>
      <c r="B169" s="15">
        <v>806</v>
      </c>
      <c r="C169" s="80" t="s">
        <v>2071</v>
      </c>
      <c r="D169" s="15" t="s">
        <v>416</v>
      </c>
      <c r="E169" s="15" t="s">
        <v>431</v>
      </c>
      <c r="F169" s="15" t="s">
        <v>2072</v>
      </c>
      <c r="G169" s="15" t="s">
        <v>2073</v>
      </c>
      <c r="H169" s="15" t="s">
        <v>2074</v>
      </c>
      <c r="I169" s="15" t="s">
        <v>124</v>
      </c>
      <c r="J169" s="15" t="s">
        <v>39</v>
      </c>
      <c r="K169" s="81" t="s">
        <v>3172</v>
      </c>
      <c r="L169" s="15" t="s">
        <v>2075</v>
      </c>
    </row>
    <row r="170" spans="1:12" x14ac:dyDescent="0.25">
      <c r="A170" s="15" t="s">
        <v>174</v>
      </c>
      <c r="B170" s="15">
        <v>810</v>
      </c>
      <c r="C170" s="80" t="s">
        <v>1819</v>
      </c>
      <c r="D170" s="15" t="s">
        <v>416</v>
      </c>
      <c r="E170" s="15" t="s">
        <v>431</v>
      </c>
      <c r="F170" s="15" t="s">
        <v>1820</v>
      </c>
      <c r="G170" s="15" t="s">
        <v>1913</v>
      </c>
      <c r="H170" s="15" t="s">
        <v>1821</v>
      </c>
      <c r="I170" s="15" t="s">
        <v>1822</v>
      </c>
      <c r="J170" s="15" t="s">
        <v>179</v>
      </c>
      <c r="K170" s="81" t="s">
        <v>3181</v>
      </c>
      <c r="L170" s="15" t="s">
        <v>1823</v>
      </c>
    </row>
    <row r="171" spans="1:12" x14ac:dyDescent="0.25">
      <c r="A171" s="15" t="s">
        <v>174</v>
      </c>
      <c r="B171" s="15">
        <v>810</v>
      </c>
      <c r="C171" s="80" t="s">
        <v>1824</v>
      </c>
      <c r="D171" s="15" t="s">
        <v>416</v>
      </c>
      <c r="E171" s="15" t="s">
        <v>431</v>
      </c>
      <c r="F171" s="15" t="s">
        <v>1825</v>
      </c>
      <c r="G171" s="15" t="s">
        <v>1826</v>
      </c>
      <c r="H171" s="15" t="s">
        <v>1827</v>
      </c>
      <c r="I171" s="15" t="s">
        <v>1019</v>
      </c>
      <c r="J171" s="15" t="s">
        <v>179</v>
      </c>
      <c r="K171" s="81" t="s">
        <v>3182</v>
      </c>
      <c r="L171" s="15" t="s">
        <v>1828</v>
      </c>
    </row>
    <row r="172" spans="1:12" x14ac:dyDescent="0.25">
      <c r="A172" s="15" t="s">
        <v>174</v>
      </c>
      <c r="B172" s="15">
        <v>810</v>
      </c>
      <c r="C172" s="80" t="s">
        <v>1829</v>
      </c>
      <c r="D172" s="15" t="s">
        <v>416</v>
      </c>
      <c r="E172" s="15" t="s">
        <v>431</v>
      </c>
      <c r="F172" s="15" t="s">
        <v>1830</v>
      </c>
      <c r="G172" s="15" t="s">
        <v>1831</v>
      </c>
      <c r="H172" s="15" t="s">
        <v>1832</v>
      </c>
      <c r="I172" s="15" t="s">
        <v>178</v>
      </c>
      <c r="J172" s="15" t="s">
        <v>179</v>
      </c>
      <c r="K172" s="81" t="s">
        <v>3183</v>
      </c>
      <c r="L172" s="15" t="s">
        <v>1833</v>
      </c>
    </row>
    <row r="173" spans="1:12" x14ac:dyDescent="0.25">
      <c r="A173" s="15" t="s">
        <v>174</v>
      </c>
      <c r="B173" s="15">
        <v>810</v>
      </c>
      <c r="C173" s="80" t="s">
        <v>1834</v>
      </c>
      <c r="D173" s="15" t="s">
        <v>416</v>
      </c>
      <c r="E173" s="15" t="s">
        <v>431</v>
      </c>
      <c r="F173" s="15" t="s">
        <v>1835</v>
      </c>
      <c r="G173" s="15" t="s">
        <v>1836</v>
      </c>
      <c r="H173" s="15" t="s">
        <v>1837</v>
      </c>
      <c r="I173" s="15" t="s">
        <v>855</v>
      </c>
      <c r="J173" s="15" t="s">
        <v>179</v>
      </c>
      <c r="K173" s="81" t="s">
        <v>3184</v>
      </c>
      <c r="L173" s="15" t="s">
        <v>1838</v>
      </c>
    </row>
    <row r="174" spans="1:12" x14ac:dyDescent="0.25">
      <c r="A174" s="15" t="s">
        <v>126</v>
      </c>
      <c r="B174" s="15">
        <v>810</v>
      </c>
      <c r="C174" s="80" t="s">
        <v>127</v>
      </c>
      <c r="D174" s="15" t="s">
        <v>416</v>
      </c>
      <c r="E174" s="15" t="s">
        <v>431</v>
      </c>
      <c r="F174" s="15" t="s">
        <v>128</v>
      </c>
      <c r="G174" s="15" t="s">
        <v>2798</v>
      </c>
      <c r="H174" s="15" t="s">
        <v>129</v>
      </c>
      <c r="I174" s="15" t="s">
        <v>130</v>
      </c>
      <c r="J174" s="15" t="s">
        <v>131</v>
      </c>
      <c r="K174" s="81" t="s">
        <v>3185</v>
      </c>
      <c r="L174" s="15" t="s">
        <v>132</v>
      </c>
    </row>
    <row r="175" spans="1:12" x14ac:dyDescent="0.25">
      <c r="A175" s="15" t="s">
        <v>174</v>
      </c>
      <c r="B175" s="15">
        <v>810</v>
      </c>
      <c r="C175" s="80" t="s">
        <v>1839</v>
      </c>
      <c r="D175" s="15" t="s">
        <v>416</v>
      </c>
      <c r="E175" s="15" t="s">
        <v>431</v>
      </c>
      <c r="F175" s="15" t="s">
        <v>1840</v>
      </c>
      <c r="G175" s="15" t="s">
        <v>1781</v>
      </c>
      <c r="H175" s="15" t="s">
        <v>1841</v>
      </c>
      <c r="I175" s="15" t="s">
        <v>1842</v>
      </c>
      <c r="J175" s="15" t="s">
        <v>179</v>
      </c>
      <c r="K175" s="81" t="s">
        <v>3186</v>
      </c>
      <c r="L175" s="15" t="s">
        <v>1843</v>
      </c>
    </row>
    <row r="176" spans="1:12" x14ac:dyDescent="0.25">
      <c r="A176" s="15" t="s">
        <v>174</v>
      </c>
      <c r="B176" s="15">
        <v>810</v>
      </c>
      <c r="C176" s="80" t="s">
        <v>1844</v>
      </c>
      <c r="D176" s="15" t="s">
        <v>527</v>
      </c>
      <c r="E176" s="15" t="s">
        <v>431</v>
      </c>
      <c r="F176" s="15" t="s">
        <v>1845</v>
      </c>
      <c r="G176" s="15" t="s">
        <v>1846</v>
      </c>
      <c r="H176" s="15" t="s">
        <v>1847</v>
      </c>
      <c r="I176" s="15" t="s">
        <v>1848</v>
      </c>
      <c r="J176" s="15" t="s">
        <v>179</v>
      </c>
      <c r="K176" s="81" t="s">
        <v>3187</v>
      </c>
      <c r="L176" s="15" t="s">
        <v>1849</v>
      </c>
    </row>
    <row r="177" spans="1:12" x14ac:dyDescent="0.25">
      <c r="A177" s="15" t="s">
        <v>133</v>
      </c>
      <c r="B177" s="15">
        <v>810</v>
      </c>
      <c r="C177" s="80" t="s">
        <v>1605</v>
      </c>
      <c r="D177" s="15" t="s">
        <v>416</v>
      </c>
      <c r="E177" s="15" t="s">
        <v>431</v>
      </c>
      <c r="F177" s="15" t="s">
        <v>1606</v>
      </c>
      <c r="G177" s="15" t="s">
        <v>1607</v>
      </c>
      <c r="H177" s="15" t="s">
        <v>1608</v>
      </c>
      <c r="I177" s="15" t="s">
        <v>1609</v>
      </c>
      <c r="J177" s="15" t="s">
        <v>138</v>
      </c>
      <c r="K177" s="81" t="s">
        <v>3188</v>
      </c>
      <c r="L177" s="15" t="s">
        <v>1610</v>
      </c>
    </row>
    <row r="178" spans="1:12" x14ac:dyDescent="0.25">
      <c r="A178" s="15" t="s">
        <v>133</v>
      </c>
      <c r="B178" s="15">
        <v>810</v>
      </c>
      <c r="C178" s="80" t="s">
        <v>1611</v>
      </c>
      <c r="D178" s="15" t="s">
        <v>416</v>
      </c>
      <c r="E178" s="15" t="s">
        <v>431</v>
      </c>
      <c r="F178" s="15" t="s">
        <v>1612</v>
      </c>
      <c r="G178" s="15" t="s">
        <v>3032</v>
      </c>
      <c r="H178" s="15" t="s">
        <v>1613</v>
      </c>
      <c r="I178" s="15" t="s">
        <v>1614</v>
      </c>
      <c r="J178" s="15" t="s">
        <v>138</v>
      </c>
      <c r="K178" s="81" t="s">
        <v>3189</v>
      </c>
      <c r="L178" s="15" t="s">
        <v>1615</v>
      </c>
    </row>
    <row r="179" spans="1:12" x14ac:dyDescent="0.25">
      <c r="A179" s="15" t="s">
        <v>133</v>
      </c>
      <c r="B179" s="15">
        <v>810</v>
      </c>
      <c r="C179" s="80" t="s">
        <v>134</v>
      </c>
      <c r="D179" s="15" t="s">
        <v>527</v>
      </c>
      <c r="E179" s="15" t="s">
        <v>431</v>
      </c>
      <c r="F179" s="15" t="s">
        <v>135</v>
      </c>
      <c r="G179" s="15" t="s">
        <v>1616</v>
      </c>
      <c r="H179" s="15" t="s">
        <v>136</v>
      </c>
      <c r="I179" s="15" t="s">
        <v>137</v>
      </c>
      <c r="J179" s="15" t="s">
        <v>138</v>
      </c>
      <c r="K179" s="81" t="s">
        <v>3190</v>
      </c>
      <c r="L179" s="15" t="s">
        <v>139</v>
      </c>
    </row>
    <row r="180" spans="1:12" x14ac:dyDescent="0.25">
      <c r="A180" s="15" t="s">
        <v>133</v>
      </c>
      <c r="B180" s="15">
        <v>810</v>
      </c>
      <c r="C180" s="80" t="s">
        <v>1617</v>
      </c>
      <c r="D180" s="15" t="s">
        <v>416</v>
      </c>
      <c r="E180" s="15" t="s">
        <v>431</v>
      </c>
      <c r="F180" s="15" t="s">
        <v>1618</v>
      </c>
      <c r="G180" s="15" t="s">
        <v>1619</v>
      </c>
      <c r="H180" s="15" t="s">
        <v>1620</v>
      </c>
      <c r="I180" s="15" t="s">
        <v>1621</v>
      </c>
      <c r="J180" s="15" t="s">
        <v>138</v>
      </c>
      <c r="K180" s="81" t="s">
        <v>3191</v>
      </c>
      <c r="L180" s="15" t="s">
        <v>1622</v>
      </c>
    </row>
    <row r="181" spans="1:12" x14ac:dyDescent="0.25">
      <c r="A181" s="15" t="s">
        <v>133</v>
      </c>
      <c r="B181" s="15">
        <v>810</v>
      </c>
      <c r="C181" s="80" t="s">
        <v>1623</v>
      </c>
      <c r="D181" s="15" t="s">
        <v>416</v>
      </c>
      <c r="E181" s="15" t="s">
        <v>431</v>
      </c>
      <c r="F181" s="15" t="s">
        <v>1624</v>
      </c>
      <c r="G181" s="15" t="s">
        <v>1625</v>
      </c>
      <c r="H181" s="15" t="s">
        <v>1626</v>
      </c>
      <c r="I181" s="15" t="s">
        <v>1627</v>
      </c>
      <c r="J181" s="15" t="s">
        <v>138</v>
      </c>
      <c r="K181" s="81" t="s">
        <v>3192</v>
      </c>
      <c r="L181" s="15" t="s">
        <v>1628</v>
      </c>
    </row>
    <row r="182" spans="1:12" x14ac:dyDescent="0.25">
      <c r="A182" s="15" t="s">
        <v>133</v>
      </c>
      <c r="B182" s="15">
        <v>810</v>
      </c>
      <c r="C182" s="80" t="s">
        <v>1629</v>
      </c>
      <c r="D182" s="15" t="s">
        <v>416</v>
      </c>
      <c r="E182" s="15" t="s">
        <v>431</v>
      </c>
      <c r="F182" s="15" t="s">
        <v>1630</v>
      </c>
      <c r="G182" s="15" t="s">
        <v>1631</v>
      </c>
      <c r="H182" s="15" t="s">
        <v>1632</v>
      </c>
      <c r="I182" s="15" t="s">
        <v>1621</v>
      </c>
      <c r="J182" s="15" t="s">
        <v>138</v>
      </c>
      <c r="K182" s="81" t="s">
        <v>3193</v>
      </c>
      <c r="L182" s="15" t="s">
        <v>1633</v>
      </c>
    </row>
    <row r="183" spans="1:12" x14ac:dyDescent="0.25">
      <c r="A183" s="15" t="s">
        <v>133</v>
      </c>
      <c r="B183" s="15">
        <v>810</v>
      </c>
      <c r="C183" s="80" t="s">
        <v>1634</v>
      </c>
      <c r="D183" s="15" t="s">
        <v>416</v>
      </c>
      <c r="E183" s="15" t="s">
        <v>431</v>
      </c>
      <c r="F183" s="15" t="s">
        <v>1635</v>
      </c>
      <c r="G183" s="15" t="s">
        <v>1636</v>
      </c>
      <c r="H183" s="15" t="s">
        <v>1637</v>
      </c>
      <c r="I183" s="15" t="s">
        <v>1621</v>
      </c>
      <c r="J183" s="15" t="s">
        <v>138</v>
      </c>
      <c r="K183" s="81" t="s">
        <v>3194</v>
      </c>
      <c r="L183" s="15" t="s">
        <v>1638</v>
      </c>
    </row>
    <row r="184" spans="1:12" x14ac:dyDescent="0.25">
      <c r="A184" s="15" t="s">
        <v>133</v>
      </c>
      <c r="B184" s="15">
        <v>810</v>
      </c>
      <c r="C184" s="80" t="s">
        <v>1639</v>
      </c>
      <c r="D184" s="15" t="s">
        <v>416</v>
      </c>
      <c r="E184" s="15" t="s">
        <v>431</v>
      </c>
      <c r="F184" s="15" t="s">
        <v>1640</v>
      </c>
      <c r="G184" s="15" t="s">
        <v>1641</v>
      </c>
      <c r="H184" s="15" t="s">
        <v>1642</v>
      </c>
      <c r="I184" s="15" t="s">
        <v>1621</v>
      </c>
      <c r="J184" s="15" t="s">
        <v>138</v>
      </c>
      <c r="K184" s="81" t="s">
        <v>3191</v>
      </c>
      <c r="L184" s="15" t="s">
        <v>1643</v>
      </c>
    </row>
    <row r="185" spans="1:12" x14ac:dyDescent="0.25">
      <c r="A185" s="15" t="s">
        <v>133</v>
      </c>
      <c r="B185" s="15">
        <v>810</v>
      </c>
      <c r="C185" s="80" t="s">
        <v>1644</v>
      </c>
      <c r="D185" s="15" t="s">
        <v>416</v>
      </c>
      <c r="E185" s="15" t="s">
        <v>431</v>
      </c>
      <c r="F185" s="15" t="s">
        <v>1645</v>
      </c>
      <c r="G185" s="15" t="s">
        <v>3195</v>
      </c>
      <c r="H185" s="15" t="s">
        <v>1647</v>
      </c>
      <c r="I185" s="15" t="s">
        <v>1621</v>
      </c>
      <c r="J185" s="15" t="s">
        <v>138</v>
      </c>
      <c r="K185" s="81" t="s">
        <v>1648</v>
      </c>
      <c r="L185" s="15" t="s">
        <v>1649</v>
      </c>
    </row>
    <row r="186" spans="1:12" x14ac:dyDescent="0.25">
      <c r="A186" s="15" t="s">
        <v>133</v>
      </c>
      <c r="B186" s="15">
        <v>810</v>
      </c>
      <c r="C186" s="80" t="s">
        <v>1650</v>
      </c>
      <c r="D186" s="15" t="s">
        <v>416</v>
      </c>
      <c r="E186" s="15" t="s">
        <v>431</v>
      </c>
      <c r="F186" s="15" t="s">
        <v>1651</v>
      </c>
      <c r="G186" s="15" t="s">
        <v>3033</v>
      </c>
      <c r="H186" s="15" t="s">
        <v>1653</v>
      </c>
      <c r="I186" s="15" t="s">
        <v>1621</v>
      </c>
      <c r="J186" s="15" t="s">
        <v>138</v>
      </c>
      <c r="K186" s="81" t="s">
        <v>3196</v>
      </c>
      <c r="L186" s="15" t="s">
        <v>1654</v>
      </c>
    </row>
    <row r="187" spans="1:12" x14ac:dyDescent="0.25">
      <c r="A187" s="15" t="s">
        <v>133</v>
      </c>
      <c r="B187" s="15">
        <v>810</v>
      </c>
      <c r="C187" s="80" t="s">
        <v>1655</v>
      </c>
      <c r="D187" s="15" t="s">
        <v>416</v>
      </c>
      <c r="E187" s="15" t="s">
        <v>431</v>
      </c>
      <c r="F187" s="15" t="s">
        <v>1656</v>
      </c>
      <c r="G187" s="15" t="s">
        <v>1657</v>
      </c>
      <c r="H187" s="15" t="s">
        <v>1658</v>
      </c>
      <c r="I187" s="15" t="s">
        <v>1621</v>
      </c>
      <c r="J187" s="15" t="s">
        <v>138</v>
      </c>
      <c r="K187" s="81" t="s">
        <v>3197</v>
      </c>
      <c r="L187" s="15" t="s">
        <v>1659</v>
      </c>
    </row>
    <row r="188" spans="1:12" x14ac:dyDescent="0.25">
      <c r="A188" s="15" t="s">
        <v>133</v>
      </c>
      <c r="B188" s="15">
        <v>810</v>
      </c>
      <c r="C188" s="80" t="s">
        <v>1660</v>
      </c>
      <c r="D188" s="15" t="s">
        <v>416</v>
      </c>
      <c r="E188" s="15" t="s">
        <v>431</v>
      </c>
      <c r="F188" s="15" t="s">
        <v>1661</v>
      </c>
      <c r="G188" s="15" t="s">
        <v>1662</v>
      </c>
      <c r="H188" s="15" t="s">
        <v>1663</v>
      </c>
      <c r="I188" s="15" t="s">
        <v>1621</v>
      </c>
      <c r="J188" s="15" t="s">
        <v>138</v>
      </c>
      <c r="K188" s="81" t="s">
        <v>3198</v>
      </c>
      <c r="L188" s="15" t="s">
        <v>1664</v>
      </c>
    </row>
    <row r="189" spans="1:12" x14ac:dyDescent="0.25">
      <c r="A189" s="15" t="s">
        <v>133</v>
      </c>
      <c r="B189" s="15">
        <v>810</v>
      </c>
      <c r="C189" s="80" t="s">
        <v>1665</v>
      </c>
      <c r="D189" s="15" t="s">
        <v>416</v>
      </c>
      <c r="E189" s="15" t="s">
        <v>431</v>
      </c>
      <c r="F189" s="15" t="s">
        <v>1666</v>
      </c>
      <c r="G189" s="15" t="s">
        <v>1667</v>
      </c>
      <c r="H189" s="15" t="s">
        <v>1668</v>
      </c>
      <c r="I189" s="15" t="s">
        <v>1621</v>
      </c>
      <c r="J189" s="15" t="s">
        <v>138</v>
      </c>
      <c r="K189" s="81" t="s">
        <v>3193</v>
      </c>
      <c r="L189" s="15" t="s">
        <v>1669</v>
      </c>
    </row>
    <row r="190" spans="1:12" x14ac:dyDescent="0.25">
      <c r="A190" s="15" t="s">
        <v>133</v>
      </c>
      <c r="B190" s="15">
        <v>810</v>
      </c>
      <c r="C190" s="80" t="s">
        <v>1670</v>
      </c>
      <c r="D190" s="15" t="s">
        <v>416</v>
      </c>
      <c r="E190" s="15" t="s">
        <v>431</v>
      </c>
      <c r="F190" s="15" t="s">
        <v>1671</v>
      </c>
      <c r="G190" s="15" t="s">
        <v>1672</v>
      </c>
      <c r="H190" s="15" t="s">
        <v>1673</v>
      </c>
      <c r="I190" s="15" t="s">
        <v>1621</v>
      </c>
      <c r="J190" s="15" t="s">
        <v>138</v>
      </c>
      <c r="K190" s="81" t="s">
        <v>1674</v>
      </c>
      <c r="L190" s="15" t="s">
        <v>1675</v>
      </c>
    </row>
    <row r="191" spans="1:12" x14ac:dyDescent="0.25">
      <c r="A191" s="15" t="s">
        <v>133</v>
      </c>
      <c r="B191" s="15">
        <v>810</v>
      </c>
      <c r="C191" s="80" t="s">
        <v>1676</v>
      </c>
      <c r="D191" s="15" t="s">
        <v>416</v>
      </c>
      <c r="E191" s="15" t="s">
        <v>431</v>
      </c>
      <c r="F191" s="15" t="s">
        <v>1677</v>
      </c>
      <c r="G191" s="15" t="s">
        <v>1678</v>
      </c>
      <c r="H191" s="15" t="s">
        <v>1679</v>
      </c>
      <c r="I191" s="15" t="s">
        <v>1621</v>
      </c>
      <c r="J191" s="15" t="s">
        <v>138</v>
      </c>
      <c r="K191" s="81" t="s">
        <v>1680</v>
      </c>
      <c r="L191" s="15" t="s">
        <v>1681</v>
      </c>
    </row>
    <row r="192" spans="1:12" x14ac:dyDescent="0.25">
      <c r="A192" s="15" t="s">
        <v>133</v>
      </c>
      <c r="B192" s="15">
        <v>810</v>
      </c>
      <c r="C192" s="80" t="s">
        <v>1682</v>
      </c>
      <c r="D192" s="15" t="s">
        <v>416</v>
      </c>
      <c r="E192" s="15" t="s">
        <v>431</v>
      </c>
      <c r="F192" s="15" t="s">
        <v>1683</v>
      </c>
      <c r="G192" s="15" t="s">
        <v>1684</v>
      </c>
      <c r="H192" s="15" t="s">
        <v>1685</v>
      </c>
      <c r="I192" s="15" t="s">
        <v>1686</v>
      </c>
      <c r="J192" s="15" t="s">
        <v>138</v>
      </c>
      <c r="K192" s="81" t="s">
        <v>1687</v>
      </c>
      <c r="L192" s="15" t="s">
        <v>1688</v>
      </c>
    </row>
    <row r="193" spans="1:12" x14ac:dyDescent="0.25">
      <c r="A193" s="15" t="s">
        <v>133</v>
      </c>
      <c r="B193" s="15">
        <v>810</v>
      </c>
      <c r="C193" s="80" t="s">
        <v>1689</v>
      </c>
      <c r="D193" s="15" t="s">
        <v>416</v>
      </c>
      <c r="E193" s="15" t="s">
        <v>431</v>
      </c>
      <c r="F193" s="15" t="s">
        <v>1690</v>
      </c>
      <c r="G193" s="15" t="s">
        <v>1691</v>
      </c>
      <c r="H193" s="15" t="s">
        <v>1692</v>
      </c>
      <c r="I193" s="15" t="s">
        <v>1693</v>
      </c>
      <c r="J193" s="15" t="s">
        <v>138</v>
      </c>
      <c r="K193" s="81" t="s">
        <v>1694</v>
      </c>
      <c r="L193" s="15" t="s">
        <v>1695</v>
      </c>
    </row>
    <row r="194" spans="1:12" x14ac:dyDescent="0.25">
      <c r="A194" s="15" t="s">
        <v>133</v>
      </c>
      <c r="B194" s="15">
        <v>810</v>
      </c>
      <c r="C194" s="80" t="s">
        <v>1696</v>
      </c>
      <c r="D194" s="15" t="s">
        <v>416</v>
      </c>
      <c r="E194" s="15" t="s">
        <v>431</v>
      </c>
      <c r="F194" s="15" t="s">
        <v>1697</v>
      </c>
      <c r="G194" s="15" t="s">
        <v>1646</v>
      </c>
      <c r="H194" s="15" t="s">
        <v>1698</v>
      </c>
      <c r="I194" s="15" t="s">
        <v>1699</v>
      </c>
      <c r="J194" s="15" t="s">
        <v>138</v>
      </c>
      <c r="K194" s="81" t="s">
        <v>3199</v>
      </c>
      <c r="L194" s="15" t="s">
        <v>1700</v>
      </c>
    </row>
    <row r="195" spans="1:12" x14ac:dyDescent="0.25">
      <c r="A195" s="15" t="s">
        <v>147</v>
      </c>
      <c r="B195" s="15">
        <v>810</v>
      </c>
      <c r="C195" s="80" t="s">
        <v>2900</v>
      </c>
      <c r="D195" s="15" t="s">
        <v>416</v>
      </c>
      <c r="E195" s="15" t="s">
        <v>431</v>
      </c>
      <c r="F195" s="15" t="s">
        <v>2901</v>
      </c>
      <c r="G195" s="15" t="s">
        <v>2902</v>
      </c>
      <c r="H195" s="15" t="s">
        <v>2903</v>
      </c>
      <c r="I195" s="15" t="s">
        <v>151</v>
      </c>
      <c r="J195" s="15" t="s">
        <v>145</v>
      </c>
      <c r="K195" s="81" t="s">
        <v>3200</v>
      </c>
      <c r="L195" s="15" t="s">
        <v>2904</v>
      </c>
    </row>
    <row r="196" spans="1:12" x14ac:dyDescent="0.25">
      <c r="A196" s="15" t="s">
        <v>140</v>
      </c>
      <c r="B196" s="15">
        <v>810</v>
      </c>
      <c r="C196" s="80" t="s">
        <v>2871</v>
      </c>
      <c r="D196" s="15" t="s">
        <v>416</v>
      </c>
      <c r="E196" s="15" t="s">
        <v>431</v>
      </c>
      <c r="F196" s="15" t="s">
        <v>2872</v>
      </c>
      <c r="G196" s="15" t="s">
        <v>2880</v>
      </c>
      <c r="H196" s="15" t="s">
        <v>2873</v>
      </c>
      <c r="I196" s="15" t="s">
        <v>144</v>
      </c>
      <c r="J196" s="15" t="s">
        <v>145</v>
      </c>
      <c r="K196" s="81" t="s">
        <v>3201</v>
      </c>
      <c r="L196" s="15" t="s">
        <v>2874</v>
      </c>
    </row>
    <row r="197" spans="1:12" x14ac:dyDescent="0.25">
      <c r="A197" s="15" t="s">
        <v>140</v>
      </c>
      <c r="B197" s="15">
        <v>810</v>
      </c>
      <c r="C197" s="80" t="s">
        <v>2875</v>
      </c>
      <c r="D197" s="15" t="s">
        <v>416</v>
      </c>
      <c r="E197" s="15" t="s">
        <v>431</v>
      </c>
      <c r="F197" s="15" t="s">
        <v>2691</v>
      </c>
      <c r="G197" s="15" t="s">
        <v>2876</v>
      </c>
      <c r="H197" s="15" t="s">
        <v>143</v>
      </c>
      <c r="I197" s="15" t="s">
        <v>144</v>
      </c>
      <c r="J197" s="15" t="s">
        <v>145</v>
      </c>
      <c r="K197" s="81" t="s">
        <v>3202</v>
      </c>
      <c r="L197" s="15" t="s">
        <v>2877</v>
      </c>
    </row>
    <row r="198" spans="1:12" x14ac:dyDescent="0.25">
      <c r="A198" s="15" t="s">
        <v>140</v>
      </c>
      <c r="B198" s="15">
        <v>810</v>
      </c>
      <c r="C198" s="80" t="s">
        <v>2878</v>
      </c>
      <c r="D198" s="15" t="s">
        <v>527</v>
      </c>
      <c r="E198" s="15" t="s">
        <v>431</v>
      </c>
      <c r="F198" s="15" t="s">
        <v>2879</v>
      </c>
      <c r="G198" s="15" t="s">
        <v>2880</v>
      </c>
      <c r="H198" s="15" t="s">
        <v>2881</v>
      </c>
      <c r="I198" s="15" t="s">
        <v>144</v>
      </c>
      <c r="J198" s="15" t="s">
        <v>145</v>
      </c>
      <c r="K198" s="81" t="s">
        <v>3203</v>
      </c>
      <c r="L198" s="15" t="s">
        <v>2882</v>
      </c>
    </row>
    <row r="199" spans="1:12" x14ac:dyDescent="0.25">
      <c r="A199" s="15" t="s">
        <v>147</v>
      </c>
      <c r="B199" s="15">
        <v>810</v>
      </c>
      <c r="C199" s="80" t="s">
        <v>2905</v>
      </c>
      <c r="D199" s="15" t="s">
        <v>416</v>
      </c>
      <c r="E199" s="15" t="s">
        <v>431</v>
      </c>
      <c r="F199" s="15" t="s">
        <v>2906</v>
      </c>
      <c r="G199" s="15" t="s">
        <v>2907</v>
      </c>
      <c r="H199" s="15" t="s">
        <v>2908</v>
      </c>
      <c r="I199" s="15" t="s">
        <v>151</v>
      </c>
      <c r="J199" s="15" t="s">
        <v>145</v>
      </c>
      <c r="K199" s="81" t="s">
        <v>2909</v>
      </c>
      <c r="L199" s="15" t="s">
        <v>2910</v>
      </c>
    </row>
    <row r="200" spans="1:12" x14ac:dyDescent="0.25">
      <c r="A200" s="15" t="s">
        <v>147</v>
      </c>
      <c r="B200" s="15">
        <v>810</v>
      </c>
      <c r="C200" s="80" t="s">
        <v>2911</v>
      </c>
      <c r="D200" s="15" t="s">
        <v>416</v>
      </c>
      <c r="E200" s="15" t="s">
        <v>431</v>
      </c>
      <c r="F200" s="15" t="s">
        <v>2912</v>
      </c>
      <c r="G200" s="15" t="s">
        <v>3034</v>
      </c>
      <c r="H200" s="15" t="s">
        <v>2913</v>
      </c>
      <c r="I200" s="15" t="s">
        <v>2914</v>
      </c>
      <c r="J200" s="15" t="s">
        <v>145</v>
      </c>
      <c r="K200" s="81" t="s">
        <v>2915</v>
      </c>
      <c r="L200" s="15" t="s">
        <v>2916</v>
      </c>
    </row>
    <row r="201" spans="1:12" x14ac:dyDescent="0.25">
      <c r="A201" s="15" t="s">
        <v>147</v>
      </c>
      <c r="B201" s="15">
        <v>810</v>
      </c>
      <c r="C201" s="80" t="s">
        <v>2917</v>
      </c>
      <c r="D201" s="15" t="s">
        <v>416</v>
      </c>
      <c r="E201" s="15" t="s">
        <v>431</v>
      </c>
      <c r="F201" s="15" t="s">
        <v>2918</v>
      </c>
      <c r="G201" s="15" t="s">
        <v>2939</v>
      </c>
      <c r="H201" s="15" t="s">
        <v>2919</v>
      </c>
      <c r="I201" s="15" t="s">
        <v>2920</v>
      </c>
      <c r="J201" s="15" t="s">
        <v>145</v>
      </c>
      <c r="K201" s="81" t="s">
        <v>2921</v>
      </c>
      <c r="L201" s="15" t="s">
        <v>2922</v>
      </c>
    </row>
    <row r="202" spans="1:12" x14ac:dyDescent="0.25">
      <c r="A202" s="15" t="s">
        <v>147</v>
      </c>
      <c r="B202" s="15">
        <v>810</v>
      </c>
      <c r="C202" s="80" t="s">
        <v>2923</v>
      </c>
      <c r="D202" s="15" t="s">
        <v>416</v>
      </c>
      <c r="E202" s="15" t="s">
        <v>431</v>
      </c>
      <c r="F202" s="15" t="s">
        <v>2924</v>
      </c>
      <c r="G202" s="15" t="s">
        <v>2925</v>
      </c>
      <c r="H202" s="15" t="s">
        <v>2926</v>
      </c>
      <c r="I202" s="15" t="s">
        <v>2927</v>
      </c>
      <c r="J202" s="15" t="s">
        <v>145</v>
      </c>
      <c r="K202" s="81" t="s">
        <v>2928</v>
      </c>
      <c r="L202" s="15" t="s">
        <v>2929</v>
      </c>
    </row>
    <row r="203" spans="1:12" x14ac:dyDescent="0.25">
      <c r="A203" s="15" t="s">
        <v>147</v>
      </c>
      <c r="B203" s="15">
        <v>810</v>
      </c>
      <c r="C203" s="80" t="s">
        <v>2930</v>
      </c>
      <c r="D203" s="15" t="s">
        <v>416</v>
      </c>
      <c r="E203" s="15" t="s">
        <v>431</v>
      </c>
      <c r="F203" s="15" t="s">
        <v>2931</v>
      </c>
      <c r="G203" s="15" t="s">
        <v>2932</v>
      </c>
      <c r="H203" s="15" t="s">
        <v>2933</v>
      </c>
      <c r="I203" s="15" t="s">
        <v>2934</v>
      </c>
      <c r="J203" s="15" t="s">
        <v>145</v>
      </c>
      <c r="K203" s="81" t="s">
        <v>2935</v>
      </c>
      <c r="L203" s="15" t="s">
        <v>2936</v>
      </c>
    </row>
    <row r="204" spans="1:12" x14ac:dyDescent="0.25">
      <c r="A204" s="15" t="s">
        <v>147</v>
      </c>
      <c r="B204" s="15">
        <v>810</v>
      </c>
      <c r="C204" s="80" t="s">
        <v>148</v>
      </c>
      <c r="D204" s="15" t="s">
        <v>416</v>
      </c>
      <c r="E204" s="15" t="s">
        <v>431</v>
      </c>
      <c r="F204" s="15" t="s">
        <v>149</v>
      </c>
      <c r="G204" s="15" t="s">
        <v>2955</v>
      </c>
      <c r="H204" s="15" t="s">
        <v>150</v>
      </c>
      <c r="I204" s="15" t="s">
        <v>151</v>
      </c>
      <c r="J204" s="15" t="s">
        <v>145</v>
      </c>
      <c r="K204" s="81" t="s">
        <v>152</v>
      </c>
      <c r="L204" s="15" t="s">
        <v>153</v>
      </c>
    </row>
    <row r="205" spans="1:12" x14ac:dyDescent="0.25">
      <c r="A205" s="15" t="s">
        <v>140</v>
      </c>
      <c r="B205" s="15">
        <v>810</v>
      </c>
      <c r="C205" s="80" t="s">
        <v>2883</v>
      </c>
      <c r="D205" s="15" t="s">
        <v>527</v>
      </c>
      <c r="E205" s="15" t="s">
        <v>431</v>
      </c>
      <c r="F205" s="15" t="s">
        <v>2884</v>
      </c>
      <c r="G205" s="15" t="s">
        <v>2885</v>
      </c>
      <c r="H205" s="15" t="s">
        <v>2886</v>
      </c>
      <c r="I205" s="15" t="s">
        <v>343</v>
      </c>
      <c r="J205" s="15" t="s">
        <v>344</v>
      </c>
      <c r="K205" s="81" t="s">
        <v>3204</v>
      </c>
      <c r="L205" s="15" t="s">
        <v>2887</v>
      </c>
    </row>
    <row r="206" spans="1:12" x14ac:dyDescent="0.25">
      <c r="A206" s="15" t="s">
        <v>147</v>
      </c>
      <c r="B206" s="15">
        <v>810</v>
      </c>
      <c r="C206" s="80" t="s">
        <v>2937</v>
      </c>
      <c r="D206" s="15" t="s">
        <v>416</v>
      </c>
      <c r="E206" s="15" t="s">
        <v>431</v>
      </c>
      <c r="F206" s="15" t="s">
        <v>2938</v>
      </c>
      <c r="G206" s="15" t="s">
        <v>2950</v>
      </c>
      <c r="H206" s="15" t="s">
        <v>2940</v>
      </c>
      <c r="I206" s="15" t="s">
        <v>2941</v>
      </c>
      <c r="J206" s="15" t="s">
        <v>145</v>
      </c>
      <c r="K206" s="81" t="s">
        <v>3205</v>
      </c>
      <c r="L206" s="15" t="s">
        <v>2942</v>
      </c>
    </row>
    <row r="207" spans="1:12" x14ac:dyDescent="0.25">
      <c r="A207" s="15" t="s">
        <v>147</v>
      </c>
      <c r="B207" s="15">
        <v>810</v>
      </c>
      <c r="C207" s="80" t="s">
        <v>2943</v>
      </c>
      <c r="D207" s="15" t="s">
        <v>416</v>
      </c>
      <c r="E207" s="15" t="s">
        <v>431</v>
      </c>
      <c r="F207" s="15" t="s">
        <v>2944</v>
      </c>
      <c r="G207" s="15" t="s">
        <v>2945</v>
      </c>
      <c r="H207" s="15" t="s">
        <v>2946</v>
      </c>
      <c r="I207" s="15" t="s">
        <v>151</v>
      </c>
      <c r="J207" s="15" t="s">
        <v>145</v>
      </c>
      <c r="K207" s="81" t="s">
        <v>3206</v>
      </c>
      <c r="L207" s="15" t="s">
        <v>2947</v>
      </c>
    </row>
    <row r="208" spans="1:12" x14ac:dyDescent="0.25">
      <c r="A208" s="15" t="s">
        <v>147</v>
      </c>
      <c r="B208" s="15">
        <v>810</v>
      </c>
      <c r="C208" s="80" t="s">
        <v>2948</v>
      </c>
      <c r="D208" s="15" t="s">
        <v>416</v>
      </c>
      <c r="E208" s="15" t="s">
        <v>431</v>
      </c>
      <c r="F208" s="15" t="s">
        <v>2949</v>
      </c>
      <c r="G208" s="15" t="s">
        <v>3207</v>
      </c>
      <c r="H208" s="15" t="s">
        <v>2951</v>
      </c>
      <c r="I208" s="15" t="s">
        <v>151</v>
      </c>
      <c r="J208" s="15" t="s">
        <v>145</v>
      </c>
      <c r="K208" s="81" t="s">
        <v>3208</v>
      </c>
      <c r="L208" s="15" t="s">
        <v>2952</v>
      </c>
    </row>
    <row r="209" spans="1:12" x14ac:dyDescent="0.25">
      <c r="A209" s="15" t="s">
        <v>154</v>
      </c>
      <c r="B209" s="15">
        <v>800</v>
      </c>
      <c r="C209" s="80" t="s">
        <v>1529</v>
      </c>
      <c r="D209" s="15" t="s">
        <v>416</v>
      </c>
      <c r="E209" s="15" t="s">
        <v>431</v>
      </c>
      <c r="F209" s="15" t="s">
        <v>1530</v>
      </c>
      <c r="G209" s="15" t="s">
        <v>1531</v>
      </c>
      <c r="H209" s="15" t="s">
        <v>1532</v>
      </c>
      <c r="I209" s="15" t="s">
        <v>158</v>
      </c>
      <c r="J209" s="15" t="s">
        <v>159</v>
      </c>
      <c r="K209" s="81" t="s">
        <v>3209</v>
      </c>
      <c r="L209" s="15" t="s">
        <v>351</v>
      </c>
    </row>
    <row r="210" spans="1:12" x14ac:dyDescent="0.25">
      <c r="A210" s="15" t="s">
        <v>154</v>
      </c>
      <c r="B210" s="15">
        <v>800</v>
      </c>
      <c r="C210" s="80" t="s">
        <v>1533</v>
      </c>
      <c r="D210" s="15" t="s">
        <v>416</v>
      </c>
      <c r="E210" s="15" t="s">
        <v>431</v>
      </c>
      <c r="F210" s="15" t="s">
        <v>1534</v>
      </c>
      <c r="G210" s="15" t="s">
        <v>1535</v>
      </c>
      <c r="H210" s="15" t="s">
        <v>1536</v>
      </c>
      <c r="I210" s="15" t="s">
        <v>158</v>
      </c>
      <c r="J210" s="15" t="s">
        <v>159</v>
      </c>
      <c r="K210" s="81" t="s">
        <v>3210</v>
      </c>
      <c r="L210" s="15" t="s">
        <v>1537</v>
      </c>
    </row>
    <row r="211" spans="1:12" x14ac:dyDescent="0.25">
      <c r="A211" s="15" t="s">
        <v>154</v>
      </c>
      <c r="B211" s="15">
        <v>800</v>
      </c>
      <c r="C211" s="80" t="s">
        <v>155</v>
      </c>
      <c r="D211" s="15" t="s">
        <v>416</v>
      </c>
      <c r="E211" s="15" t="s">
        <v>431</v>
      </c>
      <c r="F211" s="15" t="s">
        <v>156</v>
      </c>
      <c r="G211" s="15" t="s">
        <v>1538</v>
      </c>
      <c r="H211" s="15" t="s">
        <v>157</v>
      </c>
      <c r="I211" s="15" t="s">
        <v>158</v>
      </c>
      <c r="J211" s="15" t="s">
        <v>159</v>
      </c>
      <c r="K211" s="81" t="s">
        <v>3211</v>
      </c>
      <c r="L211" s="15" t="s">
        <v>160</v>
      </c>
    </row>
    <row r="212" spans="1:12" x14ac:dyDescent="0.25">
      <c r="A212" s="15" t="s">
        <v>154</v>
      </c>
      <c r="B212" s="15">
        <v>800</v>
      </c>
      <c r="C212" s="80" t="s">
        <v>1539</v>
      </c>
      <c r="D212" s="15" t="s">
        <v>416</v>
      </c>
      <c r="E212" s="15" t="s">
        <v>431</v>
      </c>
      <c r="F212" s="15" t="s">
        <v>1540</v>
      </c>
      <c r="G212" s="15" t="s">
        <v>1526</v>
      </c>
      <c r="H212" s="15" t="s">
        <v>1541</v>
      </c>
      <c r="I212" s="15" t="s">
        <v>1523</v>
      </c>
      <c r="J212" s="15" t="s">
        <v>159</v>
      </c>
      <c r="K212" s="81" t="s">
        <v>3212</v>
      </c>
      <c r="L212" s="15" t="s">
        <v>1542</v>
      </c>
    </row>
    <row r="213" spans="1:12" x14ac:dyDescent="0.25">
      <c r="A213" s="15" t="s">
        <v>154</v>
      </c>
      <c r="B213" s="15">
        <v>800</v>
      </c>
      <c r="C213" s="80" t="s">
        <v>1543</v>
      </c>
      <c r="D213" s="15" t="s">
        <v>416</v>
      </c>
      <c r="E213" s="15" t="s">
        <v>431</v>
      </c>
      <c r="F213" s="15" t="s">
        <v>1544</v>
      </c>
      <c r="G213" s="15" t="s">
        <v>2754</v>
      </c>
      <c r="H213" s="15" t="s">
        <v>1546</v>
      </c>
      <c r="I213" s="15" t="s">
        <v>1547</v>
      </c>
      <c r="J213" s="15" t="s">
        <v>159</v>
      </c>
      <c r="K213" s="81" t="s">
        <v>3213</v>
      </c>
      <c r="L213" s="15" t="s">
        <v>1548</v>
      </c>
    </row>
    <row r="214" spans="1:12" x14ac:dyDescent="0.25">
      <c r="A214" s="15" t="s">
        <v>154</v>
      </c>
      <c r="B214" s="15">
        <v>800</v>
      </c>
      <c r="C214" s="80" t="s">
        <v>1549</v>
      </c>
      <c r="D214" s="15" t="s">
        <v>416</v>
      </c>
      <c r="E214" s="15" t="s">
        <v>431</v>
      </c>
      <c r="F214" s="15" t="s">
        <v>1550</v>
      </c>
      <c r="G214" s="15" t="s">
        <v>1551</v>
      </c>
      <c r="H214" s="15" t="s">
        <v>1552</v>
      </c>
      <c r="I214" s="15" t="s">
        <v>1547</v>
      </c>
      <c r="J214" s="15" t="s">
        <v>159</v>
      </c>
      <c r="K214" s="81" t="s">
        <v>1553</v>
      </c>
      <c r="L214" s="15" t="s">
        <v>1554</v>
      </c>
    </row>
    <row r="215" spans="1:12" x14ac:dyDescent="0.25">
      <c r="A215" s="15" t="s">
        <v>161</v>
      </c>
      <c r="B215" s="15">
        <v>800</v>
      </c>
      <c r="C215" s="80" t="s">
        <v>2685</v>
      </c>
      <c r="D215" s="15" t="s">
        <v>416</v>
      </c>
      <c r="E215" s="15" t="s">
        <v>431</v>
      </c>
      <c r="F215" s="15" t="s">
        <v>2686</v>
      </c>
      <c r="G215" s="15" t="s">
        <v>2687</v>
      </c>
      <c r="H215" s="15" t="s">
        <v>2688</v>
      </c>
      <c r="I215" s="15" t="s">
        <v>2659</v>
      </c>
      <c r="J215" s="15" t="s">
        <v>166</v>
      </c>
      <c r="K215" s="81" t="s">
        <v>3214</v>
      </c>
      <c r="L215" s="15" t="s">
        <v>2689</v>
      </c>
    </row>
    <row r="216" spans="1:12" x14ac:dyDescent="0.25">
      <c r="A216" s="15" t="s">
        <v>161</v>
      </c>
      <c r="B216" s="15">
        <v>800</v>
      </c>
      <c r="C216" s="80" t="s">
        <v>2690</v>
      </c>
      <c r="D216" s="15" t="s">
        <v>416</v>
      </c>
      <c r="E216" s="15" t="s">
        <v>431</v>
      </c>
      <c r="F216" s="15" t="s">
        <v>2691</v>
      </c>
      <c r="G216" s="15" t="s">
        <v>2692</v>
      </c>
      <c r="H216" s="15" t="s">
        <v>2693</v>
      </c>
      <c r="I216" s="15" t="s">
        <v>2694</v>
      </c>
      <c r="J216" s="15" t="s">
        <v>166</v>
      </c>
      <c r="K216" s="81" t="s">
        <v>3215</v>
      </c>
      <c r="L216" s="15" t="s">
        <v>2695</v>
      </c>
    </row>
    <row r="217" spans="1:12" x14ac:dyDescent="0.25">
      <c r="A217" s="15" t="s">
        <v>161</v>
      </c>
      <c r="B217" s="15">
        <v>800</v>
      </c>
      <c r="C217" s="80" t="s">
        <v>2696</v>
      </c>
      <c r="D217" s="15" t="s">
        <v>416</v>
      </c>
      <c r="E217" s="15" t="s">
        <v>431</v>
      </c>
      <c r="F217" s="15" t="s">
        <v>2697</v>
      </c>
      <c r="G217" s="15" t="s">
        <v>2698</v>
      </c>
      <c r="H217" s="15" t="s">
        <v>2699</v>
      </c>
      <c r="I217" s="15" t="s">
        <v>2700</v>
      </c>
      <c r="J217" s="15" t="s">
        <v>166</v>
      </c>
      <c r="K217" s="81" t="s">
        <v>3216</v>
      </c>
      <c r="L217" s="15" t="s">
        <v>2701</v>
      </c>
    </row>
    <row r="218" spans="1:12" x14ac:dyDescent="0.25">
      <c r="A218" s="15" t="s">
        <v>161</v>
      </c>
      <c r="B218" s="15">
        <v>800</v>
      </c>
      <c r="C218" s="80" t="s">
        <v>2702</v>
      </c>
      <c r="D218" s="15" t="s">
        <v>416</v>
      </c>
      <c r="E218" s="15" t="s">
        <v>431</v>
      </c>
      <c r="F218" s="15" t="s">
        <v>2703</v>
      </c>
      <c r="G218" s="15" t="s">
        <v>2704</v>
      </c>
      <c r="H218" s="15" t="s">
        <v>2705</v>
      </c>
      <c r="I218" s="15" t="s">
        <v>2706</v>
      </c>
      <c r="J218" s="15" t="s">
        <v>166</v>
      </c>
      <c r="K218" s="81" t="s">
        <v>3217</v>
      </c>
      <c r="L218" s="15" t="s">
        <v>2707</v>
      </c>
    </row>
    <row r="219" spans="1:12" x14ac:dyDescent="0.25">
      <c r="A219" s="15" t="s">
        <v>161</v>
      </c>
      <c r="B219" s="15">
        <v>800</v>
      </c>
      <c r="C219" s="80" t="s">
        <v>2708</v>
      </c>
      <c r="D219" s="15" t="s">
        <v>416</v>
      </c>
      <c r="E219" s="15" t="s">
        <v>431</v>
      </c>
      <c r="F219" s="15" t="s">
        <v>2709</v>
      </c>
      <c r="G219" s="15" t="s">
        <v>2710</v>
      </c>
      <c r="H219" s="15" t="s">
        <v>2711</v>
      </c>
      <c r="I219" s="15" t="s">
        <v>2659</v>
      </c>
      <c r="J219" s="15" t="s">
        <v>166</v>
      </c>
      <c r="K219" s="81" t="s">
        <v>3218</v>
      </c>
      <c r="L219" s="15" t="s">
        <v>2712</v>
      </c>
    </row>
    <row r="220" spans="1:12" x14ac:dyDescent="0.25">
      <c r="A220" s="15" t="s">
        <v>161</v>
      </c>
      <c r="B220" s="15">
        <v>800</v>
      </c>
      <c r="C220" s="80" t="s">
        <v>2713</v>
      </c>
      <c r="D220" s="15" t="s">
        <v>416</v>
      </c>
      <c r="E220" s="15" t="s">
        <v>431</v>
      </c>
      <c r="F220" s="15" t="s">
        <v>2714</v>
      </c>
      <c r="G220" s="15" t="s">
        <v>2715</v>
      </c>
      <c r="H220" s="15" t="s">
        <v>2716</v>
      </c>
      <c r="I220" s="15" t="s">
        <v>2717</v>
      </c>
      <c r="J220" s="15" t="s">
        <v>166</v>
      </c>
      <c r="K220" s="81" t="s">
        <v>3219</v>
      </c>
      <c r="L220" s="15" t="s">
        <v>2718</v>
      </c>
    </row>
    <row r="221" spans="1:12" x14ac:dyDescent="0.25">
      <c r="A221" s="15" t="s">
        <v>161</v>
      </c>
      <c r="B221" s="15">
        <v>800</v>
      </c>
      <c r="C221" s="80" t="s">
        <v>2719</v>
      </c>
      <c r="D221" s="15" t="s">
        <v>416</v>
      </c>
      <c r="E221" s="15" t="s">
        <v>431</v>
      </c>
      <c r="F221" s="15" t="s">
        <v>2720</v>
      </c>
      <c r="G221" s="15" t="s">
        <v>2721</v>
      </c>
      <c r="H221" s="15" t="s">
        <v>2722</v>
      </c>
      <c r="I221" s="15" t="s">
        <v>2659</v>
      </c>
      <c r="J221" s="15" t="s">
        <v>166</v>
      </c>
      <c r="K221" s="81" t="s">
        <v>2723</v>
      </c>
      <c r="L221" s="15" t="s">
        <v>2724</v>
      </c>
    </row>
    <row r="222" spans="1:12" x14ac:dyDescent="0.25">
      <c r="A222" s="15" t="s">
        <v>161</v>
      </c>
      <c r="B222" s="15">
        <v>800</v>
      </c>
      <c r="C222" s="80" t="s">
        <v>2725</v>
      </c>
      <c r="D222" s="15" t="s">
        <v>416</v>
      </c>
      <c r="E222" s="15" t="s">
        <v>431</v>
      </c>
      <c r="F222" s="15" t="s">
        <v>2726</v>
      </c>
      <c r="G222" s="15" t="s">
        <v>2727</v>
      </c>
      <c r="H222" s="15" t="s">
        <v>2728</v>
      </c>
      <c r="I222" s="15" t="s">
        <v>2659</v>
      </c>
      <c r="J222" s="15" t="s">
        <v>166</v>
      </c>
      <c r="K222" s="81" t="s">
        <v>3220</v>
      </c>
      <c r="L222" s="15" t="s">
        <v>2729</v>
      </c>
    </row>
    <row r="223" spans="1:12" x14ac:dyDescent="0.25">
      <c r="A223" s="15" t="s">
        <v>161</v>
      </c>
      <c r="B223" s="15">
        <v>800</v>
      </c>
      <c r="C223" s="80" t="s">
        <v>2730</v>
      </c>
      <c r="D223" s="15" t="s">
        <v>416</v>
      </c>
      <c r="E223" s="15" t="s">
        <v>431</v>
      </c>
      <c r="F223" s="15" t="s">
        <v>2731</v>
      </c>
      <c r="G223" s="15" t="s">
        <v>2732</v>
      </c>
      <c r="H223" s="15" t="s">
        <v>2733</v>
      </c>
      <c r="I223" s="15" t="s">
        <v>2734</v>
      </c>
      <c r="J223" s="15" t="s">
        <v>166</v>
      </c>
      <c r="K223" s="81" t="s">
        <v>3221</v>
      </c>
      <c r="L223" s="15" t="s">
        <v>2735</v>
      </c>
    </row>
    <row r="224" spans="1:12" x14ac:dyDescent="0.25">
      <c r="A224" s="15" t="s">
        <v>161</v>
      </c>
      <c r="B224" s="15">
        <v>800</v>
      </c>
      <c r="C224" s="80" t="s">
        <v>2736</v>
      </c>
      <c r="D224" s="15" t="s">
        <v>416</v>
      </c>
      <c r="E224" s="15" t="s">
        <v>431</v>
      </c>
      <c r="F224" s="15" t="s">
        <v>2737</v>
      </c>
      <c r="G224" s="15" t="s">
        <v>2738</v>
      </c>
      <c r="H224" s="15" t="s">
        <v>2739</v>
      </c>
      <c r="I224" s="15" t="s">
        <v>2740</v>
      </c>
      <c r="J224" s="15" t="s">
        <v>166</v>
      </c>
      <c r="K224" s="81" t="s">
        <v>3222</v>
      </c>
      <c r="L224" s="15" t="s">
        <v>2741</v>
      </c>
    </row>
    <row r="225" spans="1:12" x14ac:dyDescent="0.25">
      <c r="A225" s="15" t="s">
        <v>161</v>
      </c>
      <c r="B225" s="15">
        <v>800</v>
      </c>
      <c r="C225" s="80" t="s">
        <v>2742</v>
      </c>
      <c r="D225" s="15" t="s">
        <v>416</v>
      </c>
      <c r="E225" s="15" t="s">
        <v>431</v>
      </c>
      <c r="F225" s="15" t="s">
        <v>2743</v>
      </c>
      <c r="G225" s="15" t="s">
        <v>2744</v>
      </c>
      <c r="H225" s="15" t="s">
        <v>2745</v>
      </c>
      <c r="I225" s="15" t="s">
        <v>2746</v>
      </c>
      <c r="J225" s="15" t="s">
        <v>166</v>
      </c>
      <c r="K225" s="81" t="s">
        <v>3223</v>
      </c>
      <c r="L225" s="15" t="s">
        <v>2747</v>
      </c>
    </row>
    <row r="226" spans="1:12" x14ac:dyDescent="0.25">
      <c r="A226" s="15" t="s">
        <v>161</v>
      </c>
      <c r="B226" s="15">
        <v>800</v>
      </c>
      <c r="C226" s="80" t="s">
        <v>2748</v>
      </c>
      <c r="D226" s="15" t="s">
        <v>416</v>
      </c>
      <c r="E226" s="15" t="s">
        <v>431</v>
      </c>
      <c r="F226" s="15" t="s">
        <v>2749</v>
      </c>
      <c r="G226" s="15" t="s">
        <v>3224</v>
      </c>
      <c r="H226" s="15" t="s">
        <v>2751</v>
      </c>
      <c r="I226" s="15" t="s">
        <v>2752</v>
      </c>
      <c r="J226" s="15" t="s">
        <v>166</v>
      </c>
      <c r="K226" s="81" t="s">
        <v>3225</v>
      </c>
      <c r="L226" s="15" t="s">
        <v>2753</v>
      </c>
    </row>
    <row r="227" spans="1:12" x14ac:dyDescent="0.25">
      <c r="A227" s="15" t="s">
        <v>161</v>
      </c>
      <c r="B227" s="15">
        <v>800</v>
      </c>
      <c r="C227" s="80" t="s">
        <v>162</v>
      </c>
      <c r="D227" s="15" t="s">
        <v>416</v>
      </c>
      <c r="E227" s="15" t="s">
        <v>431</v>
      </c>
      <c r="F227" s="15" t="s">
        <v>163</v>
      </c>
      <c r="G227" s="15" t="s">
        <v>2774</v>
      </c>
      <c r="H227" s="15" t="s">
        <v>164</v>
      </c>
      <c r="I227" s="15" t="s">
        <v>165</v>
      </c>
      <c r="J227" s="15" t="s">
        <v>166</v>
      </c>
      <c r="K227" s="81" t="s">
        <v>3226</v>
      </c>
      <c r="L227" s="15" t="s">
        <v>167</v>
      </c>
    </row>
    <row r="228" spans="1:12" x14ac:dyDescent="0.25">
      <c r="A228" s="15" t="s">
        <v>161</v>
      </c>
      <c r="B228" s="15">
        <v>800</v>
      </c>
      <c r="C228" s="80" t="s">
        <v>2755</v>
      </c>
      <c r="D228" s="15" t="s">
        <v>527</v>
      </c>
      <c r="E228" s="15" t="s">
        <v>431</v>
      </c>
      <c r="F228" s="15" t="s">
        <v>2756</v>
      </c>
      <c r="G228" s="15" t="s">
        <v>2757</v>
      </c>
      <c r="H228" s="15" t="s">
        <v>2758</v>
      </c>
      <c r="I228" s="15" t="s">
        <v>2759</v>
      </c>
      <c r="J228" s="15" t="s">
        <v>166</v>
      </c>
      <c r="K228" s="81" t="s">
        <v>3227</v>
      </c>
      <c r="L228" s="15" t="s">
        <v>2760</v>
      </c>
    </row>
    <row r="229" spans="1:12" x14ac:dyDescent="0.25">
      <c r="A229" s="15" t="s">
        <v>161</v>
      </c>
      <c r="B229" s="15">
        <v>800</v>
      </c>
      <c r="C229" s="80" t="s">
        <v>2761</v>
      </c>
      <c r="D229" s="15" t="s">
        <v>416</v>
      </c>
      <c r="E229" s="15" t="s">
        <v>431</v>
      </c>
      <c r="F229" s="15" t="s">
        <v>2762</v>
      </c>
      <c r="G229" s="15" t="s">
        <v>2763</v>
      </c>
      <c r="H229" s="15" t="s">
        <v>2764</v>
      </c>
      <c r="I229" s="15" t="s">
        <v>2765</v>
      </c>
      <c r="J229" s="15" t="s">
        <v>166</v>
      </c>
      <c r="K229" s="81" t="s">
        <v>3228</v>
      </c>
      <c r="L229" s="15" t="s">
        <v>2766</v>
      </c>
    </row>
    <row r="230" spans="1:12" x14ac:dyDescent="0.25">
      <c r="A230" s="15" t="s">
        <v>161</v>
      </c>
      <c r="B230" s="15">
        <v>800</v>
      </c>
      <c r="C230" s="80" t="s">
        <v>2767</v>
      </c>
      <c r="D230" s="15" t="s">
        <v>416</v>
      </c>
      <c r="E230" s="15" t="s">
        <v>431</v>
      </c>
      <c r="F230" s="15" t="s">
        <v>2768</v>
      </c>
      <c r="G230" s="15" t="s">
        <v>2769</v>
      </c>
      <c r="H230" s="15" t="s">
        <v>2770</v>
      </c>
      <c r="I230" s="15" t="s">
        <v>2740</v>
      </c>
      <c r="J230" s="15" t="s">
        <v>166</v>
      </c>
      <c r="K230" s="81" t="s">
        <v>3229</v>
      </c>
      <c r="L230" s="15" t="s">
        <v>2771</v>
      </c>
    </row>
    <row r="231" spans="1:12" x14ac:dyDescent="0.25">
      <c r="A231" s="15" t="s">
        <v>161</v>
      </c>
      <c r="B231" s="15">
        <v>800</v>
      </c>
      <c r="C231" s="80" t="s">
        <v>2772</v>
      </c>
      <c r="D231" s="15" t="s">
        <v>416</v>
      </c>
      <c r="E231" s="15" t="s">
        <v>431</v>
      </c>
      <c r="F231" s="15" t="s">
        <v>2773</v>
      </c>
      <c r="G231" s="15" t="s">
        <v>2750</v>
      </c>
      <c r="H231" s="15" t="s">
        <v>2775</v>
      </c>
      <c r="I231" s="15" t="s">
        <v>2776</v>
      </c>
      <c r="J231" s="15" t="s">
        <v>166</v>
      </c>
      <c r="K231" s="81" t="s">
        <v>3228</v>
      </c>
      <c r="L231" s="15" t="s">
        <v>2777</v>
      </c>
    </row>
    <row r="232" spans="1:12" x14ac:dyDescent="0.25">
      <c r="A232" s="15" t="s">
        <v>126</v>
      </c>
      <c r="B232" s="15">
        <v>800</v>
      </c>
      <c r="C232" s="80" t="s">
        <v>2799</v>
      </c>
      <c r="D232" s="15" t="s">
        <v>416</v>
      </c>
      <c r="E232" s="15" t="s">
        <v>431</v>
      </c>
      <c r="F232" s="15" t="s">
        <v>2800</v>
      </c>
      <c r="G232" s="15" t="s">
        <v>2801</v>
      </c>
      <c r="H232" s="15" t="s">
        <v>2802</v>
      </c>
      <c r="I232" s="15" t="s">
        <v>130</v>
      </c>
      <c r="J232" s="15" t="s">
        <v>131</v>
      </c>
      <c r="K232" s="81" t="s">
        <v>3230</v>
      </c>
      <c r="L232" s="15" t="s">
        <v>2803</v>
      </c>
    </row>
    <row r="233" spans="1:12" x14ac:dyDescent="0.25">
      <c r="A233" s="15" t="s">
        <v>126</v>
      </c>
      <c r="B233" s="15">
        <v>800</v>
      </c>
      <c r="C233" s="80" t="s">
        <v>2804</v>
      </c>
      <c r="D233" s="15" t="s">
        <v>416</v>
      </c>
      <c r="E233" s="15" t="s">
        <v>431</v>
      </c>
      <c r="F233" s="15" t="s">
        <v>2805</v>
      </c>
      <c r="G233" s="15" t="s">
        <v>2995</v>
      </c>
      <c r="H233" s="15" t="s">
        <v>2806</v>
      </c>
      <c r="I233" s="15" t="s">
        <v>130</v>
      </c>
      <c r="J233" s="15" t="s">
        <v>131</v>
      </c>
      <c r="K233" s="81" t="s">
        <v>3231</v>
      </c>
      <c r="L233" s="15" t="s">
        <v>2807</v>
      </c>
    </row>
    <row r="234" spans="1:12" x14ac:dyDescent="0.25">
      <c r="A234" s="15" t="s">
        <v>126</v>
      </c>
      <c r="B234" s="15">
        <v>800</v>
      </c>
      <c r="C234" s="80" t="s">
        <v>2808</v>
      </c>
      <c r="D234" s="15" t="s">
        <v>416</v>
      </c>
      <c r="E234" s="15" t="s">
        <v>431</v>
      </c>
      <c r="F234" s="15" t="s">
        <v>2809</v>
      </c>
      <c r="G234" s="15" t="s">
        <v>2810</v>
      </c>
      <c r="H234" s="15" t="s">
        <v>2811</v>
      </c>
      <c r="I234" s="15" t="s">
        <v>130</v>
      </c>
      <c r="J234" s="15" t="s">
        <v>131</v>
      </c>
      <c r="K234" s="81" t="s">
        <v>3185</v>
      </c>
      <c r="L234" s="15" t="s">
        <v>2812</v>
      </c>
    </row>
    <row r="235" spans="1:12" x14ac:dyDescent="0.25">
      <c r="A235" s="15" t="s">
        <v>126</v>
      </c>
      <c r="B235" s="15">
        <v>800</v>
      </c>
      <c r="C235" s="80" t="s">
        <v>2813</v>
      </c>
      <c r="D235" s="15" t="s">
        <v>416</v>
      </c>
      <c r="E235" s="15" t="s">
        <v>431</v>
      </c>
      <c r="F235" s="15" t="s">
        <v>2814</v>
      </c>
      <c r="G235" s="15" t="s">
        <v>2815</v>
      </c>
      <c r="H235" s="15" t="s">
        <v>2816</v>
      </c>
      <c r="I235" s="15" t="s">
        <v>130</v>
      </c>
      <c r="J235" s="15" t="s">
        <v>131</v>
      </c>
      <c r="K235" s="81" t="s">
        <v>3232</v>
      </c>
      <c r="L235" s="15" t="s">
        <v>2817</v>
      </c>
    </row>
    <row r="236" spans="1:12" x14ac:dyDescent="0.25">
      <c r="A236" s="15" t="s">
        <v>168</v>
      </c>
      <c r="B236" s="15">
        <v>800</v>
      </c>
      <c r="C236" s="80" t="s">
        <v>2823</v>
      </c>
      <c r="D236" s="15" t="s">
        <v>430</v>
      </c>
      <c r="E236" s="15" t="s">
        <v>431</v>
      </c>
      <c r="F236" s="15" t="s">
        <v>2824</v>
      </c>
      <c r="G236" s="15" t="s">
        <v>2825</v>
      </c>
      <c r="H236" s="15" t="s">
        <v>2826</v>
      </c>
      <c r="I236" s="15" t="s">
        <v>172</v>
      </c>
      <c r="J236" s="15" t="s">
        <v>131</v>
      </c>
      <c r="K236" s="81" t="s">
        <v>3233</v>
      </c>
      <c r="L236" s="15" t="s">
        <v>2827</v>
      </c>
    </row>
    <row r="237" spans="1:12" x14ac:dyDescent="0.25">
      <c r="A237" s="15" t="s">
        <v>168</v>
      </c>
      <c r="B237" s="15">
        <v>800</v>
      </c>
      <c r="C237" s="80" t="s">
        <v>2828</v>
      </c>
      <c r="D237" s="15" t="s">
        <v>416</v>
      </c>
      <c r="E237" s="15" t="s">
        <v>431</v>
      </c>
      <c r="F237" s="15" t="s">
        <v>2829</v>
      </c>
      <c r="G237" s="15" t="s">
        <v>2996</v>
      </c>
      <c r="H237" s="15" t="s">
        <v>2830</v>
      </c>
      <c r="I237" s="15" t="s">
        <v>333</v>
      </c>
      <c r="J237" s="15" t="s">
        <v>131</v>
      </c>
      <c r="K237" s="81" t="s">
        <v>3234</v>
      </c>
      <c r="L237" s="15" t="s">
        <v>2831</v>
      </c>
    </row>
    <row r="238" spans="1:12" x14ac:dyDescent="0.25">
      <c r="A238" s="15" t="s">
        <v>168</v>
      </c>
      <c r="B238" s="15">
        <v>800</v>
      </c>
      <c r="C238" s="80" t="s">
        <v>2832</v>
      </c>
      <c r="D238" s="15" t="s">
        <v>416</v>
      </c>
      <c r="E238" s="15" t="s">
        <v>431</v>
      </c>
      <c r="F238" s="15" t="s">
        <v>2833</v>
      </c>
      <c r="G238" s="15" t="s">
        <v>2834</v>
      </c>
      <c r="H238" s="15" t="s">
        <v>2835</v>
      </c>
      <c r="I238" s="15" t="s">
        <v>2836</v>
      </c>
      <c r="J238" s="15" t="s">
        <v>131</v>
      </c>
      <c r="K238" s="81" t="s">
        <v>3235</v>
      </c>
      <c r="L238" s="15" t="s">
        <v>2837</v>
      </c>
    </row>
    <row r="239" spans="1:12" x14ac:dyDescent="0.25">
      <c r="A239" s="15" t="s">
        <v>168</v>
      </c>
      <c r="B239" s="15">
        <v>800</v>
      </c>
      <c r="C239" s="80" t="s">
        <v>2838</v>
      </c>
      <c r="D239" s="15" t="s">
        <v>416</v>
      </c>
      <c r="E239" s="15" t="s">
        <v>431</v>
      </c>
      <c r="F239" s="15" t="s">
        <v>2839</v>
      </c>
      <c r="G239" s="15" t="s">
        <v>2840</v>
      </c>
      <c r="H239" s="15" t="s">
        <v>2841</v>
      </c>
      <c r="I239" s="15" t="s">
        <v>2836</v>
      </c>
      <c r="J239" s="15" t="s">
        <v>131</v>
      </c>
      <c r="K239" s="81" t="s">
        <v>3235</v>
      </c>
      <c r="L239" s="15" t="s">
        <v>2842</v>
      </c>
    </row>
    <row r="240" spans="1:12" x14ac:dyDescent="0.25">
      <c r="A240" s="15" t="s">
        <v>168</v>
      </c>
      <c r="B240" s="15">
        <v>800</v>
      </c>
      <c r="C240" s="80" t="s">
        <v>169</v>
      </c>
      <c r="D240" s="15" t="s">
        <v>416</v>
      </c>
      <c r="E240" s="15" t="s">
        <v>431</v>
      </c>
      <c r="F240" s="15" t="s">
        <v>170</v>
      </c>
      <c r="G240" s="15" t="s">
        <v>2843</v>
      </c>
      <c r="H240" s="15" t="s">
        <v>171</v>
      </c>
      <c r="I240" s="15" t="s">
        <v>172</v>
      </c>
      <c r="J240" s="15" t="s">
        <v>131</v>
      </c>
      <c r="K240" s="81" t="s">
        <v>3233</v>
      </c>
      <c r="L240" s="15" t="s">
        <v>173</v>
      </c>
    </row>
    <row r="241" spans="1:12" x14ac:dyDescent="0.25">
      <c r="A241" s="15" t="s">
        <v>168</v>
      </c>
      <c r="B241" s="15">
        <v>800</v>
      </c>
      <c r="C241" s="80" t="s">
        <v>2844</v>
      </c>
      <c r="D241" s="15" t="s">
        <v>416</v>
      </c>
      <c r="E241" s="15" t="s">
        <v>431</v>
      </c>
      <c r="F241" s="15" t="s">
        <v>2845</v>
      </c>
      <c r="G241" s="15" t="s">
        <v>2846</v>
      </c>
      <c r="H241" s="15" t="s">
        <v>2847</v>
      </c>
      <c r="I241" s="15" t="s">
        <v>172</v>
      </c>
      <c r="J241" s="15" t="s">
        <v>131</v>
      </c>
      <c r="K241" s="81" t="s">
        <v>3233</v>
      </c>
      <c r="L241" s="15" t="s">
        <v>2848</v>
      </c>
    </row>
    <row r="242" spans="1:12" x14ac:dyDescent="0.25">
      <c r="A242" s="15" t="s">
        <v>168</v>
      </c>
      <c r="B242" s="15">
        <v>800</v>
      </c>
      <c r="C242" s="80" t="s">
        <v>2849</v>
      </c>
      <c r="D242" s="15" t="s">
        <v>416</v>
      </c>
      <c r="E242" s="15" t="s">
        <v>431</v>
      </c>
      <c r="F242" s="15" t="s">
        <v>2850</v>
      </c>
      <c r="G242" s="15" t="s">
        <v>2851</v>
      </c>
      <c r="H242" s="15" t="s">
        <v>2852</v>
      </c>
      <c r="I242" s="15" t="s">
        <v>2853</v>
      </c>
      <c r="J242" s="15" t="s">
        <v>131</v>
      </c>
      <c r="K242" s="81" t="s">
        <v>3236</v>
      </c>
      <c r="L242" s="15" t="s">
        <v>2854</v>
      </c>
    </row>
    <row r="243" spans="1:12" x14ac:dyDescent="0.25">
      <c r="A243" s="15" t="s">
        <v>168</v>
      </c>
      <c r="B243" s="15">
        <v>800</v>
      </c>
      <c r="C243" s="80" t="s">
        <v>2855</v>
      </c>
      <c r="D243" s="15" t="s">
        <v>416</v>
      </c>
      <c r="E243" s="15" t="s">
        <v>431</v>
      </c>
      <c r="F243" s="15" t="s">
        <v>2856</v>
      </c>
      <c r="G243" s="15" t="s">
        <v>2857</v>
      </c>
      <c r="H243" s="15" t="s">
        <v>2858</v>
      </c>
      <c r="I243" s="15" t="s">
        <v>2859</v>
      </c>
      <c r="J243" s="15" t="s">
        <v>131</v>
      </c>
      <c r="K243" s="81" t="s">
        <v>3237</v>
      </c>
      <c r="L243" s="15" t="s">
        <v>2860</v>
      </c>
    </row>
    <row r="244" spans="1:12" x14ac:dyDescent="0.25">
      <c r="A244" s="15" t="s">
        <v>174</v>
      </c>
      <c r="B244" s="15">
        <v>801</v>
      </c>
      <c r="C244" s="80" t="s">
        <v>1850</v>
      </c>
      <c r="D244" s="15" t="s">
        <v>430</v>
      </c>
      <c r="E244" s="15" t="s">
        <v>431</v>
      </c>
      <c r="F244" s="15" t="s">
        <v>1851</v>
      </c>
      <c r="G244" s="15" t="s">
        <v>1852</v>
      </c>
      <c r="H244" s="15" t="s">
        <v>1853</v>
      </c>
      <c r="I244" s="15" t="s">
        <v>1854</v>
      </c>
      <c r="J244" s="15" t="s">
        <v>179</v>
      </c>
      <c r="K244" s="81" t="s">
        <v>3238</v>
      </c>
      <c r="L244" s="15" t="s">
        <v>1855</v>
      </c>
    </row>
    <row r="245" spans="1:12" x14ac:dyDescent="0.25">
      <c r="A245" s="15" t="s">
        <v>174</v>
      </c>
      <c r="B245" s="15">
        <v>801</v>
      </c>
      <c r="C245" s="80" t="s">
        <v>1856</v>
      </c>
      <c r="D245" s="15" t="s">
        <v>430</v>
      </c>
      <c r="E245" s="15" t="s">
        <v>431</v>
      </c>
      <c r="F245" s="15" t="s">
        <v>1857</v>
      </c>
      <c r="G245" s="15" t="s">
        <v>1858</v>
      </c>
      <c r="H245" s="15" t="s">
        <v>1859</v>
      </c>
      <c r="I245" s="15" t="s">
        <v>1860</v>
      </c>
      <c r="J245" s="15" t="s">
        <v>179</v>
      </c>
      <c r="K245" s="81" t="s">
        <v>1861</v>
      </c>
      <c r="L245" s="15" t="s">
        <v>1862</v>
      </c>
    </row>
    <row r="246" spans="1:12" x14ac:dyDescent="0.25">
      <c r="A246" s="15" t="s">
        <v>174</v>
      </c>
      <c r="B246" s="15">
        <v>801</v>
      </c>
      <c r="C246" s="80" t="s">
        <v>1863</v>
      </c>
      <c r="D246" s="15" t="s">
        <v>430</v>
      </c>
      <c r="E246" s="15" t="s">
        <v>431</v>
      </c>
      <c r="F246" s="15" t="s">
        <v>1864</v>
      </c>
      <c r="G246" s="15" t="s">
        <v>2997</v>
      </c>
      <c r="H246" s="15" t="s">
        <v>1865</v>
      </c>
      <c r="I246" s="15" t="s">
        <v>1866</v>
      </c>
      <c r="J246" s="15" t="s">
        <v>179</v>
      </c>
      <c r="K246" s="81" t="s">
        <v>3239</v>
      </c>
      <c r="L246" s="15" t="s">
        <v>1867</v>
      </c>
    </row>
    <row r="247" spans="1:12" x14ac:dyDescent="0.25">
      <c r="A247" s="15" t="s">
        <v>174</v>
      </c>
      <c r="B247" s="15">
        <v>801</v>
      </c>
      <c r="C247" s="80" t="s">
        <v>1868</v>
      </c>
      <c r="D247" s="15" t="s">
        <v>430</v>
      </c>
      <c r="E247" s="15" t="s">
        <v>431</v>
      </c>
      <c r="F247" s="15" t="s">
        <v>1869</v>
      </c>
      <c r="G247" s="15" t="s">
        <v>1870</v>
      </c>
      <c r="H247" s="15" t="s">
        <v>1871</v>
      </c>
      <c r="I247" s="15" t="s">
        <v>1872</v>
      </c>
      <c r="J247" s="15" t="s">
        <v>179</v>
      </c>
      <c r="K247" s="81" t="s">
        <v>3240</v>
      </c>
      <c r="L247" s="15" t="s">
        <v>1873</v>
      </c>
    </row>
    <row r="248" spans="1:12" x14ac:dyDescent="0.25">
      <c r="A248" s="15" t="s">
        <v>174</v>
      </c>
      <c r="B248" s="15">
        <v>801</v>
      </c>
      <c r="C248" s="80" t="s">
        <v>1874</v>
      </c>
      <c r="D248" s="15" t="s">
        <v>416</v>
      </c>
      <c r="E248" s="15" t="s">
        <v>431</v>
      </c>
      <c r="F248" s="15" t="s">
        <v>1875</v>
      </c>
      <c r="G248" s="15" t="s">
        <v>1876</v>
      </c>
      <c r="H248" s="15" t="s">
        <v>1877</v>
      </c>
      <c r="I248" s="15" t="s">
        <v>1878</v>
      </c>
      <c r="J248" s="15" t="s">
        <v>179</v>
      </c>
      <c r="K248" s="81" t="s">
        <v>3241</v>
      </c>
      <c r="L248" s="15" t="s">
        <v>1879</v>
      </c>
    </row>
    <row r="249" spans="1:12" x14ac:dyDescent="0.25">
      <c r="A249" s="15" t="s">
        <v>174</v>
      </c>
      <c r="B249" s="15">
        <v>801</v>
      </c>
      <c r="C249" s="80" t="s">
        <v>1880</v>
      </c>
      <c r="D249" s="15" t="s">
        <v>416</v>
      </c>
      <c r="E249" s="15" t="s">
        <v>431</v>
      </c>
      <c r="F249" s="15" t="s">
        <v>1881</v>
      </c>
      <c r="G249" s="15" t="s">
        <v>1886</v>
      </c>
      <c r="H249" s="15" t="s">
        <v>1882</v>
      </c>
      <c r="I249" s="15" t="s">
        <v>1773</v>
      </c>
      <c r="J249" s="15" t="s">
        <v>179</v>
      </c>
      <c r="K249" s="81" t="s">
        <v>3242</v>
      </c>
      <c r="L249" s="15" t="s">
        <v>1883</v>
      </c>
    </row>
    <row r="250" spans="1:12" x14ac:dyDescent="0.25">
      <c r="A250" s="15" t="s">
        <v>174</v>
      </c>
      <c r="B250" s="15">
        <v>801</v>
      </c>
      <c r="C250" s="80" t="s">
        <v>1884</v>
      </c>
      <c r="D250" s="15" t="s">
        <v>527</v>
      </c>
      <c r="E250" s="15" t="s">
        <v>431</v>
      </c>
      <c r="F250" s="15" t="s">
        <v>1885</v>
      </c>
      <c r="G250" s="15" t="s">
        <v>1886</v>
      </c>
      <c r="H250" s="15" t="s">
        <v>1887</v>
      </c>
      <c r="I250" s="15" t="s">
        <v>1888</v>
      </c>
      <c r="J250" s="15" t="s">
        <v>179</v>
      </c>
      <c r="K250" s="81" t="s">
        <v>3243</v>
      </c>
      <c r="L250" s="15" t="s">
        <v>1889</v>
      </c>
    </row>
    <row r="251" spans="1:12" x14ac:dyDescent="0.25">
      <c r="A251" s="15" t="s">
        <v>174</v>
      </c>
      <c r="B251" s="15">
        <v>801</v>
      </c>
      <c r="C251" s="80" t="s">
        <v>1890</v>
      </c>
      <c r="D251" s="15" t="s">
        <v>416</v>
      </c>
      <c r="E251" s="15" t="s">
        <v>431</v>
      </c>
      <c r="F251" s="15" t="s">
        <v>1891</v>
      </c>
      <c r="G251" s="15" t="s">
        <v>1892</v>
      </c>
      <c r="H251" s="15" t="s">
        <v>1893</v>
      </c>
      <c r="I251" s="15" t="s">
        <v>1888</v>
      </c>
      <c r="J251" s="15" t="s">
        <v>179</v>
      </c>
      <c r="K251" s="81" t="s">
        <v>3244</v>
      </c>
      <c r="L251" s="15" t="s">
        <v>1894</v>
      </c>
    </row>
    <row r="252" spans="1:12" x14ac:dyDescent="0.25">
      <c r="A252" s="15" t="s">
        <v>174</v>
      </c>
      <c r="B252" s="15">
        <v>801</v>
      </c>
      <c r="C252" s="80" t="s">
        <v>1895</v>
      </c>
      <c r="D252" s="15" t="s">
        <v>416</v>
      </c>
      <c r="E252" s="15" t="s">
        <v>431</v>
      </c>
      <c r="F252" s="15" t="s">
        <v>1896</v>
      </c>
      <c r="G252" s="15" t="s">
        <v>1897</v>
      </c>
      <c r="H252" s="15" t="s">
        <v>1898</v>
      </c>
      <c r="I252" s="15" t="s">
        <v>1888</v>
      </c>
      <c r="J252" s="15" t="s">
        <v>179</v>
      </c>
      <c r="K252" s="81" t="s">
        <v>3243</v>
      </c>
      <c r="L252" s="15" t="s">
        <v>1899</v>
      </c>
    </row>
    <row r="253" spans="1:12" x14ac:dyDescent="0.25">
      <c r="A253" s="15" t="s">
        <v>361</v>
      </c>
      <c r="B253" s="15">
        <v>801</v>
      </c>
      <c r="C253" s="80" t="s">
        <v>1555</v>
      </c>
      <c r="D253" s="15" t="s">
        <v>430</v>
      </c>
      <c r="E253" s="15" t="s">
        <v>431</v>
      </c>
      <c r="F253" s="15" t="s">
        <v>1556</v>
      </c>
      <c r="G253" s="15" t="s">
        <v>1557</v>
      </c>
      <c r="H253" s="15" t="s">
        <v>364</v>
      </c>
      <c r="I253" s="15" t="s">
        <v>365</v>
      </c>
      <c r="J253" s="15" t="s">
        <v>366</v>
      </c>
      <c r="K253" s="81" t="s">
        <v>3245</v>
      </c>
      <c r="L253" s="15" t="s">
        <v>1558</v>
      </c>
    </row>
    <row r="254" spans="1:12" x14ac:dyDescent="0.25">
      <c r="A254" s="15" t="s">
        <v>361</v>
      </c>
      <c r="B254" s="15">
        <v>801</v>
      </c>
      <c r="C254" s="80" t="s">
        <v>1559</v>
      </c>
      <c r="D254" s="15" t="s">
        <v>527</v>
      </c>
      <c r="E254" s="15" t="s">
        <v>431</v>
      </c>
      <c r="F254" s="15" t="s">
        <v>1560</v>
      </c>
      <c r="G254" s="15" t="s">
        <v>1561</v>
      </c>
      <c r="H254" s="15" t="s">
        <v>1562</v>
      </c>
      <c r="I254" s="15" t="s">
        <v>1563</v>
      </c>
      <c r="J254" s="15" t="s">
        <v>366</v>
      </c>
      <c r="K254" s="81" t="s">
        <v>3246</v>
      </c>
      <c r="L254" s="15" t="s">
        <v>1564</v>
      </c>
    </row>
    <row r="255" spans="1:12" x14ac:dyDescent="0.25">
      <c r="A255" s="15" t="s">
        <v>253</v>
      </c>
      <c r="B255" s="15">
        <v>801</v>
      </c>
      <c r="C255" s="80" t="s">
        <v>2106</v>
      </c>
      <c r="D255" s="15" t="s">
        <v>416</v>
      </c>
      <c r="E255" s="15" t="s">
        <v>431</v>
      </c>
      <c r="F255" s="15" t="s">
        <v>2107</v>
      </c>
      <c r="G255" s="15" t="s">
        <v>3247</v>
      </c>
      <c r="H255" s="15" t="s">
        <v>2109</v>
      </c>
      <c r="I255" s="15" t="s">
        <v>2110</v>
      </c>
      <c r="J255" s="15" t="s">
        <v>257</v>
      </c>
      <c r="K255" s="81" t="s">
        <v>3248</v>
      </c>
      <c r="L255" s="15" t="s">
        <v>2111</v>
      </c>
    </row>
    <row r="256" spans="1:12" x14ac:dyDescent="0.25">
      <c r="A256" s="15" t="s">
        <v>253</v>
      </c>
      <c r="B256" s="15">
        <v>801</v>
      </c>
      <c r="C256" s="80" t="s">
        <v>2112</v>
      </c>
      <c r="D256" s="15" t="s">
        <v>430</v>
      </c>
      <c r="E256" s="15" t="s">
        <v>431</v>
      </c>
      <c r="F256" s="15" t="s">
        <v>2113</v>
      </c>
      <c r="G256" s="15" t="s">
        <v>2114</v>
      </c>
      <c r="H256" s="15" t="s">
        <v>2115</v>
      </c>
      <c r="I256" s="15" t="s">
        <v>2116</v>
      </c>
      <c r="J256" s="15" t="s">
        <v>257</v>
      </c>
      <c r="K256" s="81" t="s">
        <v>3249</v>
      </c>
      <c r="L256" s="15" t="s">
        <v>2117</v>
      </c>
    </row>
    <row r="257" spans="1:12" x14ac:dyDescent="0.25">
      <c r="A257" s="15" t="s">
        <v>253</v>
      </c>
      <c r="B257" s="15">
        <v>801</v>
      </c>
      <c r="C257" s="80" t="s">
        <v>2118</v>
      </c>
      <c r="D257" s="15" t="s">
        <v>527</v>
      </c>
      <c r="E257" s="15" t="s">
        <v>431</v>
      </c>
      <c r="F257" s="15" t="s">
        <v>2119</v>
      </c>
      <c r="G257" s="15" t="s">
        <v>2120</v>
      </c>
      <c r="H257" s="15" t="s">
        <v>2121</v>
      </c>
      <c r="I257" s="15" t="s">
        <v>256</v>
      </c>
      <c r="J257" s="15" t="s">
        <v>257</v>
      </c>
      <c r="K257" s="81" t="s">
        <v>3250</v>
      </c>
      <c r="L257" s="15" t="s">
        <v>2122</v>
      </c>
    </row>
    <row r="258" spans="1:12" x14ac:dyDescent="0.25">
      <c r="A258" s="15" t="s">
        <v>253</v>
      </c>
      <c r="B258" s="15">
        <v>801</v>
      </c>
      <c r="C258" s="80" t="s">
        <v>2123</v>
      </c>
      <c r="D258" s="15" t="s">
        <v>527</v>
      </c>
      <c r="E258" s="15" t="s">
        <v>431</v>
      </c>
      <c r="F258" s="15" t="s">
        <v>2124</v>
      </c>
      <c r="G258" s="15" t="s">
        <v>3251</v>
      </c>
      <c r="H258" s="15" t="s">
        <v>2125</v>
      </c>
      <c r="I258" s="15" t="s">
        <v>2126</v>
      </c>
      <c r="J258" s="15" t="s">
        <v>257</v>
      </c>
      <c r="K258" s="81" t="s">
        <v>3252</v>
      </c>
      <c r="L258" s="15" t="s">
        <v>2127</v>
      </c>
    </row>
    <row r="259" spans="1:12" x14ac:dyDescent="0.25">
      <c r="A259" s="15" t="s">
        <v>188</v>
      </c>
      <c r="B259" s="15">
        <v>801</v>
      </c>
      <c r="C259" s="80" t="s">
        <v>1469</v>
      </c>
      <c r="D259" s="15" t="s">
        <v>416</v>
      </c>
      <c r="E259" s="15" t="s">
        <v>431</v>
      </c>
      <c r="F259" s="15" t="s">
        <v>1470</v>
      </c>
      <c r="G259" s="15" t="s">
        <v>1471</v>
      </c>
      <c r="H259" s="15" t="s">
        <v>1472</v>
      </c>
      <c r="I259" s="15" t="s">
        <v>192</v>
      </c>
      <c r="J259" s="15" t="s">
        <v>186</v>
      </c>
      <c r="K259" s="81" t="s">
        <v>3253</v>
      </c>
      <c r="L259" s="15" t="s">
        <v>1473</v>
      </c>
    </row>
    <row r="260" spans="1:12" x14ac:dyDescent="0.25">
      <c r="A260" s="15" t="s">
        <v>188</v>
      </c>
      <c r="B260" s="15">
        <v>801</v>
      </c>
      <c r="C260" s="80" t="s">
        <v>1474</v>
      </c>
      <c r="D260" s="15" t="s">
        <v>430</v>
      </c>
      <c r="E260" s="15" t="s">
        <v>431</v>
      </c>
      <c r="F260" s="15" t="s">
        <v>1475</v>
      </c>
      <c r="G260" s="15" t="s">
        <v>1476</v>
      </c>
      <c r="H260" s="15" t="s">
        <v>1477</v>
      </c>
      <c r="I260" s="15" t="s">
        <v>1478</v>
      </c>
      <c r="J260" s="15" t="s">
        <v>186</v>
      </c>
      <c r="K260" s="81" t="s">
        <v>3254</v>
      </c>
      <c r="L260" s="15" t="s">
        <v>1479</v>
      </c>
    </row>
    <row r="261" spans="1:12" x14ac:dyDescent="0.25">
      <c r="A261" s="15" t="s">
        <v>181</v>
      </c>
      <c r="B261" s="15">
        <v>801</v>
      </c>
      <c r="C261" s="80" t="s">
        <v>1438</v>
      </c>
      <c r="D261" s="15" t="s">
        <v>430</v>
      </c>
      <c r="E261" s="15" t="s">
        <v>431</v>
      </c>
      <c r="F261" s="15" t="s">
        <v>1439</v>
      </c>
      <c r="G261" s="15" t="s">
        <v>1440</v>
      </c>
      <c r="H261" s="15" t="s">
        <v>1441</v>
      </c>
      <c r="I261" s="15" t="s">
        <v>185</v>
      </c>
      <c r="J261" s="15" t="s">
        <v>186</v>
      </c>
      <c r="K261" s="81" t="s">
        <v>3255</v>
      </c>
      <c r="L261" s="15" t="s">
        <v>1442</v>
      </c>
    </row>
    <row r="262" spans="1:12" x14ac:dyDescent="0.25">
      <c r="A262" s="15" t="s">
        <v>188</v>
      </c>
      <c r="B262" s="15">
        <v>801</v>
      </c>
      <c r="C262" s="80" t="s">
        <v>1480</v>
      </c>
      <c r="D262" s="15" t="s">
        <v>416</v>
      </c>
      <c r="E262" s="15" t="s">
        <v>431</v>
      </c>
      <c r="F262" s="15" t="s">
        <v>1481</v>
      </c>
      <c r="G262" s="15" t="s">
        <v>1482</v>
      </c>
      <c r="H262" s="15" t="s">
        <v>1483</v>
      </c>
      <c r="I262" s="15" t="s">
        <v>192</v>
      </c>
      <c r="J262" s="15" t="s">
        <v>186</v>
      </c>
      <c r="K262" s="81" t="s">
        <v>3256</v>
      </c>
      <c r="L262" s="15" t="s">
        <v>1484</v>
      </c>
    </row>
    <row r="263" spans="1:12" x14ac:dyDescent="0.25">
      <c r="A263" s="15" t="s">
        <v>188</v>
      </c>
      <c r="B263" s="15">
        <v>801</v>
      </c>
      <c r="C263" s="80" t="s">
        <v>1485</v>
      </c>
      <c r="D263" s="15" t="s">
        <v>416</v>
      </c>
      <c r="E263" s="15" t="s">
        <v>431</v>
      </c>
      <c r="F263" s="15" t="s">
        <v>1486</v>
      </c>
      <c r="G263" s="15" t="s">
        <v>1487</v>
      </c>
      <c r="H263" s="15" t="s">
        <v>1488</v>
      </c>
      <c r="I263" s="15" t="s">
        <v>1489</v>
      </c>
      <c r="J263" s="15" t="s">
        <v>186</v>
      </c>
      <c r="K263" s="81" t="s">
        <v>1490</v>
      </c>
      <c r="L263" s="15" t="s">
        <v>1491</v>
      </c>
    </row>
    <row r="264" spans="1:12" x14ac:dyDescent="0.25">
      <c r="A264" s="15" t="s">
        <v>188</v>
      </c>
      <c r="B264" s="15">
        <v>801</v>
      </c>
      <c r="C264" s="80" t="s">
        <v>1492</v>
      </c>
      <c r="D264" s="15" t="s">
        <v>416</v>
      </c>
      <c r="E264" s="15" t="s">
        <v>431</v>
      </c>
      <c r="F264" s="15" t="s">
        <v>1493</v>
      </c>
      <c r="G264" s="15" t="s">
        <v>1494</v>
      </c>
      <c r="H264" s="15" t="s">
        <v>1495</v>
      </c>
      <c r="I264" s="15" t="s">
        <v>192</v>
      </c>
      <c r="J264" s="15" t="s">
        <v>186</v>
      </c>
      <c r="K264" s="81" t="s">
        <v>3257</v>
      </c>
      <c r="L264" s="15" t="s">
        <v>1496</v>
      </c>
    </row>
    <row r="265" spans="1:12" x14ac:dyDescent="0.25">
      <c r="A265" s="15" t="s">
        <v>181</v>
      </c>
      <c r="B265" s="15">
        <v>801</v>
      </c>
      <c r="C265" s="80" t="s">
        <v>1443</v>
      </c>
      <c r="D265" s="15" t="s">
        <v>416</v>
      </c>
      <c r="E265" s="15" t="s">
        <v>431</v>
      </c>
      <c r="F265" s="15" t="s">
        <v>1444</v>
      </c>
      <c r="G265" s="15" t="s">
        <v>1445</v>
      </c>
      <c r="H265" s="15" t="s">
        <v>1446</v>
      </c>
      <c r="I265" s="15" t="s">
        <v>185</v>
      </c>
      <c r="J265" s="15" t="s">
        <v>186</v>
      </c>
      <c r="K265" s="81" t="s">
        <v>3258</v>
      </c>
      <c r="L265" s="15" t="s">
        <v>1447</v>
      </c>
    </row>
    <row r="266" spans="1:12" x14ac:dyDescent="0.25">
      <c r="A266" s="15" t="s">
        <v>181</v>
      </c>
      <c r="B266" s="15">
        <v>801</v>
      </c>
      <c r="C266" s="80" t="s">
        <v>182</v>
      </c>
      <c r="D266" s="15" t="s">
        <v>416</v>
      </c>
      <c r="E266" s="15" t="s">
        <v>431</v>
      </c>
      <c r="F266" s="15" t="s">
        <v>183</v>
      </c>
      <c r="G266" s="15" t="s">
        <v>1448</v>
      </c>
      <c r="H266" s="15" t="s">
        <v>184</v>
      </c>
      <c r="I266" s="15" t="s">
        <v>185</v>
      </c>
      <c r="J266" s="15" t="s">
        <v>186</v>
      </c>
      <c r="K266" s="81" t="s">
        <v>3259</v>
      </c>
      <c r="L266" s="15" t="s">
        <v>187</v>
      </c>
    </row>
    <row r="267" spans="1:12" x14ac:dyDescent="0.25">
      <c r="A267" s="15" t="s">
        <v>188</v>
      </c>
      <c r="B267" s="15">
        <v>801</v>
      </c>
      <c r="C267" s="80" t="s">
        <v>1497</v>
      </c>
      <c r="D267" s="15" t="s">
        <v>416</v>
      </c>
      <c r="E267" s="15" t="s">
        <v>431</v>
      </c>
      <c r="F267" s="15" t="s">
        <v>1498</v>
      </c>
      <c r="G267" s="15" t="s">
        <v>1499</v>
      </c>
      <c r="H267" s="15" t="s">
        <v>1500</v>
      </c>
      <c r="I267" s="15" t="s">
        <v>1501</v>
      </c>
      <c r="J267" s="15" t="s">
        <v>186</v>
      </c>
      <c r="K267" s="81" t="s">
        <v>3260</v>
      </c>
      <c r="L267" s="15" t="s">
        <v>1502</v>
      </c>
    </row>
    <row r="268" spans="1:12" x14ac:dyDescent="0.25">
      <c r="A268" s="15" t="s">
        <v>188</v>
      </c>
      <c r="B268" s="15">
        <v>801</v>
      </c>
      <c r="C268" s="80" t="s">
        <v>189</v>
      </c>
      <c r="D268" s="15" t="s">
        <v>416</v>
      </c>
      <c r="E268" s="15" t="s">
        <v>431</v>
      </c>
      <c r="F268" s="15" t="s">
        <v>190</v>
      </c>
      <c r="G268" s="15" t="s">
        <v>1503</v>
      </c>
      <c r="H268" s="15" t="s">
        <v>191</v>
      </c>
      <c r="I268" s="15" t="s">
        <v>192</v>
      </c>
      <c r="J268" s="15" t="s">
        <v>186</v>
      </c>
      <c r="K268" s="81" t="s">
        <v>3261</v>
      </c>
      <c r="L268" s="15" t="s">
        <v>193</v>
      </c>
    </row>
    <row r="269" spans="1:12" x14ac:dyDescent="0.25">
      <c r="A269" s="15" t="s">
        <v>188</v>
      </c>
      <c r="B269" s="15">
        <v>801</v>
      </c>
      <c r="C269" s="80" t="s">
        <v>1504</v>
      </c>
      <c r="D269" s="15" t="s">
        <v>416</v>
      </c>
      <c r="E269" s="15" t="s">
        <v>431</v>
      </c>
      <c r="F269" s="15" t="s">
        <v>1505</v>
      </c>
      <c r="G269" s="15" t="s">
        <v>3262</v>
      </c>
      <c r="H269" s="15" t="s">
        <v>1506</v>
      </c>
      <c r="I269" s="15" t="s">
        <v>1489</v>
      </c>
      <c r="J269" s="15" t="s">
        <v>186</v>
      </c>
      <c r="K269" s="81" t="s">
        <v>3263</v>
      </c>
      <c r="L269" s="15" t="s">
        <v>1507</v>
      </c>
    </row>
    <row r="270" spans="1:12" x14ac:dyDescent="0.25">
      <c r="A270" s="15" t="s">
        <v>188</v>
      </c>
      <c r="B270" s="15">
        <v>801</v>
      </c>
      <c r="C270" s="80" t="s">
        <v>1508</v>
      </c>
      <c r="D270" s="15" t="s">
        <v>416</v>
      </c>
      <c r="E270" s="15" t="s">
        <v>431</v>
      </c>
      <c r="F270" s="15" t="s">
        <v>1509</v>
      </c>
      <c r="G270" s="15" t="s">
        <v>1510</v>
      </c>
      <c r="H270" s="15" t="s">
        <v>1511</v>
      </c>
      <c r="I270" s="15" t="s">
        <v>1512</v>
      </c>
      <c r="J270" s="15" t="s">
        <v>186</v>
      </c>
      <c r="K270" s="81" t="s">
        <v>3264</v>
      </c>
      <c r="L270" s="15" t="s">
        <v>1513</v>
      </c>
    </row>
    <row r="271" spans="1:12" x14ac:dyDescent="0.25">
      <c r="A271" s="15" t="s">
        <v>188</v>
      </c>
      <c r="B271" s="15">
        <v>801</v>
      </c>
      <c r="C271" s="80" t="s">
        <v>1514</v>
      </c>
      <c r="D271" s="15" t="s">
        <v>416</v>
      </c>
      <c r="E271" s="15" t="s">
        <v>431</v>
      </c>
      <c r="F271" s="15" t="s">
        <v>1515</v>
      </c>
      <c r="G271" s="15" t="s">
        <v>1516</v>
      </c>
      <c r="H271" s="15" t="s">
        <v>1517</v>
      </c>
      <c r="I271" s="15" t="s">
        <v>1518</v>
      </c>
      <c r="J271" s="15" t="s">
        <v>186</v>
      </c>
      <c r="K271" s="81" t="s">
        <v>3265</v>
      </c>
      <c r="L271" s="15" t="s">
        <v>1519</v>
      </c>
    </row>
    <row r="272" spans="1:12" x14ac:dyDescent="0.25">
      <c r="A272" s="15" t="s">
        <v>181</v>
      </c>
      <c r="B272" s="15">
        <v>801</v>
      </c>
      <c r="C272" s="80" t="s">
        <v>1449</v>
      </c>
      <c r="D272" s="15" t="s">
        <v>416</v>
      </c>
      <c r="E272" s="15" t="s">
        <v>431</v>
      </c>
      <c r="F272" s="15" t="s">
        <v>1450</v>
      </c>
      <c r="G272" s="15" t="s">
        <v>1451</v>
      </c>
      <c r="H272" s="15" t="s">
        <v>1452</v>
      </c>
      <c r="I272" s="15" t="s">
        <v>1453</v>
      </c>
      <c r="J272" s="15" t="s">
        <v>186</v>
      </c>
      <c r="K272" s="81" t="s">
        <v>3266</v>
      </c>
      <c r="L272" s="15" t="s">
        <v>1454</v>
      </c>
    </row>
    <row r="273" spans="1:12" x14ac:dyDescent="0.25">
      <c r="A273" s="15" t="s">
        <v>194</v>
      </c>
      <c r="B273" s="15">
        <v>801</v>
      </c>
      <c r="C273" s="80" t="s">
        <v>1929</v>
      </c>
      <c r="D273" s="15" t="s">
        <v>416</v>
      </c>
      <c r="E273" s="15" t="s">
        <v>431</v>
      </c>
      <c r="F273" s="15" t="s">
        <v>1930</v>
      </c>
      <c r="G273" s="15" t="s">
        <v>1931</v>
      </c>
      <c r="H273" s="15" t="s">
        <v>1932</v>
      </c>
      <c r="I273" s="15" t="s">
        <v>198</v>
      </c>
      <c r="J273" s="15" t="s">
        <v>199</v>
      </c>
      <c r="K273" s="81" t="s">
        <v>3267</v>
      </c>
      <c r="L273" s="15" t="s">
        <v>1933</v>
      </c>
    </row>
    <row r="274" spans="1:12" x14ac:dyDescent="0.25">
      <c r="A274" s="15" t="s">
        <v>194</v>
      </c>
      <c r="B274" s="15">
        <v>801</v>
      </c>
      <c r="C274" s="80" t="s">
        <v>195</v>
      </c>
      <c r="D274" s="15" t="s">
        <v>416</v>
      </c>
      <c r="E274" s="15" t="s">
        <v>431</v>
      </c>
      <c r="F274" s="15" t="s">
        <v>196</v>
      </c>
      <c r="G274" s="15" t="s">
        <v>1934</v>
      </c>
      <c r="H274" s="15" t="s">
        <v>197</v>
      </c>
      <c r="I274" s="15" t="s">
        <v>198</v>
      </c>
      <c r="J274" s="15" t="s">
        <v>199</v>
      </c>
      <c r="K274" s="81" t="s">
        <v>3267</v>
      </c>
      <c r="L274" s="15" t="s">
        <v>200</v>
      </c>
    </row>
    <row r="275" spans="1:12" x14ac:dyDescent="0.25">
      <c r="A275" s="15" t="s">
        <v>194</v>
      </c>
      <c r="B275" s="15">
        <v>801</v>
      </c>
      <c r="C275" s="80" t="s">
        <v>1935</v>
      </c>
      <c r="D275" s="15" t="s">
        <v>527</v>
      </c>
      <c r="E275" s="15" t="s">
        <v>431</v>
      </c>
      <c r="F275" s="15" t="s">
        <v>1936</v>
      </c>
      <c r="G275" s="15" t="s">
        <v>1937</v>
      </c>
      <c r="H275" s="15" t="s">
        <v>1938</v>
      </c>
      <c r="I275" s="15" t="s">
        <v>198</v>
      </c>
      <c r="J275" s="15" t="s">
        <v>199</v>
      </c>
      <c r="K275" s="81" t="s">
        <v>3268</v>
      </c>
      <c r="L275" s="15" t="s">
        <v>1939</v>
      </c>
    </row>
    <row r="276" spans="1:12" x14ac:dyDescent="0.25">
      <c r="A276" s="15" t="s">
        <v>194</v>
      </c>
      <c r="B276" s="15">
        <v>801</v>
      </c>
      <c r="C276" s="80" t="s">
        <v>1940</v>
      </c>
      <c r="D276" s="15" t="s">
        <v>416</v>
      </c>
      <c r="E276" s="15" t="s">
        <v>431</v>
      </c>
      <c r="F276" s="15" t="s">
        <v>1941</v>
      </c>
      <c r="G276" s="15" t="s">
        <v>1942</v>
      </c>
      <c r="H276" s="15" t="s">
        <v>1943</v>
      </c>
      <c r="I276" s="15" t="s">
        <v>198</v>
      </c>
      <c r="J276" s="15" t="s">
        <v>199</v>
      </c>
      <c r="K276" s="81" t="s">
        <v>1944</v>
      </c>
      <c r="L276" s="15" t="s">
        <v>1945</v>
      </c>
    </row>
    <row r="277" spans="1:12" x14ac:dyDescent="0.25">
      <c r="A277" s="15" t="s">
        <v>194</v>
      </c>
      <c r="B277" s="15">
        <v>801</v>
      </c>
      <c r="C277" s="80" t="s">
        <v>1946</v>
      </c>
      <c r="D277" s="15" t="s">
        <v>416</v>
      </c>
      <c r="E277" s="15" t="s">
        <v>431</v>
      </c>
      <c r="F277" s="15" t="s">
        <v>1947</v>
      </c>
      <c r="G277" s="15" t="s">
        <v>1948</v>
      </c>
      <c r="H277" s="15" t="s">
        <v>1949</v>
      </c>
      <c r="I277" s="15" t="s">
        <v>198</v>
      </c>
      <c r="J277" s="15" t="s">
        <v>199</v>
      </c>
      <c r="K277" s="81" t="s">
        <v>1950</v>
      </c>
      <c r="L277" s="15" t="s">
        <v>1951</v>
      </c>
    </row>
    <row r="278" spans="1:12" x14ac:dyDescent="0.25">
      <c r="A278" s="15" t="s">
        <v>194</v>
      </c>
      <c r="B278" s="15">
        <v>801</v>
      </c>
      <c r="C278" s="80" t="s">
        <v>1952</v>
      </c>
      <c r="D278" s="15" t="s">
        <v>416</v>
      </c>
      <c r="E278" s="15" t="s">
        <v>431</v>
      </c>
      <c r="F278" s="15" t="s">
        <v>1953</v>
      </c>
      <c r="G278" s="15" t="s">
        <v>1954</v>
      </c>
      <c r="H278" s="15" t="s">
        <v>1955</v>
      </c>
      <c r="I278" s="15" t="s">
        <v>198</v>
      </c>
      <c r="J278" s="15" t="s">
        <v>199</v>
      </c>
      <c r="K278" s="81" t="s">
        <v>3268</v>
      </c>
      <c r="L278" s="15" t="s">
        <v>1956</v>
      </c>
    </row>
    <row r="279" spans="1:12" x14ac:dyDescent="0.25">
      <c r="A279" s="15" t="s">
        <v>174</v>
      </c>
      <c r="B279" s="15">
        <v>801</v>
      </c>
      <c r="C279" s="80" t="s">
        <v>1900</v>
      </c>
      <c r="D279" s="15" t="s">
        <v>527</v>
      </c>
      <c r="E279" s="15" t="s">
        <v>431</v>
      </c>
      <c r="F279" s="15" t="s">
        <v>1901</v>
      </c>
      <c r="G279" s="15" t="s">
        <v>1902</v>
      </c>
      <c r="H279" s="15" t="s">
        <v>1903</v>
      </c>
      <c r="I279" s="15" t="s">
        <v>1904</v>
      </c>
      <c r="J279" s="15" t="s">
        <v>179</v>
      </c>
      <c r="K279" s="81" t="s">
        <v>3269</v>
      </c>
      <c r="L279" s="15" t="s">
        <v>1905</v>
      </c>
    </row>
    <row r="280" spans="1:12" x14ac:dyDescent="0.25">
      <c r="A280" s="15" t="s">
        <v>174</v>
      </c>
      <c r="B280" s="15">
        <v>801</v>
      </c>
      <c r="C280" s="80" t="s">
        <v>1906</v>
      </c>
      <c r="D280" s="15" t="s">
        <v>416</v>
      </c>
      <c r="E280" s="15" t="s">
        <v>431</v>
      </c>
      <c r="F280" s="15" t="s">
        <v>1907</v>
      </c>
      <c r="G280" s="15" t="s">
        <v>1908</v>
      </c>
      <c r="H280" s="15" t="s">
        <v>1909</v>
      </c>
      <c r="I280" s="15" t="s">
        <v>1904</v>
      </c>
      <c r="J280" s="15" t="s">
        <v>179</v>
      </c>
      <c r="K280" s="81" t="s">
        <v>3270</v>
      </c>
      <c r="L280" s="15" t="s">
        <v>1910</v>
      </c>
    </row>
    <row r="281" spans="1:12" x14ac:dyDescent="0.25">
      <c r="A281" s="15" t="s">
        <v>174</v>
      </c>
      <c r="B281" s="15">
        <v>801</v>
      </c>
      <c r="C281" s="80" t="s">
        <v>1911</v>
      </c>
      <c r="D281" s="15" t="s">
        <v>416</v>
      </c>
      <c r="E281" s="15" t="s">
        <v>431</v>
      </c>
      <c r="F281" s="15" t="s">
        <v>1912</v>
      </c>
      <c r="G281" s="15" t="s">
        <v>3271</v>
      </c>
      <c r="H281" s="15" t="s">
        <v>1914</v>
      </c>
      <c r="I281" s="15" t="s">
        <v>1904</v>
      </c>
      <c r="J281" s="15" t="s">
        <v>179</v>
      </c>
      <c r="K281" s="81" t="s">
        <v>3269</v>
      </c>
      <c r="L281" s="15" t="s">
        <v>1915</v>
      </c>
    </row>
    <row r="282" spans="1:12" x14ac:dyDescent="0.25">
      <c r="A282" s="15" t="s">
        <v>201</v>
      </c>
      <c r="B282" s="15">
        <v>816</v>
      </c>
      <c r="C282" s="80" t="s">
        <v>2128</v>
      </c>
      <c r="D282" s="15" t="s">
        <v>416</v>
      </c>
      <c r="E282" s="15" t="s">
        <v>431</v>
      </c>
      <c r="F282" s="15" t="s">
        <v>2129</v>
      </c>
      <c r="G282" s="15" t="s">
        <v>2130</v>
      </c>
      <c r="H282" s="15" t="s">
        <v>2131</v>
      </c>
      <c r="I282" s="15" t="s">
        <v>2132</v>
      </c>
      <c r="J282" s="15" t="s">
        <v>205</v>
      </c>
      <c r="K282" s="81" t="s">
        <v>3272</v>
      </c>
      <c r="L282" s="15" t="s">
        <v>2133</v>
      </c>
    </row>
    <row r="283" spans="1:12" x14ac:dyDescent="0.25">
      <c r="A283" s="15" t="s">
        <v>201</v>
      </c>
      <c r="B283" s="15">
        <v>816</v>
      </c>
      <c r="C283" s="80" t="s">
        <v>2134</v>
      </c>
      <c r="D283" s="15" t="s">
        <v>416</v>
      </c>
      <c r="E283" s="15" t="s">
        <v>431</v>
      </c>
      <c r="F283" s="15" t="s">
        <v>2135</v>
      </c>
      <c r="G283" s="15" t="s">
        <v>2136</v>
      </c>
      <c r="H283" s="15" t="s">
        <v>2137</v>
      </c>
      <c r="I283" s="15" t="s">
        <v>2138</v>
      </c>
      <c r="J283" s="15" t="s">
        <v>205</v>
      </c>
      <c r="K283" s="81" t="s">
        <v>3273</v>
      </c>
      <c r="L283" s="15" t="s">
        <v>2139</v>
      </c>
    </row>
    <row r="284" spans="1:12" x14ac:dyDescent="0.25">
      <c r="A284" s="15" t="s">
        <v>201</v>
      </c>
      <c r="B284" s="15">
        <v>816</v>
      </c>
      <c r="C284" s="80" t="s">
        <v>2140</v>
      </c>
      <c r="D284" s="15" t="s">
        <v>416</v>
      </c>
      <c r="E284" s="15" t="s">
        <v>431</v>
      </c>
      <c r="F284" s="15" t="s">
        <v>2141</v>
      </c>
      <c r="G284" s="15" t="s">
        <v>3035</v>
      </c>
      <c r="H284" s="15" t="s">
        <v>2142</v>
      </c>
      <c r="I284" s="15" t="s">
        <v>384</v>
      </c>
      <c r="J284" s="15" t="s">
        <v>205</v>
      </c>
      <c r="K284" s="81" t="s">
        <v>3274</v>
      </c>
      <c r="L284" s="15" t="s">
        <v>2143</v>
      </c>
    </row>
    <row r="285" spans="1:12" x14ac:dyDescent="0.25">
      <c r="A285" s="15" t="s">
        <v>201</v>
      </c>
      <c r="B285" s="15">
        <v>816</v>
      </c>
      <c r="C285" s="80" t="s">
        <v>2144</v>
      </c>
      <c r="D285" s="15" t="s">
        <v>416</v>
      </c>
      <c r="E285" s="15" t="s">
        <v>431</v>
      </c>
      <c r="F285" s="15" t="s">
        <v>2145</v>
      </c>
      <c r="G285" s="15" t="s">
        <v>2146</v>
      </c>
      <c r="H285" s="15" t="s">
        <v>2147</v>
      </c>
      <c r="I285" s="15" t="s">
        <v>2148</v>
      </c>
      <c r="J285" s="15" t="s">
        <v>205</v>
      </c>
      <c r="K285" s="81" t="s">
        <v>3275</v>
      </c>
      <c r="L285" s="15" t="s">
        <v>2149</v>
      </c>
    </row>
    <row r="286" spans="1:12" x14ac:dyDescent="0.25">
      <c r="A286" s="15" t="s">
        <v>201</v>
      </c>
      <c r="B286" s="15">
        <v>816</v>
      </c>
      <c r="C286" s="80" t="s">
        <v>2150</v>
      </c>
      <c r="D286" s="15" t="s">
        <v>416</v>
      </c>
      <c r="E286" s="15" t="s">
        <v>431</v>
      </c>
      <c r="F286" s="15" t="s">
        <v>2151</v>
      </c>
      <c r="G286" s="15" t="s">
        <v>2152</v>
      </c>
      <c r="H286" s="15" t="s">
        <v>2153</v>
      </c>
      <c r="I286" s="15" t="s">
        <v>2154</v>
      </c>
      <c r="J286" s="15" t="s">
        <v>205</v>
      </c>
      <c r="K286" s="81" t="s">
        <v>3276</v>
      </c>
      <c r="L286" s="15" t="s">
        <v>2155</v>
      </c>
    </row>
    <row r="287" spans="1:12" x14ac:dyDescent="0.25">
      <c r="A287" s="15" t="s">
        <v>201</v>
      </c>
      <c r="B287" s="15">
        <v>816</v>
      </c>
      <c r="C287" s="80" t="s">
        <v>2156</v>
      </c>
      <c r="D287" s="15" t="s">
        <v>416</v>
      </c>
      <c r="E287" s="15" t="s">
        <v>431</v>
      </c>
      <c r="F287" s="15" t="s">
        <v>2157</v>
      </c>
      <c r="G287" s="15" t="s">
        <v>2158</v>
      </c>
      <c r="H287" s="15" t="s">
        <v>2159</v>
      </c>
      <c r="I287" s="15" t="s">
        <v>2160</v>
      </c>
      <c r="J287" s="15" t="s">
        <v>205</v>
      </c>
      <c r="K287" s="81" t="s">
        <v>3277</v>
      </c>
      <c r="L287" s="15" t="s">
        <v>2161</v>
      </c>
    </row>
    <row r="288" spans="1:12" x14ac:dyDescent="0.25">
      <c r="A288" s="15" t="s">
        <v>201</v>
      </c>
      <c r="B288" s="15">
        <v>816</v>
      </c>
      <c r="C288" s="80" t="s">
        <v>2162</v>
      </c>
      <c r="D288" s="15" t="s">
        <v>416</v>
      </c>
      <c r="E288" s="15" t="s">
        <v>431</v>
      </c>
      <c r="F288" s="15" t="s">
        <v>2163</v>
      </c>
      <c r="G288" s="15" t="s">
        <v>2164</v>
      </c>
      <c r="H288" s="15" t="s">
        <v>2165</v>
      </c>
      <c r="I288" s="15" t="s">
        <v>2160</v>
      </c>
      <c r="J288" s="15" t="s">
        <v>205</v>
      </c>
      <c r="K288" s="81" t="s">
        <v>3278</v>
      </c>
      <c r="L288" s="15" t="s">
        <v>2166</v>
      </c>
    </row>
    <row r="289" spans="1:12" x14ac:dyDescent="0.25">
      <c r="A289" s="15" t="s">
        <v>201</v>
      </c>
      <c r="B289" s="15">
        <v>816</v>
      </c>
      <c r="C289" s="80" t="s">
        <v>2167</v>
      </c>
      <c r="D289" s="15" t="s">
        <v>416</v>
      </c>
      <c r="E289" s="15" t="s">
        <v>431</v>
      </c>
      <c r="F289" s="15" t="s">
        <v>2168</v>
      </c>
      <c r="G289" s="15" t="s">
        <v>2169</v>
      </c>
      <c r="H289" s="15" t="s">
        <v>2170</v>
      </c>
      <c r="I289" s="15" t="s">
        <v>2171</v>
      </c>
      <c r="J289" s="15" t="s">
        <v>205</v>
      </c>
      <c r="K289" s="81" t="s">
        <v>3279</v>
      </c>
      <c r="L289" s="15" t="s">
        <v>2172</v>
      </c>
    </row>
    <row r="290" spans="1:12" x14ac:dyDescent="0.25">
      <c r="A290" s="15" t="s">
        <v>201</v>
      </c>
      <c r="B290" s="15">
        <v>816</v>
      </c>
      <c r="C290" s="80" t="s">
        <v>2173</v>
      </c>
      <c r="D290" s="15" t="s">
        <v>416</v>
      </c>
      <c r="E290" s="15" t="s">
        <v>431</v>
      </c>
      <c r="F290" s="15" t="s">
        <v>2174</v>
      </c>
      <c r="G290" s="15"/>
      <c r="H290" s="15" t="s">
        <v>2175</v>
      </c>
      <c r="I290" s="15" t="s">
        <v>2176</v>
      </c>
      <c r="J290" s="15" t="s">
        <v>205</v>
      </c>
      <c r="K290" s="81" t="s">
        <v>3280</v>
      </c>
      <c r="L290" s="15" t="s">
        <v>2177</v>
      </c>
    </row>
    <row r="291" spans="1:12" x14ac:dyDescent="0.25">
      <c r="A291" s="15" t="s">
        <v>201</v>
      </c>
      <c r="B291" s="15">
        <v>816</v>
      </c>
      <c r="C291" s="80" t="s">
        <v>2178</v>
      </c>
      <c r="D291" s="15" t="s">
        <v>416</v>
      </c>
      <c r="E291" s="15" t="s">
        <v>431</v>
      </c>
      <c r="F291" s="15" t="s">
        <v>2179</v>
      </c>
      <c r="G291" s="15" t="s">
        <v>2180</v>
      </c>
      <c r="H291" s="15" t="s">
        <v>2181</v>
      </c>
      <c r="I291" s="15" t="s">
        <v>2182</v>
      </c>
      <c r="J291" s="15" t="s">
        <v>205</v>
      </c>
      <c r="K291" s="81" t="s">
        <v>3281</v>
      </c>
      <c r="L291" s="15" t="s">
        <v>2183</v>
      </c>
    </row>
    <row r="292" spans="1:12" x14ac:dyDescent="0.25">
      <c r="A292" s="15" t="s">
        <v>201</v>
      </c>
      <c r="B292" s="15">
        <v>816</v>
      </c>
      <c r="C292" s="80" t="s">
        <v>2184</v>
      </c>
      <c r="D292" s="15" t="s">
        <v>416</v>
      </c>
      <c r="E292" s="15" t="s">
        <v>431</v>
      </c>
      <c r="F292" s="15" t="s">
        <v>2185</v>
      </c>
      <c r="G292" s="15" t="s">
        <v>2186</v>
      </c>
      <c r="H292" s="15" t="s">
        <v>2187</v>
      </c>
      <c r="I292" s="15" t="s">
        <v>384</v>
      </c>
      <c r="J292" s="15" t="s">
        <v>205</v>
      </c>
      <c r="K292" s="81" t="s">
        <v>3282</v>
      </c>
      <c r="L292" s="15" t="s">
        <v>2188</v>
      </c>
    </row>
    <row r="293" spans="1:12" x14ac:dyDescent="0.25">
      <c r="A293" s="15" t="s">
        <v>201</v>
      </c>
      <c r="B293" s="15">
        <v>816</v>
      </c>
      <c r="C293" s="80" t="s">
        <v>2189</v>
      </c>
      <c r="D293" s="15" t="s">
        <v>416</v>
      </c>
      <c r="E293" s="15" t="s">
        <v>431</v>
      </c>
      <c r="F293" s="15" t="s">
        <v>2190</v>
      </c>
      <c r="G293" s="15" t="s">
        <v>2191</v>
      </c>
      <c r="H293" s="15" t="s">
        <v>2192</v>
      </c>
      <c r="I293" s="15" t="s">
        <v>384</v>
      </c>
      <c r="J293" s="15" t="s">
        <v>205</v>
      </c>
      <c r="K293" s="81" t="s">
        <v>3283</v>
      </c>
      <c r="L293" s="15" t="s">
        <v>2193</v>
      </c>
    </row>
    <row r="294" spans="1:12" x14ac:dyDescent="0.25">
      <c r="A294" s="15" t="s">
        <v>201</v>
      </c>
      <c r="B294" s="15">
        <v>816</v>
      </c>
      <c r="C294" s="80" t="s">
        <v>202</v>
      </c>
      <c r="D294" s="15" t="s">
        <v>416</v>
      </c>
      <c r="E294" s="15" t="s">
        <v>431</v>
      </c>
      <c r="F294" s="15" t="s">
        <v>203</v>
      </c>
      <c r="G294" s="15" t="s">
        <v>2968</v>
      </c>
      <c r="H294" s="15" t="s">
        <v>204</v>
      </c>
      <c r="I294" s="15" t="s">
        <v>144</v>
      </c>
      <c r="J294" s="15" t="s">
        <v>205</v>
      </c>
      <c r="K294" s="81" t="s">
        <v>206</v>
      </c>
      <c r="L294" s="15" t="s">
        <v>207</v>
      </c>
    </row>
    <row r="295" spans="1:12" x14ac:dyDescent="0.25">
      <c r="A295" s="15" t="s">
        <v>201</v>
      </c>
      <c r="B295" s="15">
        <v>816</v>
      </c>
      <c r="C295" s="80" t="s">
        <v>2194</v>
      </c>
      <c r="D295" s="15" t="s">
        <v>416</v>
      </c>
      <c r="E295" s="15" t="s">
        <v>431</v>
      </c>
      <c r="F295" s="15" t="s">
        <v>2195</v>
      </c>
      <c r="G295" s="15" t="s">
        <v>2196</v>
      </c>
      <c r="H295" s="15" t="s">
        <v>2197</v>
      </c>
      <c r="I295" s="15" t="s">
        <v>2198</v>
      </c>
      <c r="J295" s="15" t="s">
        <v>205</v>
      </c>
      <c r="K295" s="81" t="s">
        <v>2199</v>
      </c>
      <c r="L295" s="15" t="s">
        <v>2200</v>
      </c>
    </row>
    <row r="296" spans="1:12" x14ac:dyDescent="0.25">
      <c r="A296" s="15" t="s">
        <v>201</v>
      </c>
      <c r="B296" s="15">
        <v>816</v>
      </c>
      <c r="C296" s="80" t="s">
        <v>2201</v>
      </c>
      <c r="D296" s="15" t="s">
        <v>416</v>
      </c>
      <c r="E296" s="15" t="s">
        <v>431</v>
      </c>
      <c r="F296" s="15" t="s">
        <v>2202</v>
      </c>
      <c r="G296" s="15" t="s">
        <v>2203</v>
      </c>
      <c r="H296" s="15" t="s">
        <v>2204</v>
      </c>
      <c r="I296" s="15" t="s">
        <v>2198</v>
      </c>
      <c r="J296" s="15" t="s">
        <v>205</v>
      </c>
      <c r="K296" s="81" t="s">
        <v>2205</v>
      </c>
      <c r="L296" s="15" t="s">
        <v>2206</v>
      </c>
    </row>
    <row r="297" spans="1:12" x14ac:dyDescent="0.25">
      <c r="A297" s="15" t="s">
        <v>201</v>
      </c>
      <c r="B297" s="15">
        <v>816</v>
      </c>
      <c r="C297" s="80" t="s">
        <v>2207</v>
      </c>
      <c r="D297" s="15" t="s">
        <v>416</v>
      </c>
      <c r="E297" s="15" t="s">
        <v>431</v>
      </c>
      <c r="F297" s="15" t="s">
        <v>2208</v>
      </c>
      <c r="G297" s="15" t="s">
        <v>2209</v>
      </c>
      <c r="H297" s="15" t="s">
        <v>2210</v>
      </c>
      <c r="I297" s="15" t="s">
        <v>2198</v>
      </c>
      <c r="J297" s="15" t="s">
        <v>205</v>
      </c>
      <c r="K297" s="81" t="s">
        <v>2211</v>
      </c>
      <c r="L297" s="15" t="s">
        <v>2212</v>
      </c>
    </row>
    <row r="298" spans="1:12" x14ac:dyDescent="0.25">
      <c r="A298" s="15" t="s">
        <v>201</v>
      </c>
      <c r="B298" s="15">
        <v>816</v>
      </c>
      <c r="C298" s="80" t="s">
        <v>2969</v>
      </c>
      <c r="D298" s="15" t="s">
        <v>416</v>
      </c>
      <c r="E298" s="15" t="s">
        <v>431</v>
      </c>
      <c r="F298" s="15" t="s">
        <v>2970</v>
      </c>
      <c r="G298" s="15" t="s">
        <v>2971</v>
      </c>
      <c r="H298" s="15" t="s">
        <v>2972</v>
      </c>
      <c r="I298" s="15" t="s">
        <v>2973</v>
      </c>
      <c r="J298" s="15" t="s">
        <v>205</v>
      </c>
      <c r="K298" s="81" t="s">
        <v>3284</v>
      </c>
      <c r="L298" s="15" t="s">
        <v>2974</v>
      </c>
    </row>
    <row r="299" spans="1:12" x14ac:dyDescent="0.25">
      <c r="A299" s="15" t="s">
        <v>208</v>
      </c>
      <c r="B299" s="15">
        <v>815</v>
      </c>
      <c r="C299" s="80" t="s">
        <v>1957</v>
      </c>
      <c r="D299" s="15" t="s">
        <v>416</v>
      </c>
      <c r="E299" s="15" t="s">
        <v>431</v>
      </c>
      <c r="F299" s="15" t="s">
        <v>1958</v>
      </c>
      <c r="G299" s="15" t="s">
        <v>1959</v>
      </c>
      <c r="H299" s="15" t="s">
        <v>1960</v>
      </c>
      <c r="I299" s="15" t="s">
        <v>1961</v>
      </c>
      <c r="J299" s="15" t="s">
        <v>213</v>
      </c>
      <c r="K299" s="81" t="s">
        <v>3285</v>
      </c>
      <c r="L299" s="15" t="s">
        <v>1962</v>
      </c>
    </row>
    <row r="300" spans="1:12" x14ac:dyDescent="0.25">
      <c r="A300" s="15" t="s">
        <v>208</v>
      </c>
      <c r="B300" s="15">
        <v>815</v>
      </c>
      <c r="C300" s="80" t="s">
        <v>1963</v>
      </c>
      <c r="D300" s="15" t="s">
        <v>416</v>
      </c>
      <c r="E300" s="15" t="s">
        <v>431</v>
      </c>
      <c r="F300" s="15" t="s">
        <v>1964</v>
      </c>
      <c r="G300" s="15" t="s">
        <v>1965</v>
      </c>
      <c r="H300" s="15" t="s">
        <v>1966</v>
      </c>
      <c r="I300" s="15" t="s">
        <v>66</v>
      </c>
      <c r="J300" s="15" t="s">
        <v>213</v>
      </c>
      <c r="K300" s="81" t="s">
        <v>3286</v>
      </c>
      <c r="L300" s="15" t="s">
        <v>1967</v>
      </c>
    </row>
    <row r="301" spans="1:12" x14ac:dyDescent="0.25">
      <c r="A301" s="15" t="s">
        <v>208</v>
      </c>
      <c r="B301" s="15">
        <v>815</v>
      </c>
      <c r="C301" s="80" t="s">
        <v>1968</v>
      </c>
      <c r="D301" s="15" t="s">
        <v>416</v>
      </c>
      <c r="E301" s="15" t="s">
        <v>431</v>
      </c>
      <c r="F301" s="15" t="s">
        <v>1969</v>
      </c>
      <c r="G301" s="15" t="s">
        <v>1970</v>
      </c>
      <c r="H301" s="15" t="s">
        <v>1971</v>
      </c>
      <c r="I301" s="15" t="s">
        <v>1972</v>
      </c>
      <c r="J301" s="15" t="s">
        <v>213</v>
      </c>
      <c r="K301" s="81" t="s">
        <v>3287</v>
      </c>
      <c r="L301" s="15" t="s">
        <v>1973</v>
      </c>
    </row>
    <row r="302" spans="1:12" x14ac:dyDescent="0.25">
      <c r="A302" s="15" t="s">
        <v>208</v>
      </c>
      <c r="B302" s="15">
        <v>815</v>
      </c>
      <c r="C302" s="80" t="s">
        <v>1974</v>
      </c>
      <c r="D302" s="15" t="s">
        <v>416</v>
      </c>
      <c r="E302" s="15" t="s">
        <v>431</v>
      </c>
      <c r="F302" s="15" t="s">
        <v>1975</v>
      </c>
      <c r="G302" s="15" t="s">
        <v>1976</v>
      </c>
      <c r="H302" s="15" t="s">
        <v>1977</v>
      </c>
      <c r="I302" s="15" t="s">
        <v>1523</v>
      </c>
      <c r="J302" s="15" t="s">
        <v>213</v>
      </c>
      <c r="K302" s="81" t="s">
        <v>3288</v>
      </c>
      <c r="L302" s="15" t="s">
        <v>1978</v>
      </c>
    </row>
    <row r="303" spans="1:12" x14ac:dyDescent="0.25">
      <c r="A303" s="15" t="s">
        <v>208</v>
      </c>
      <c r="B303" s="15">
        <v>815</v>
      </c>
      <c r="C303" s="80" t="s">
        <v>209</v>
      </c>
      <c r="D303" s="15" t="s">
        <v>416</v>
      </c>
      <c r="E303" s="15" t="s">
        <v>431</v>
      </c>
      <c r="F303" s="15" t="s">
        <v>210</v>
      </c>
      <c r="G303" s="15" t="s">
        <v>1979</v>
      </c>
      <c r="H303" s="15" t="s">
        <v>211</v>
      </c>
      <c r="I303" s="15" t="s">
        <v>212</v>
      </c>
      <c r="J303" s="15" t="s">
        <v>213</v>
      </c>
      <c r="K303" s="81" t="s">
        <v>3289</v>
      </c>
      <c r="L303" s="15" t="s">
        <v>214</v>
      </c>
    </row>
    <row r="304" spans="1:12" x14ac:dyDescent="0.25">
      <c r="A304" s="15" t="s">
        <v>208</v>
      </c>
      <c r="B304" s="15">
        <v>815</v>
      </c>
      <c r="C304" s="80" t="s">
        <v>1980</v>
      </c>
      <c r="D304" s="15" t="s">
        <v>416</v>
      </c>
      <c r="E304" s="15" t="s">
        <v>431</v>
      </c>
      <c r="F304" s="15" t="s">
        <v>1981</v>
      </c>
      <c r="G304" s="15" t="s">
        <v>1982</v>
      </c>
      <c r="H304" s="15" t="s">
        <v>1983</v>
      </c>
      <c r="I304" s="15" t="s">
        <v>1595</v>
      </c>
      <c r="J304" s="15" t="s">
        <v>213</v>
      </c>
      <c r="K304" s="81" t="s">
        <v>3290</v>
      </c>
      <c r="L304" s="15" t="s">
        <v>1984</v>
      </c>
    </row>
    <row r="305" spans="1:12" x14ac:dyDescent="0.25">
      <c r="A305" s="15" t="s">
        <v>208</v>
      </c>
      <c r="B305" s="15">
        <v>815</v>
      </c>
      <c r="C305" s="80" t="s">
        <v>1985</v>
      </c>
      <c r="D305" s="15" t="s">
        <v>416</v>
      </c>
      <c r="E305" s="15" t="s">
        <v>431</v>
      </c>
      <c r="F305" s="15" t="s">
        <v>1986</v>
      </c>
      <c r="G305" s="15" t="s">
        <v>1987</v>
      </c>
      <c r="H305" s="15" t="s">
        <v>1988</v>
      </c>
      <c r="I305" s="15" t="s">
        <v>1595</v>
      </c>
      <c r="J305" s="15" t="s">
        <v>213</v>
      </c>
      <c r="K305" s="81" t="s">
        <v>3291</v>
      </c>
      <c r="L305" s="15" t="s">
        <v>1989</v>
      </c>
    </row>
    <row r="306" spans="1:12" x14ac:dyDescent="0.25">
      <c r="A306" s="15" t="s">
        <v>208</v>
      </c>
      <c r="B306" s="15">
        <v>815</v>
      </c>
      <c r="C306" s="80" t="s">
        <v>1990</v>
      </c>
      <c r="D306" s="15" t="s">
        <v>416</v>
      </c>
      <c r="E306" s="15" t="s">
        <v>431</v>
      </c>
      <c r="F306" s="15" t="s">
        <v>1991</v>
      </c>
      <c r="G306" s="15" t="s">
        <v>1992</v>
      </c>
      <c r="H306" s="15" t="s">
        <v>1993</v>
      </c>
      <c r="I306" s="15" t="s">
        <v>333</v>
      </c>
      <c r="J306" s="15" t="s">
        <v>213</v>
      </c>
      <c r="K306" s="81" t="s">
        <v>3292</v>
      </c>
      <c r="L306" s="15" t="s">
        <v>1994</v>
      </c>
    </row>
    <row r="307" spans="1:12" x14ac:dyDescent="0.25">
      <c r="A307" s="15" t="s">
        <v>215</v>
      </c>
      <c r="B307" s="15">
        <v>831</v>
      </c>
      <c r="C307" s="80" t="s">
        <v>715</v>
      </c>
      <c r="D307" s="15" t="s">
        <v>416</v>
      </c>
      <c r="E307" s="15" t="s">
        <v>431</v>
      </c>
      <c r="F307" s="15" t="s">
        <v>716</v>
      </c>
      <c r="G307" s="15" t="s">
        <v>717</v>
      </c>
      <c r="H307" s="15" t="s">
        <v>718</v>
      </c>
      <c r="I307" s="15" t="s">
        <v>219</v>
      </c>
      <c r="J307" s="15" t="s">
        <v>220</v>
      </c>
      <c r="K307" s="81" t="s">
        <v>3293</v>
      </c>
      <c r="L307" s="15" t="s">
        <v>719</v>
      </c>
    </row>
    <row r="308" spans="1:12" x14ac:dyDescent="0.25">
      <c r="A308" s="15" t="s">
        <v>215</v>
      </c>
      <c r="B308" s="15">
        <v>831</v>
      </c>
      <c r="C308" s="80" t="s">
        <v>720</v>
      </c>
      <c r="D308" s="15" t="s">
        <v>416</v>
      </c>
      <c r="E308" s="15" t="s">
        <v>431</v>
      </c>
      <c r="F308" s="15" t="s">
        <v>721</v>
      </c>
      <c r="G308" s="15" t="s">
        <v>722</v>
      </c>
      <c r="H308" s="15" t="s">
        <v>723</v>
      </c>
      <c r="I308" s="15" t="s">
        <v>724</v>
      </c>
      <c r="J308" s="15" t="s">
        <v>220</v>
      </c>
      <c r="K308" s="81" t="s">
        <v>3294</v>
      </c>
      <c r="L308" s="15" t="s">
        <v>725</v>
      </c>
    </row>
    <row r="309" spans="1:12" x14ac:dyDescent="0.25">
      <c r="A309" s="15" t="s">
        <v>215</v>
      </c>
      <c r="B309" s="15">
        <v>831</v>
      </c>
      <c r="C309" s="80" t="s">
        <v>726</v>
      </c>
      <c r="D309" s="15" t="s">
        <v>416</v>
      </c>
      <c r="E309" s="15" t="s">
        <v>431</v>
      </c>
      <c r="F309" s="15" t="s">
        <v>727</v>
      </c>
      <c r="G309" s="15" t="s">
        <v>728</v>
      </c>
      <c r="H309" s="15" t="s">
        <v>729</v>
      </c>
      <c r="I309" s="15" t="s">
        <v>219</v>
      </c>
      <c r="J309" s="15" t="s">
        <v>220</v>
      </c>
      <c r="K309" s="81" t="s">
        <v>3295</v>
      </c>
      <c r="L309" s="15" t="s">
        <v>730</v>
      </c>
    </row>
    <row r="310" spans="1:12" x14ac:dyDescent="0.25">
      <c r="A310" s="15" t="s">
        <v>215</v>
      </c>
      <c r="B310" s="15">
        <v>831</v>
      </c>
      <c r="C310" s="80" t="s">
        <v>731</v>
      </c>
      <c r="D310" s="15" t="s">
        <v>416</v>
      </c>
      <c r="E310" s="15" t="s">
        <v>431</v>
      </c>
      <c r="F310" s="15" t="s">
        <v>732</v>
      </c>
      <c r="G310" s="15" t="s">
        <v>733</v>
      </c>
      <c r="H310" s="15" t="s">
        <v>734</v>
      </c>
      <c r="I310" s="15" t="s">
        <v>708</v>
      </c>
      <c r="J310" s="15" t="s">
        <v>220</v>
      </c>
      <c r="K310" s="81" t="s">
        <v>3296</v>
      </c>
      <c r="L310" s="15" t="s">
        <v>735</v>
      </c>
    </row>
    <row r="311" spans="1:12" x14ac:dyDescent="0.25">
      <c r="A311" s="15" t="s">
        <v>215</v>
      </c>
      <c r="B311" s="15">
        <v>831</v>
      </c>
      <c r="C311" s="80" t="s">
        <v>736</v>
      </c>
      <c r="D311" s="15" t="s">
        <v>416</v>
      </c>
      <c r="E311" s="15" t="s">
        <v>431</v>
      </c>
      <c r="F311" s="15" t="s">
        <v>737</v>
      </c>
      <c r="G311" s="15" t="s">
        <v>738</v>
      </c>
      <c r="H311" s="15" t="s">
        <v>739</v>
      </c>
      <c r="I311" s="15" t="s">
        <v>740</v>
      </c>
      <c r="J311" s="15" t="s">
        <v>220</v>
      </c>
      <c r="K311" s="81" t="s">
        <v>3297</v>
      </c>
      <c r="L311" s="15" t="s">
        <v>741</v>
      </c>
    </row>
    <row r="312" spans="1:12" x14ac:dyDescent="0.25">
      <c r="A312" s="15" t="s">
        <v>215</v>
      </c>
      <c r="B312" s="15">
        <v>831</v>
      </c>
      <c r="C312" s="80" t="s">
        <v>742</v>
      </c>
      <c r="D312" s="15" t="s">
        <v>416</v>
      </c>
      <c r="E312" s="15" t="s">
        <v>431</v>
      </c>
      <c r="F312" s="15" t="s">
        <v>743</v>
      </c>
      <c r="G312" s="15" t="s">
        <v>744</v>
      </c>
      <c r="H312" s="15" t="s">
        <v>745</v>
      </c>
      <c r="I312" s="15" t="s">
        <v>219</v>
      </c>
      <c r="J312" s="15" t="s">
        <v>220</v>
      </c>
      <c r="K312" s="81" t="s">
        <v>3293</v>
      </c>
      <c r="L312" s="15" t="s">
        <v>746</v>
      </c>
    </row>
    <row r="313" spans="1:12" x14ac:dyDescent="0.25">
      <c r="A313" s="15" t="s">
        <v>215</v>
      </c>
      <c r="B313" s="15">
        <v>831</v>
      </c>
      <c r="C313" s="80" t="s">
        <v>747</v>
      </c>
      <c r="D313" s="15" t="s">
        <v>416</v>
      </c>
      <c r="E313" s="15" t="s">
        <v>431</v>
      </c>
      <c r="F313" s="15" t="s">
        <v>748</v>
      </c>
      <c r="G313" s="15" t="s">
        <v>749</v>
      </c>
      <c r="H313" s="15" t="s">
        <v>750</v>
      </c>
      <c r="I313" s="15" t="s">
        <v>751</v>
      </c>
      <c r="J313" s="15" t="s">
        <v>220</v>
      </c>
      <c r="K313" s="81" t="s">
        <v>3298</v>
      </c>
      <c r="L313" s="15" t="s">
        <v>752</v>
      </c>
    </row>
    <row r="314" spans="1:12" x14ac:dyDescent="0.25">
      <c r="A314" s="15" t="s">
        <v>215</v>
      </c>
      <c r="B314" s="15">
        <v>831</v>
      </c>
      <c r="C314" s="80" t="s">
        <v>753</v>
      </c>
      <c r="D314" s="15" t="s">
        <v>416</v>
      </c>
      <c r="E314" s="15" t="s">
        <v>431</v>
      </c>
      <c r="F314" s="15" t="s">
        <v>754</v>
      </c>
      <c r="G314" s="15" t="s">
        <v>2998</v>
      </c>
      <c r="H314" s="15" t="s">
        <v>755</v>
      </c>
      <c r="I314" s="15" t="s">
        <v>756</v>
      </c>
      <c r="J314" s="15" t="s">
        <v>220</v>
      </c>
      <c r="K314" s="81" t="s">
        <v>3299</v>
      </c>
      <c r="L314" s="15" t="s">
        <v>757</v>
      </c>
    </row>
    <row r="315" spans="1:12" x14ac:dyDescent="0.25">
      <c r="A315" s="15" t="s">
        <v>215</v>
      </c>
      <c r="B315" s="15">
        <v>831</v>
      </c>
      <c r="C315" s="80" t="s">
        <v>758</v>
      </c>
      <c r="D315" s="15" t="s">
        <v>416</v>
      </c>
      <c r="E315" s="15" t="s">
        <v>431</v>
      </c>
      <c r="F315" s="15" t="s">
        <v>759</v>
      </c>
      <c r="G315" s="15" t="s">
        <v>760</v>
      </c>
      <c r="H315" s="15" t="s">
        <v>761</v>
      </c>
      <c r="I315" s="15" t="s">
        <v>762</v>
      </c>
      <c r="J315" s="15" t="s">
        <v>220</v>
      </c>
      <c r="K315" s="81" t="s">
        <v>3300</v>
      </c>
      <c r="L315" s="15" t="s">
        <v>763</v>
      </c>
    </row>
    <row r="316" spans="1:12" x14ac:dyDescent="0.25">
      <c r="A316" s="15" t="s">
        <v>215</v>
      </c>
      <c r="B316" s="15">
        <v>831</v>
      </c>
      <c r="C316" s="80" t="s">
        <v>764</v>
      </c>
      <c r="D316" s="15" t="s">
        <v>416</v>
      </c>
      <c r="E316" s="15" t="s">
        <v>431</v>
      </c>
      <c r="F316" s="15" t="s">
        <v>765</v>
      </c>
      <c r="G316" s="15" t="s">
        <v>2999</v>
      </c>
      <c r="H316" s="15" t="s">
        <v>766</v>
      </c>
      <c r="I316" s="15" t="s">
        <v>219</v>
      </c>
      <c r="J316" s="15" t="s">
        <v>220</v>
      </c>
      <c r="K316" s="81" t="s">
        <v>3301</v>
      </c>
      <c r="L316" s="15" t="s">
        <v>767</v>
      </c>
    </row>
    <row r="317" spans="1:12" x14ac:dyDescent="0.25">
      <c r="A317" s="15" t="s">
        <v>215</v>
      </c>
      <c r="B317" s="15">
        <v>831</v>
      </c>
      <c r="C317" s="80" t="s">
        <v>768</v>
      </c>
      <c r="D317" s="15" t="s">
        <v>416</v>
      </c>
      <c r="E317" s="15" t="s">
        <v>431</v>
      </c>
      <c r="F317" s="15" t="s">
        <v>769</v>
      </c>
      <c r="G317" s="15" t="s">
        <v>770</v>
      </c>
      <c r="H317" s="15" t="s">
        <v>771</v>
      </c>
      <c r="I317" s="15" t="s">
        <v>772</v>
      </c>
      <c r="J317" s="15" t="s">
        <v>220</v>
      </c>
      <c r="K317" s="81" t="s">
        <v>3302</v>
      </c>
      <c r="L317" s="15" t="s">
        <v>773</v>
      </c>
    </row>
    <row r="318" spans="1:12" x14ac:dyDescent="0.25">
      <c r="A318" s="15" t="s">
        <v>215</v>
      </c>
      <c r="B318" s="15">
        <v>831</v>
      </c>
      <c r="C318" s="80" t="s">
        <v>216</v>
      </c>
      <c r="D318" s="15" t="s">
        <v>416</v>
      </c>
      <c r="E318" s="15" t="s">
        <v>431</v>
      </c>
      <c r="F318" s="15" t="s">
        <v>217</v>
      </c>
      <c r="G318" s="15" t="s">
        <v>774</v>
      </c>
      <c r="H318" s="15" t="s">
        <v>218</v>
      </c>
      <c r="I318" s="15" t="s">
        <v>219</v>
      </c>
      <c r="J318" s="15" t="s">
        <v>220</v>
      </c>
      <c r="K318" s="81" t="s">
        <v>3303</v>
      </c>
      <c r="L318" s="15" t="s">
        <v>221</v>
      </c>
    </row>
    <row r="319" spans="1:12" x14ac:dyDescent="0.25">
      <c r="A319" s="15" t="s">
        <v>215</v>
      </c>
      <c r="B319" s="15">
        <v>831</v>
      </c>
      <c r="C319" s="80" t="s">
        <v>775</v>
      </c>
      <c r="D319" s="15" t="s">
        <v>416</v>
      </c>
      <c r="E319" s="15" t="s">
        <v>431</v>
      </c>
      <c r="F319" s="15" t="s">
        <v>776</v>
      </c>
      <c r="G319" s="15" t="s">
        <v>777</v>
      </c>
      <c r="H319" s="15" t="s">
        <v>778</v>
      </c>
      <c r="I319" s="15" t="s">
        <v>779</v>
      </c>
      <c r="J319" s="15" t="s">
        <v>220</v>
      </c>
      <c r="K319" s="81" t="s">
        <v>3304</v>
      </c>
      <c r="L319" s="15" t="s">
        <v>780</v>
      </c>
    </row>
    <row r="320" spans="1:12" x14ac:dyDescent="0.25">
      <c r="A320" s="15" t="s">
        <v>215</v>
      </c>
      <c r="B320" s="15">
        <v>831</v>
      </c>
      <c r="C320" s="80" t="s">
        <v>781</v>
      </c>
      <c r="D320" s="15" t="s">
        <v>416</v>
      </c>
      <c r="E320" s="15" t="s">
        <v>431</v>
      </c>
      <c r="F320" s="15" t="s">
        <v>782</v>
      </c>
      <c r="G320" s="15" t="s">
        <v>3036</v>
      </c>
      <c r="H320" s="15" t="s">
        <v>783</v>
      </c>
      <c r="I320" s="15" t="s">
        <v>713</v>
      </c>
      <c r="J320" s="15" t="s">
        <v>220</v>
      </c>
      <c r="K320" s="81" t="s">
        <v>3305</v>
      </c>
      <c r="L320" s="15" t="s">
        <v>784</v>
      </c>
    </row>
    <row r="321" spans="1:12" x14ac:dyDescent="0.25">
      <c r="A321" s="15" t="s">
        <v>215</v>
      </c>
      <c r="B321" s="15">
        <v>831</v>
      </c>
      <c r="C321" s="80" t="s">
        <v>785</v>
      </c>
      <c r="D321" s="15" t="s">
        <v>416</v>
      </c>
      <c r="E321" s="15" t="s">
        <v>431</v>
      </c>
      <c r="F321" s="15" t="s">
        <v>786</v>
      </c>
      <c r="G321" s="15" t="s">
        <v>3306</v>
      </c>
      <c r="H321" s="15" t="s">
        <v>787</v>
      </c>
      <c r="I321" s="15" t="s">
        <v>724</v>
      </c>
      <c r="J321" s="15" t="s">
        <v>220</v>
      </c>
      <c r="K321" s="81" t="s">
        <v>3294</v>
      </c>
      <c r="L321" s="15" t="s">
        <v>788</v>
      </c>
    </row>
    <row r="322" spans="1:12" x14ac:dyDescent="0.25">
      <c r="A322" s="15" t="s">
        <v>215</v>
      </c>
      <c r="B322" s="15">
        <v>831</v>
      </c>
      <c r="C322" s="80" t="s">
        <v>789</v>
      </c>
      <c r="D322" s="15" t="s">
        <v>416</v>
      </c>
      <c r="E322" s="15" t="s">
        <v>431</v>
      </c>
      <c r="F322" s="15" t="s">
        <v>790</v>
      </c>
      <c r="G322" s="15" t="s">
        <v>791</v>
      </c>
      <c r="H322" s="15" t="s">
        <v>792</v>
      </c>
      <c r="I322" s="15" t="s">
        <v>772</v>
      </c>
      <c r="J322" s="15" t="s">
        <v>220</v>
      </c>
      <c r="K322" s="81" t="s">
        <v>3307</v>
      </c>
      <c r="L322" s="15" t="s">
        <v>793</v>
      </c>
    </row>
    <row r="323" spans="1:12" x14ac:dyDescent="0.25">
      <c r="A323" s="15" t="s">
        <v>215</v>
      </c>
      <c r="B323" s="15">
        <v>831</v>
      </c>
      <c r="C323" s="80" t="s">
        <v>794</v>
      </c>
      <c r="D323" s="15" t="s">
        <v>416</v>
      </c>
      <c r="E323" s="15" t="s">
        <v>431</v>
      </c>
      <c r="F323" s="15" t="s">
        <v>795</v>
      </c>
      <c r="G323" s="15" t="s">
        <v>796</v>
      </c>
      <c r="H323" s="15" t="s">
        <v>797</v>
      </c>
      <c r="I323" s="15" t="s">
        <v>798</v>
      </c>
      <c r="J323" s="15" t="s">
        <v>220</v>
      </c>
      <c r="K323" s="81" t="s">
        <v>3308</v>
      </c>
      <c r="L323" s="15" t="s">
        <v>799</v>
      </c>
    </row>
    <row r="324" spans="1:12" x14ac:dyDescent="0.25">
      <c r="A324" s="15" t="s">
        <v>215</v>
      </c>
      <c r="B324" s="15">
        <v>831</v>
      </c>
      <c r="C324" s="80" t="s">
        <v>800</v>
      </c>
      <c r="D324" s="15" t="s">
        <v>416</v>
      </c>
      <c r="E324" s="15" t="s">
        <v>431</v>
      </c>
      <c r="F324" s="15" t="s">
        <v>801</v>
      </c>
      <c r="G324" s="15" t="s">
        <v>3037</v>
      </c>
      <c r="H324" s="15" t="s">
        <v>802</v>
      </c>
      <c r="I324" s="15" t="s">
        <v>803</v>
      </c>
      <c r="J324" s="15" t="s">
        <v>220</v>
      </c>
      <c r="K324" s="81" t="s">
        <v>3309</v>
      </c>
      <c r="L324" s="15" t="s">
        <v>804</v>
      </c>
    </row>
    <row r="325" spans="1:12" x14ac:dyDescent="0.25">
      <c r="A325" s="15" t="s">
        <v>215</v>
      </c>
      <c r="B325" s="15">
        <v>831</v>
      </c>
      <c r="C325" s="80" t="s">
        <v>805</v>
      </c>
      <c r="D325" s="15" t="s">
        <v>416</v>
      </c>
      <c r="E325" s="15" t="s">
        <v>431</v>
      </c>
      <c r="F325" s="15" t="s">
        <v>806</v>
      </c>
      <c r="G325" s="15" t="s">
        <v>807</v>
      </c>
      <c r="H325" s="15" t="s">
        <v>808</v>
      </c>
      <c r="I325" s="15" t="s">
        <v>713</v>
      </c>
      <c r="J325" s="15" t="s">
        <v>220</v>
      </c>
      <c r="K325" s="81" t="s">
        <v>3310</v>
      </c>
      <c r="L325" s="15" t="s">
        <v>809</v>
      </c>
    </row>
    <row r="326" spans="1:12" x14ac:dyDescent="0.25">
      <c r="A326" s="15" t="s">
        <v>215</v>
      </c>
      <c r="B326" s="15">
        <v>831</v>
      </c>
      <c r="C326" s="80" t="s">
        <v>810</v>
      </c>
      <c r="D326" s="15" t="s">
        <v>416</v>
      </c>
      <c r="E326" s="15" t="s">
        <v>431</v>
      </c>
      <c r="F326" s="15" t="s">
        <v>811</v>
      </c>
      <c r="G326" s="15" t="s">
        <v>812</v>
      </c>
      <c r="H326" s="15" t="s">
        <v>813</v>
      </c>
      <c r="I326" s="15" t="s">
        <v>708</v>
      </c>
      <c r="J326" s="15" t="s">
        <v>220</v>
      </c>
      <c r="K326" s="81" t="s">
        <v>3311</v>
      </c>
      <c r="L326" s="15" t="s">
        <v>814</v>
      </c>
    </row>
    <row r="327" spans="1:12" x14ac:dyDescent="0.25">
      <c r="A327" s="15" t="s">
        <v>215</v>
      </c>
      <c r="B327" s="15">
        <v>830</v>
      </c>
      <c r="C327" s="80" t="s">
        <v>815</v>
      </c>
      <c r="D327" s="15" t="s">
        <v>416</v>
      </c>
      <c r="E327" s="15" t="s">
        <v>431</v>
      </c>
      <c r="F327" s="15" t="s">
        <v>816</v>
      </c>
      <c r="G327" s="15" t="s">
        <v>817</v>
      </c>
      <c r="H327" s="15" t="s">
        <v>818</v>
      </c>
      <c r="I327" s="15" t="s">
        <v>756</v>
      </c>
      <c r="J327" s="15" t="s">
        <v>220</v>
      </c>
      <c r="K327" s="81" t="s">
        <v>3299</v>
      </c>
      <c r="L327" s="15" t="s">
        <v>819</v>
      </c>
    </row>
    <row r="328" spans="1:12" x14ac:dyDescent="0.25">
      <c r="A328" s="15" t="s">
        <v>215</v>
      </c>
      <c r="B328" s="15">
        <v>830</v>
      </c>
      <c r="C328" s="80" t="s">
        <v>820</v>
      </c>
      <c r="D328" s="15" t="s">
        <v>416</v>
      </c>
      <c r="E328" s="15" t="s">
        <v>431</v>
      </c>
      <c r="F328" s="15" t="s">
        <v>821</v>
      </c>
      <c r="G328" s="15" t="s">
        <v>822</v>
      </c>
      <c r="H328" s="15" t="s">
        <v>823</v>
      </c>
      <c r="I328" s="15" t="s">
        <v>762</v>
      </c>
      <c r="J328" s="15" t="s">
        <v>220</v>
      </c>
      <c r="K328" s="81" t="s">
        <v>3300</v>
      </c>
      <c r="L328" s="15" t="s">
        <v>824</v>
      </c>
    </row>
    <row r="329" spans="1:12" x14ac:dyDescent="0.25">
      <c r="A329" s="15" t="s">
        <v>215</v>
      </c>
      <c r="B329" s="15">
        <v>830</v>
      </c>
      <c r="C329" s="80" t="s">
        <v>825</v>
      </c>
      <c r="D329" s="15" t="s">
        <v>416</v>
      </c>
      <c r="E329" s="15" t="s">
        <v>431</v>
      </c>
      <c r="F329" s="15" t="s">
        <v>826</v>
      </c>
      <c r="G329" s="15" t="s">
        <v>3038</v>
      </c>
      <c r="H329" s="15" t="s">
        <v>827</v>
      </c>
      <c r="I329" s="15" t="s">
        <v>708</v>
      </c>
      <c r="J329" s="15" t="s">
        <v>220</v>
      </c>
      <c r="K329" s="81" t="s">
        <v>3311</v>
      </c>
      <c r="L329" s="15" t="s">
        <v>828</v>
      </c>
    </row>
    <row r="330" spans="1:12" x14ac:dyDescent="0.25">
      <c r="A330" s="15" t="s">
        <v>227</v>
      </c>
      <c r="B330" s="15">
        <v>830</v>
      </c>
      <c r="C330" s="80" t="s">
        <v>3312</v>
      </c>
      <c r="D330" s="15" t="s">
        <v>416</v>
      </c>
      <c r="E330" s="15" t="s">
        <v>431</v>
      </c>
      <c r="F330" s="15" t="s">
        <v>660</v>
      </c>
      <c r="G330" s="15" t="s">
        <v>2956</v>
      </c>
      <c r="H330" s="15" t="s">
        <v>662</v>
      </c>
      <c r="I330" s="15" t="s">
        <v>663</v>
      </c>
      <c r="J330" s="15" t="s">
        <v>220</v>
      </c>
      <c r="K330" s="81" t="s">
        <v>3313</v>
      </c>
      <c r="L330" s="15" t="s">
        <v>664</v>
      </c>
    </row>
    <row r="331" spans="1:12" x14ac:dyDescent="0.25">
      <c r="A331" s="15" t="s">
        <v>222</v>
      </c>
      <c r="B331" s="15">
        <v>830</v>
      </c>
      <c r="C331" s="80" t="s">
        <v>3314</v>
      </c>
      <c r="D331" s="15" t="s">
        <v>416</v>
      </c>
      <c r="E331" s="15" t="s">
        <v>431</v>
      </c>
      <c r="F331" s="15" t="s">
        <v>594</v>
      </c>
      <c r="G331" s="15" t="s">
        <v>595</v>
      </c>
      <c r="H331" s="15" t="s">
        <v>596</v>
      </c>
      <c r="I331" s="15" t="s">
        <v>225</v>
      </c>
      <c r="J331" s="15" t="s">
        <v>220</v>
      </c>
      <c r="K331" s="81" t="s">
        <v>3315</v>
      </c>
      <c r="L331" s="15" t="s">
        <v>597</v>
      </c>
    </row>
    <row r="332" spans="1:12" x14ac:dyDescent="0.25">
      <c r="A332" s="15" t="s">
        <v>227</v>
      </c>
      <c r="B332" s="15">
        <v>830</v>
      </c>
      <c r="C332" s="80" t="s">
        <v>3316</v>
      </c>
      <c r="D332" s="15" t="s">
        <v>416</v>
      </c>
      <c r="E332" s="15" t="s">
        <v>431</v>
      </c>
      <c r="F332" s="15" t="s">
        <v>665</v>
      </c>
      <c r="G332" s="15" t="s">
        <v>3000</v>
      </c>
      <c r="H332" s="15" t="s">
        <v>666</v>
      </c>
      <c r="I332" s="15" t="s">
        <v>256</v>
      </c>
      <c r="J332" s="15" t="s">
        <v>220</v>
      </c>
      <c r="K332" s="81" t="s">
        <v>3317</v>
      </c>
      <c r="L332" s="15" t="s">
        <v>667</v>
      </c>
    </row>
    <row r="333" spans="1:12" x14ac:dyDescent="0.25">
      <c r="A333" s="15" t="s">
        <v>222</v>
      </c>
      <c r="B333" s="15">
        <v>830</v>
      </c>
      <c r="C333" s="80" t="s">
        <v>3318</v>
      </c>
      <c r="D333" s="15" t="s">
        <v>416</v>
      </c>
      <c r="E333" s="15" t="s">
        <v>431</v>
      </c>
      <c r="F333" s="15" t="s">
        <v>598</v>
      </c>
      <c r="G333" s="15" t="s">
        <v>3039</v>
      </c>
      <c r="H333" s="15" t="s">
        <v>600</v>
      </c>
      <c r="I333" s="15" t="s">
        <v>225</v>
      </c>
      <c r="J333" s="15" t="s">
        <v>220</v>
      </c>
      <c r="K333" s="81" t="s">
        <v>3319</v>
      </c>
      <c r="L333" s="15" t="s">
        <v>601</v>
      </c>
    </row>
    <row r="334" spans="1:12" x14ac:dyDescent="0.25">
      <c r="A334" s="15" t="s">
        <v>222</v>
      </c>
      <c r="B334" s="15">
        <v>830</v>
      </c>
      <c r="C334" s="80" t="s">
        <v>3320</v>
      </c>
      <c r="D334" s="15" t="s">
        <v>416</v>
      </c>
      <c r="E334" s="15" t="s">
        <v>431</v>
      </c>
      <c r="F334" s="15" t="s">
        <v>602</v>
      </c>
      <c r="G334" s="15" t="s">
        <v>603</v>
      </c>
      <c r="H334" s="15" t="s">
        <v>604</v>
      </c>
      <c r="I334" s="15" t="s">
        <v>225</v>
      </c>
      <c r="J334" s="15" t="s">
        <v>220</v>
      </c>
      <c r="K334" s="81" t="s">
        <v>3321</v>
      </c>
      <c r="L334" s="15" t="s">
        <v>605</v>
      </c>
    </row>
    <row r="335" spans="1:12" x14ac:dyDescent="0.25">
      <c r="A335" s="15" t="s">
        <v>222</v>
      </c>
      <c r="B335" s="15">
        <v>830</v>
      </c>
      <c r="C335" s="80" t="s">
        <v>3322</v>
      </c>
      <c r="D335" s="15" t="s">
        <v>416</v>
      </c>
      <c r="E335" s="15" t="s">
        <v>431</v>
      </c>
      <c r="F335" s="15" t="s">
        <v>606</v>
      </c>
      <c r="G335" s="15" t="s">
        <v>657</v>
      </c>
      <c r="H335" s="15" t="s">
        <v>608</v>
      </c>
      <c r="I335" s="15" t="s">
        <v>225</v>
      </c>
      <c r="J335" s="15" t="s">
        <v>220</v>
      </c>
      <c r="K335" s="81" t="s">
        <v>3323</v>
      </c>
      <c r="L335" s="15" t="s">
        <v>609</v>
      </c>
    </row>
    <row r="336" spans="1:12" x14ac:dyDescent="0.25">
      <c r="A336" s="15" t="s">
        <v>222</v>
      </c>
      <c r="B336" s="15">
        <v>830</v>
      </c>
      <c r="C336" s="80" t="s">
        <v>3324</v>
      </c>
      <c r="D336" s="15" t="s">
        <v>416</v>
      </c>
      <c r="E336" s="15" t="s">
        <v>431</v>
      </c>
      <c r="F336" s="15" t="s">
        <v>610</v>
      </c>
      <c r="G336" s="15" t="s">
        <v>611</v>
      </c>
      <c r="H336" s="15" t="s">
        <v>612</v>
      </c>
      <c r="I336" s="15" t="s">
        <v>225</v>
      </c>
      <c r="J336" s="15" t="s">
        <v>220</v>
      </c>
      <c r="K336" s="81" t="s">
        <v>3325</v>
      </c>
      <c r="L336" s="15" t="s">
        <v>613</v>
      </c>
    </row>
    <row r="337" spans="1:12" x14ac:dyDescent="0.25">
      <c r="A337" s="15" t="s">
        <v>222</v>
      </c>
      <c r="B337" s="15">
        <v>830</v>
      </c>
      <c r="C337" s="80" t="s">
        <v>3326</v>
      </c>
      <c r="D337" s="15" t="s">
        <v>416</v>
      </c>
      <c r="E337" s="15" t="s">
        <v>431</v>
      </c>
      <c r="F337" s="15" t="s">
        <v>614</v>
      </c>
      <c r="G337" s="15" t="s">
        <v>615</v>
      </c>
      <c r="H337" s="15" t="s">
        <v>616</v>
      </c>
      <c r="I337" s="15" t="s">
        <v>225</v>
      </c>
      <c r="J337" s="15" t="s">
        <v>220</v>
      </c>
      <c r="K337" s="81" t="s">
        <v>3327</v>
      </c>
      <c r="L337" s="15" t="s">
        <v>617</v>
      </c>
    </row>
    <row r="338" spans="1:12" x14ac:dyDescent="0.25">
      <c r="A338" s="15" t="s">
        <v>222</v>
      </c>
      <c r="B338" s="15">
        <v>830</v>
      </c>
      <c r="C338" s="80" t="s">
        <v>3328</v>
      </c>
      <c r="D338" s="15" t="s">
        <v>416</v>
      </c>
      <c r="E338" s="15" t="s">
        <v>431</v>
      </c>
      <c r="F338" s="15" t="s">
        <v>223</v>
      </c>
      <c r="G338" s="15" t="s">
        <v>599</v>
      </c>
      <c r="H338" s="15" t="s">
        <v>224</v>
      </c>
      <c r="I338" s="15" t="s">
        <v>225</v>
      </c>
      <c r="J338" s="15" t="s">
        <v>220</v>
      </c>
      <c r="K338" s="81" t="s">
        <v>3325</v>
      </c>
      <c r="L338" s="15" t="s">
        <v>226</v>
      </c>
    </row>
    <row r="339" spans="1:12" x14ac:dyDescent="0.25">
      <c r="A339" s="15" t="s">
        <v>222</v>
      </c>
      <c r="B339" s="15">
        <v>830</v>
      </c>
      <c r="C339" s="80" t="s">
        <v>3329</v>
      </c>
      <c r="D339" s="15" t="s">
        <v>416</v>
      </c>
      <c r="E339" s="15" t="s">
        <v>431</v>
      </c>
      <c r="F339" s="15" t="s">
        <v>618</v>
      </c>
      <c r="G339" s="15" t="s">
        <v>619</v>
      </c>
      <c r="H339" s="15" t="s">
        <v>620</v>
      </c>
      <c r="I339" s="15" t="s">
        <v>225</v>
      </c>
      <c r="J339" s="15" t="s">
        <v>220</v>
      </c>
      <c r="K339" s="81" t="s">
        <v>3323</v>
      </c>
      <c r="L339" s="15" t="s">
        <v>621</v>
      </c>
    </row>
    <row r="340" spans="1:12" x14ac:dyDescent="0.25">
      <c r="A340" s="15" t="s">
        <v>222</v>
      </c>
      <c r="B340" s="15">
        <v>830</v>
      </c>
      <c r="C340" s="80" t="s">
        <v>3330</v>
      </c>
      <c r="D340" s="15" t="s">
        <v>416</v>
      </c>
      <c r="E340" s="15" t="s">
        <v>431</v>
      </c>
      <c r="F340" s="15" t="s">
        <v>622</v>
      </c>
      <c r="G340" s="15" t="s">
        <v>623</v>
      </c>
      <c r="H340" s="15" t="s">
        <v>624</v>
      </c>
      <c r="I340" s="15" t="s">
        <v>225</v>
      </c>
      <c r="J340" s="15" t="s">
        <v>220</v>
      </c>
      <c r="K340" s="81" t="s">
        <v>3331</v>
      </c>
      <c r="L340" s="15" t="s">
        <v>625</v>
      </c>
    </row>
    <row r="341" spans="1:12" x14ac:dyDescent="0.25">
      <c r="A341" s="15" t="s">
        <v>227</v>
      </c>
      <c r="B341" s="15">
        <v>830</v>
      </c>
      <c r="C341" s="80" t="s">
        <v>3332</v>
      </c>
      <c r="D341" s="15" t="s">
        <v>416</v>
      </c>
      <c r="E341" s="15" t="s">
        <v>431</v>
      </c>
      <c r="F341" s="15" t="s">
        <v>668</v>
      </c>
      <c r="G341" s="15" t="s">
        <v>661</v>
      </c>
      <c r="H341" s="15" t="s">
        <v>669</v>
      </c>
      <c r="I341" s="15" t="s">
        <v>663</v>
      </c>
      <c r="J341" s="15" t="s">
        <v>220</v>
      </c>
      <c r="K341" s="81" t="s">
        <v>3333</v>
      </c>
      <c r="L341" s="15" t="s">
        <v>670</v>
      </c>
    </row>
    <row r="342" spans="1:12" x14ac:dyDescent="0.25">
      <c r="A342" s="15" t="s">
        <v>215</v>
      </c>
      <c r="B342" s="15">
        <v>830</v>
      </c>
      <c r="C342" s="80" t="s">
        <v>3334</v>
      </c>
      <c r="D342" s="15" t="s">
        <v>416</v>
      </c>
      <c r="E342" s="15" t="s">
        <v>431</v>
      </c>
      <c r="F342" s="15" t="s">
        <v>706</v>
      </c>
      <c r="G342" s="15" t="s">
        <v>3040</v>
      </c>
      <c r="H342" s="15" t="s">
        <v>707</v>
      </c>
      <c r="I342" s="15" t="s">
        <v>708</v>
      </c>
      <c r="J342" s="15" t="s">
        <v>220</v>
      </c>
      <c r="K342" s="81" t="s">
        <v>3311</v>
      </c>
      <c r="L342" s="15" t="s">
        <v>709</v>
      </c>
    </row>
    <row r="343" spans="1:12" x14ac:dyDescent="0.25">
      <c r="A343" s="15" t="s">
        <v>222</v>
      </c>
      <c r="B343" s="15">
        <v>830</v>
      </c>
      <c r="C343" s="80" t="s">
        <v>3335</v>
      </c>
      <c r="D343" s="15" t="s">
        <v>416</v>
      </c>
      <c r="E343" s="15" t="s">
        <v>431</v>
      </c>
      <c r="F343" s="15" t="s">
        <v>626</v>
      </c>
      <c r="G343" s="15" t="s">
        <v>607</v>
      </c>
      <c r="H343" s="15" t="s">
        <v>627</v>
      </c>
      <c r="I343" s="15" t="s">
        <v>225</v>
      </c>
      <c r="J343" s="15" t="s">
        <v>220</v>
      </c>
      <c r="K343" s="81" t="s">
        <v>3321</v>
      </c>
      <c r="L343" s="15" t="s">
        <v>628</v>
      </c>
    </row>
    <row r="344" spans="1:12" x14ac:dyDescent="0.25">
      <c r="A344" s="15" t="s">
        <v>227</v>
      </c>
      <c r="B344" s="15">
        <v>830</v>
      </c>
      <c r="C344" s="80" t="s">
        <v>3336</v>
      </c>
      <c r="D344" s="15" t="s">
        <v>416</v>
      </c>
      <c r="E344" s="15" t="s">
        <v>431</v>
      </c>
      <c r="F344" s="15" t="s">
        <v>671</v>
      </c>
      <c r="G344" s="15" t="s">
        <v>672</v>
      </c>
      <c r="H344" s="15" t="s">
        <v>673</v>
      </c>
      <c r="I344" s="15" t="s">
        <v>674</v>
      </c>
      <c r="J344" s="15" t="s">
        <v>220</v>
      </c>
      <c r="K344" s="81" t="s">
        <v>3337</v>
      </c>
      <c r="L344" s="15" t="s">
        <v>675</v>
      </c>
    </row>
    <row r="345" spans="1:12" x14ac:dyDescent="0.25">
      <c r="A345" s="15" t="s">
        <v>269</v>
      </c>
      <c r="B345" s="15">
        <v>830</v>
      </c>
      <c r="C345" s="80" t="s">
        <v>3338</v>
      </c>
      <c r="D345" s="15" t="s">
        <v>416</v>
      </c>
      <c r="E345" s="15" t="s">
        <v>431</v>
      </c>
      <c r="F345" s="15" t="s">
        <v>852</v>
      </c>
      <c r="G345" s="15" t="s">
        <v>853</v>
      </c>
      <c r="H345" s="15" t="s">
        <v>854</v>
      </c>
      <c r="I345" s="15" t="s">
        <v>855</v>
      </c>
      <c r="J345" s="15" t="s">
        <v>220</v>
      </c>
      <c r="K345" s="81" t="s">
        <v>3339</v>
      </c>
      <c r="L345" s="15" t="s">
        <v>856</v>
      </c>
    </row>
    <row r="346" spans="1:12" x14ac:dyDescent="0.25">
      <c r="A346" s="15" t="s">
        <v>227</v>
      </c>
      <c r="B346" s="15">
        <v>830</v>
      </c>
      <c r="C346" s="80" t="s">
        <v>3340</v>
      </c>
      <c r="D346" s="15" t="s">
        <v>416</v>
      </c>
      <c r="E346" s="15" t="s">
        <v>431</v>
      </c>
      <c r="F346" s="15" t="s">
        <v>676</v>
      </c>
      <c r="G346" s="15" t="s">
        <v>677</v>
      </c>
      <c r="H346" s="15" t="s">
        <v>678</v>
      </c>
      <c r="I346" s="15" t="s">
        <v>679</v>
      </c>
      <c r="J346" s="15" t="s">
        <v>220</v>
      </c>
      <c r="K346" s="81" t="s">
        <v>3341</v>
      </c>
      <c r="L346" s="15" t="s">
        <v>680</v>
      </c>
    </row>
    <row r="347" spans="1:12" x14ac:dyDescent="0.25">
      <c r="A347" s="15" t="s">
        <v>269</v>
      </c>
      <c r="B347" s="15">
        <v>830</v>
      </c>
      <c r="C347" s="80" t="s">
        <v>3342</v>
      </c>
      <c r="D347" s="15" t="s">
        <v>416</v>
      </c>
      <c r="E347" s="15" t="s">
        <v>431</v>
      </c>
      <c r="F347" s="15" t="s">
        <v>857</v>
      </c>
      <c r="G347" s="15" t="s">
        <v>868</v>
      </c>
      <c r="H347" s="15" t="s">
        <v>858</v>
      </c>
      <c r="I347" s="15" t="s">
        <v>859</v>
      </c>
      <c r="J347" s="15" t="s">
        <v>220</v>
      </c>
      <c r="K347" s="81" t="s">
        <v>3343</v>
      </c>
      <c r="L347" s="15" t="s">
        <v>860</v>
      </c>
    </row>
    <row r="348" spans="1:12" x14ac:dyDescent="0.25">
      <c r="A348" s="15" t="s">
        <v>222</v>
      </c>
      <c r="B348" s="15">
        <v>830</v>
      </c>
      <c r="C348" s="80" t="s">
        <v>3344</v>
      </c>
      <c r="D348" s="15" t="s">
        <v>416</v>
      </c>
      <c r="E348" s="15" t="s">
        <v>431</v>
      </c>
      <c r="F348" s="15" t="s">
        <v>629</v>
      </c>
      <c r="G348" s="15" t="s">
        <v>630</v>
      </c>
      <c r="H348" s="15" t="s">
        <v>631</v>
      </c>
      <c r="I348" s="15" t="s">
        <v>632</v>
      </c>
      <c r="J348" s="15" t="s">
        <v>220</v>
      </c>
      <c r="K348" s="81" t="s">
        <v>3345</v>
      </c>
      <c r="L348" s="15" t="s">
        <v>633</v>
      </c>
    </row>
    <row r="349" spans="1:12" x14ac:dyDescent="0.25">
      <c r="A349" s="15" t="s">
        <v>222</v>
      </c>
      <c r="B349" s="15">
        <v>830</v>
      </c>
      <c r="C349" s="80" t="s">
        <v>3346</v>
      </c>
      <c r="D349" s="15" t="s">
        <v>416</v>
      </c>
      <c r="E349" s="15" t="s">
        <v>431</v>
      </c>
      <c r="F349" s="15" t="s">
        <v>634</v>
      </c>
      <c r="G349" s="15" t="s">
        <v>635</v>
      </c>
      <c r="H349" s="15" t="s">
        <v>636</v>
      </c>
      <c r="I349" s="15" t="s">
        <v>225</v>
      </c>
      <c r="J349" s="15" t="s">
        <v>220</v>
      </c>
      <c r="K349" s="81" t="s">
        <v>3347</v>
      </c>
      <c r="L349" s="15" t="s">
        <v>637</v>
      </c>
    </row>
    <row r="350" spans="1:12" x14ac:dyDescent="0.25">
      <c r="A350" s="15" t="s">
        <v>227</v>
      </c>
      <c r="B350" s="15">
        <v>830</v>
      </c>
      <c r="C350" s="80" t="s">
        <v>3348</v>
      </c>
      <c r="D350" s="15" t="s">
        <v>416</v>
      </c>
      <c r="E350" s="15" t="s">
        <v>431</v>
      </c>
      <c r="F350" s="15" t="s">
        <v>228</v>
      </c>
      <c r="G350" s="15" t="s">
        <v>681</v>
      </c>
      <c r="H350" s="15" t="s">
        <v>229</v>
      </c>
      <c r="I350" s="15" t="s">
        <v>230</v>
      </c>
      <c r="J350" s="15" t="s">
        <v>220</v>
      </c>
      <c r="K350" s="81" t="s">
        <v>3349</v>
      </c>
      <c r="L350" s="15" t="s">
        <v>231</v>
      </c>
    </row>
    <row r="351" spans="1:12" x14ac:dyDescent="0.25">
      <c r="A351" s="15" t="s">
        <v>222</v>
      </c>
      <c r="B351" s="15">
        <v>830</v>
      </c>
      <c r="C351" s="80" t="s">
        <v>3350</v>
      </c>
      <c r="D351" s="15" t="s">
        <v>416</v>
      </c>
      <c r="E351" s="15" t="s">
        <v>431</v>
      </c>
      <c r="F351" s="15" t="s">
        <v>638</v>
      </c>
      <c r="G351" s="15" t="s">
        <v>639</v>
      </c>
      <c r="H351" s="15" t="s">
        <v>640</v>
      </c>
      <c r="I351" s="15" t="s">
        <v>225</v>
      </c>
      <c r="J351" s="15" t="s">
        <v>220</v>
      </c>
      <c r="K351" s="81" t="s">
        <v>3351</v>
      </c>
      <c r="L351" s="15" t="s">
        <v>641</v>
      </c>
    </row>
    <row r="352" spans="1:12" x14ac:dyDescent="0.25">
      <c r="A352" s="15" t="s">
        <v>232</v>
      </c>
      <c r="B352" s="15">
        <v>830</v>
      </c>
      <c r="C352" s="80" t="s">
        <v>3352</v>
      </c>
      <c r="D352" s="15" t="s">
        <v>416</v>
      </c>
      <c r="E352" s="15" t="s">
        <v>431</v>
      </c>
      <c r="F352" s="15" t="s">
        <v>233</v>
      </c>
      <c r="G352" s="15" t="s">
        <v>829</v>
      </c>
      <c r="H352" s="15" t="s">
        <v>234</v>
      </c>
      <c r="I352" s="15" t="s">
        <v>235</v>
      </c>
      <c r="J352" s="15" t="s">
        <v>220</v>
      </c>
      <c r="K352" s="81" t="s">
        <v>3353</v>
      </c>
      <c r="L352" s="15" t="s">
        <v>236</v>
      </c>
    </row>
    <row r="353" spans="1:12" x14ac:dyDescent="0.25">
      <c r="A353" s="15" t="s">
        <v>222</v>
      </c>
      <c r="B353" s="15">
        <v>830</v>
      </c>
      <c r="C353" s="80" t="s">
        <v>3354</v>
      </c>
      <c r="D353" s="15" t="s">
        <v>416</v>
      </c>
      <c r="E353" s="15" t="s">
        <v>431</v>
      </c>
      <c r="F353" s="15" t="s">
        <v>642</v>
      </c>
      <c r="G353" s="15" t="s">
        <v>643</v>
      </c>
      <c r="H353" s="15" t="s">
        <v>644</v>
      </c>
      <c r="I353" s="15" t="s">
        <v>645</v>
      </c>
      <c r="J353" s="15" t="s">
        <v>220</v>
      </c>
      <c r="K353" s="81" t="s">
        <v>3355</v>
      </c>
      <c r="L353" s="15" t="s">
        <v>646</v>
      </c>
    </row>
    <row r="354" spans="1:12" x14ac:dyDescent="0.25">
      <c r="A354" s="15" t="s">
        <v>232</v>
      </c>
      <c r="B354" s="15">
        <v>830</v>
      </c>
      <c r="C354" s="80" t="s">
        <v>3356</v>
      </c>
      <c r="D354" s="15" t="s">
        <v>416</v>
      </c>
      <c r="E354" s="15" t="s">
        <v>431</v>
      </c>
      <c r="F354" s="15" t="s">
        <v>830</v>
      </c>
      <c r="G354" s="15" t="s">
        <v>831</v>
      </c>
      <c r="H354" s="15" t="s">
        <v>832</v>
      </c>
      <c r="I354" s="15" t="s">
        <v>833</v>
      </c>
      <c r="J354" s="15" t="s">
        <v>220</v>
      </c>
      <c r="K354" s="81" t="s">
        <v>3357</v>
      </c>
      <c r="L354" s="15" t="s">
        <v>834</v>
      </c>
    </row>
    <row r="355" spans="1:12" x14ac:dyDescent="0.25">
      <c r="A355" s="15" t="s">
        <v>232</v>
      </c>
      <c r="B355" s="15">
        <v>830</v>
      </c>
      <c r="C355" s="80" t="s">
        <v>3358</v>
      </c>
      <c r="D355" s="15" t="s">
        <v>416</v>
      </c>
      <c r="E355" s="15" t="s">
        <v>431</v>
      </c>
      <c r="F355" s="15" t="s">
        <v>835</v>
      </c>
      <c r="G355" s="15" t="s">
        <v>836</v>
      </c>
      <c r="H355" s="15" t="s">
        <v>837</v>
      </c>
      <c r="I355" s="15" t="s">
        <v>838</v>
      </c>
      <c r="J355" s="15" t="s">
        <v>220</v>
      </c>
      <c r="K355" s="81" t="s">
        <v>3359</v>
      </c>
      <c r="L355" s="15" t="s">
        <v>839</v>
      </c>
    </row>
    <row r="356" spans="1:12" x14ac:dyDescent="0.25">
      <c r="A356" s="15" t="s">
        <v>232</v>
      </c>
      <c r="B356" s="15">
        <v>830</v>
      </c>
      <c r="C356" s="80" t="s">
        <v>3360</v>
      </c>
      <c r="D356" s="15" t="s">
        <v>416</v>
      </c>
      <c r="E356" s="15" t="s">
        <v>431</v>
      </c>
      <c r="F356" s="15" t="s">
        <v>840</v>
      </c>
      <c r="G356" s="15" t="s">
        <v>841</v>
      </c>
      <c r="H356" s="15" t="s">
        <v>842</v>
      </c>
      <c r="I356" s="15" t="s">
        <v>833</v>
      </c>
      <c r="J356" s="15" t="s">
        <v>220</v>
      </c>
      <c r="K356" s="81" t="s">
        <v>3357</v>
      </c>
      <c r="L356" s="15" t="s">
        <v>843</v>
      </c>
    </row>
    <row r="357" spans="1:12" x14ac:dyDescent="0.25">
      <c r="A357" s="15" t="s">
        <v>222</v>
      </c>
      <c r="B357" s="15">
        <v>830</v>
      </c>
      <c r="C357" s="80" t="s">
        <v>3361</v>
      </c>
      <c r="D357" s="15" t="s">
        <v>416</v>
      </c>
      <c r="E357" s="15" t="s">
        <v>431</v>
      </c>
      <c r="F357" s="15" t="s">
        <v>647</v>
      </c>
      <c r="G357" s="15" t="s">
        <v>648</v>
      </c>
      <c r="H357" s="15" t="s">
        <v>649</v>
      </c>
      <c r="I357" s="15" t="s">
        <v>645</v>
      </c>
      <c r="J357" s="15" t="s">
        <v>220</v>
      </c>
      <c r="K357" s="81" t="s">
        <v>3355</v>
      </c>
      <c r="L357" s="15" t="s">
        <v>650</v>
      </c>
    </row>
    <row r="358" spans="1:12" x14ac:dyDescent="0.25">
      <c r="A358" s="15" t="s">
        <v>232</v>
      </c>
      <c r="B358" s="15">
        <v>830</v>
      </c>
      <c r="C358" s="80" t="s">
        <v>3362</v>
      </c>
      <c r="D358" s="15" t="s">
        <v>416</v>
      </c>
      <c r="E358" s="15" t="s">
        <v>431</v>
      </c>
      <c r="F358" s="15" t="s">
        <v>844</v>
      </c>
      <c r="G358" s="15" t="s">
        <v>845</v>
      </c>
      <c r="H358" s="15" t="s">
        <v>397</v>
      </c>
      <c r="I358" s="15" t="s">
        <v>398</v>
      </c>
      <c r="J358" s="15" t="s">
        <v>220</v>
      </c>
      <c r="K358" s="81" t="s">
        <v>3363</v>
      </c>
      <c r="L358" s="15" t="s">
        <v>846</v>
      </c>
    </row>
    <row r="359" spans="1:12" x14ac:dyDescent="0.25">
      <c r="A359" s="15" t="s">
        <v>222</v>
      </c>
      <c r="B359" s="15">
        <v>830</v>
      </c>
      <c r="C359" s="80" t="s">
        <v>3364</v>
      </c>
      <c r="D359" s="15" t="s">
        <v>416</v>
      </c>
      <c r="E359" s="15" t="s">
        <v>431</v>
      </c>
      <c r="F359" s="15" t="s">
        <v>651</v>
      </c>
      <c r="G359" s="15" t="s">
        <v>652</v>
      </c>
      <c r="H359" s="15" t="s">
        <v>653</v>
      </c>
      <c r="I359" s="15" t="s">
        <v>654</v>
      </c>
      <c r="J359" s="15" t="s">
        <v>220</v>
      </c>
      <c r="K359" s="81" t="s">
        <v>3365</v>
      </c>
      <c r="L359" s="15" t="s">
        <v>655</v>
      </c>
    </row>
    <row r="360" spans="1:12" x14ac:dyDescent="0.25">
      <c r="A360" s="15" t="s">
        <v>222</v>
      </c>
      <c r="B360" s="15">
        <v>830</v>
      </c>
      <c r="C360" s="80" t="s">
        <v>3366</v>
      </c>
      <c r="D360" s="15" t="s">
        <v>416</v>
      </c>
      <c r="E360" s="15" t="s">
        <v>431</v>
      </c>
      <c r="F360" s="15" t="s">
        <v>656</v>
      </c>
      <c r="G360" s="15" t="s">
        <v>3014</v>
      </c>
      <c r="H360" s="15" t="s">
        <v>658</v>
      </c>
      <c r="I360" s="15" t="s">
        <v>225</v>
      </c>
      <c r="J360" s="15" t="s">
        <v>220</v>
      </c>
      <c r="K360" s="81" t="s">
        <v>3319</v>
      </c>
      <c r="L360" s="15" t="s">
        <v>659</v>
      </c>
    </row>
    <row r="361" spans="1:12" x14ac:dyDescent="0.25">
      <c r="A361" s="15" t="s">
        <v>269</v>
      </c>
      <c r="B361" s="15">
        <v>830</v>
      </c>
      <c r="C361" s="80" t="s">
        <v>3367</v>
      </c>
      <c r="D361" s="15" t="s">
        <v>416</v>
      </c>
      <c r="E361" s="15" t="s">
        <v>431</v>
      </c>
      <c r="F361" s="15" t="s">
        <v>861</v>
      </c>
      <c r="G361" s="15" t="s">
        <v>2957</v>
      </c>
      <c r="H361" s="15" t="s">
        <v>862</v>
      </c>
      <c r="I361" s="15" t="s">
        <v>855</v>
      </c>
      <c r="J361" s="15" t="s">
        <v>220</v>
      </c>
      <c r="K361" s="81" t="s">
        <v>3368</v>
      </c>
      <c r="L361" s="15" t="s">
        <v>863</v>
      </c>
    </row>
    <row r="362" spans="1:12" x14ac:dyDescent="0.25">
      <c r="A362" s="15" t="s">
        <v>232</v>
      </c>
      <c r="B362" s="15">
        <v>830</v>
      </c>
      <c r="C362" s="80" t="s">
        <v>3369</v>
      </c>
      <c r="D362" s="15" t="s">
        <v>416</v>
      </c>
      <c r="E362" s="15" t="s">
        <v>431</v>
      </c>
      <c r="F362" s="15" t="s">
        <v>847</v>
      </c>
      <c r="G362" s="15" t="s">
        <v>848</v>
      </c>
      <c r="H362" s="15" t="s">
        <v>849</v>
      </c>
      <c r="I362" s="15" t="s">
        <v>850</v>
      </c>
      <c r="J362" s="15" t="s">
        <v>220</v>
      </c>
      <c r="K362" s="81" t="s">
        <v>3370</v>
      </c>
      <c r="L362" s="15" t="s">
        <v>851</v>
      </c>
    </row>
    <row r="363" spans="1:12" x14ac:dyDescent="0.25">
      <c r="A363" s="15" t="s">
        <v>215</v>
      </c>
      <c r="B363" s="15">
        <v>830</v>
      </c>
      <c r="C363" s="80" t="s">
        <v>3371</v>
      </c>
      <c r="D363" s="15" t="s">
        <v>416</v>
      </c>
      <c r="E363" s="15" t="s">
        <v>431</v>
      </c>
      <c r="F363" s="15" t="s">
        <v>710</v>
      </c>
      <c r="G363" s="15" t="s">
        <v>711</v>
      </c>
      <c r="H363" s="15" t="s">
        <v>712</v>
      </c>
      <c r="I363" s="15" t="s">
        <v>713</v>
      </c>
      <c r="J363" s="15" t="s">
        <v>220</v>
      </c>
      <c r="K363" s="81" t="s">
        <v>3310</v>
      </c>
      <c r="L363" s="15" t="s">
        <v>714</v>
      </c>
    </row>
    <row r="364" spans="1:12" x14ac:dyDescent="0.25">
      <c r="A364" s="15" t="s">
        <v>27</v>
      </c>
      <c r="B364" s="15">
        <v>804</v>
      </c>
      <c r="C364" s="80" t="s">
        <v>3372</v>
      </c>
      <c r="D364" s="15" t="s">
        <v>416</v>
      </c>
      <c r="E364" s="15" t="s">
        <v>431</v>
      </c>
      <c r="F364" s="15" t="s">
        <v>2375</v>
      </c>
      <c r="G364" s="15" t="s">
        <v>2376</v>
      </c>
      <c r="H364" s="15" t="s">
        <v>2377</v>
      </c>
      <c r="I364" s="15" t="s">
        <v>31</v>
      </c>
      <c r="J364" s="15" t="s">
        <v>32</v>
      </c>
      <c r="K364" s="81" t="s">
        <v>3373</v>
      </c>
      <c r="L364" s="15" t="s">
        <v>2378</v>
      </c>
    </row>
    <row r="365" spans="1:12" x14ac:dyDescent="0.25">
      <c r="A365" s="15" t="s">
        <v>27</v>
      </c>
      <c r="B365" s="15">
        <v>804</v>
      </c>
      <c r="C365" s="80" t="s">
        <v>3374</v>
      </c>
      <c r="D365" s="15" t="s">
        <v>416</v>
      </c>
      <c r="E365" s="15" t="s">
        <v>431</v>
      </c>
      <c r="F365" s="15" t="s">
        <v>2379</v>
      </c>
      <c r="G365" s="15" t="s">
        <v>2498</v>
      </c>
      <c r="H365" s="15" t="s">
        <v>2380</v>
      </c>
      <c r="I365" s="15" t="s">
        <v>2381</v>
      </c>
      <c r="J365" s="15" t="s">
        <v>32</v>
      </c>
      <c r="K365" s="81" t="s">
        <v>3072</v>
      </c>
      <c r="L365" s="15" t="s">
        <v>2382</v>
      </c>
    </row>
    <row r="366" spans="1:12" x14ac:dyDescent="0.25">
      <c r="A366" s="15" t="s">
        <v>27</v>
      </c>
      <c r="B366" s="15">
        <v>804</v>
      </c>
      <c r="C366" s="80" t="s">
        <v>3375</v>
      </c>
      <c r="D366" s="15" t="s">
        <v>416</v>
      </c>
      <c r="E366" s="15" t="s">
        <v>431</v>
      </c>
      <c r="F366" s="15" t="s">
        <v>2383</v>
      </c>
      <c r="G366" s="15" t="s">
        <v>2384</v>
      </c>
      <c r="H366" s="15" t="s">
        <v>2385</v>
      </c>
      <c r="I366" s="15" t="s">
        <v>2386</v>
      </c>
      <c r="J366" s="15" t="s">
        <v>32</v>
      </c>
      <c r="K366" s="81" t="s">
        <v>3376</v>
      </c>
      <c r="L366" s="15" t="s">
        <v>2387</v>
      </c>
    </row>
    <row r="367" spans="1:12" x14ac:dyDescent="0.25">
      <c r="A367" s="15" t="s">
        <v>27</v>
      </c>
      <c r="B367" s="15">
        <v>804</v>
      </c>
      <c r="C367" s="80" t="s">
        <v>3377</v>
      </c>
      <c r="D367" s="15" t="s">
        <v>416</v>
      </c>
      <c r="E367" s="15" t="s">
        <v>431</v>
      </c>
      <c r="F367" s="15" t="s">
        <v>2388</v>
      </c>
      <c r="G367" s="15" t="s">
        <v>2389</v>
      </c>
      <c r="H367" s="15" t="s">
        <v>2390</v>
      </c>
      <c r="I367" s="15" t="s">
        <v>2381</v>
      </c>
      <c r="J367" s="15" t="s">
        <v>32</v>
      </c>
      <c r="K367" s="81" t="s">
        <v>3072</v>
      </c>
      <c r="L367" s="15" t="s">
        <v>2391</v>
      </c>
    </row>
    <row r="368" spans="1:12" x14ac:dyDescent="0.25">
      <c r="A368" s="15" t="s">
        <v>27</v>
      </c>
      <c r="B368" s="15">
        <v>804</v>
      </c>
      <c r="C368" s="80" t="s">
        <v>3378</v>
      </c>
      <c r="D368" s="15" t="s">
        <v>416</v>
      </c>
      <c r="E368" s="15" t="s">
        <v>431</v>
      </c>
      <c r="F368" s="15" t="s">
        <v>2392</v>
      </c>
      <c r="G368" s="15" t="s">
        <v>3379</v>
      </c>
      <c r="H368" s="15" t="s">
        <v>2393</v>
      </c>
      <c r="I368" s="15" t="s">
        <v>2394</v>
      </c>
      <c r="J368" s="15" t="s">
        <v>32</v>
      </c>
      <c r="K368" s="81" t="s">
        <v>3380</v>
      </c>
      <c r="L368" s="15" t="s">
        <v>2395</v>
      </c>
    </row>
    <row r="369" spans="1:12" x14ac:dyDescent="0.25">
      <c r="A369" s="15" t="s">
        <v>27</v>
      </c>
      <c r="B369" s="15">
        <v>804</v>
      </c>
      <c r="C369" s="80" t="s">
        <v>3381</v>
      </c>
      <c r="D369" s="15" t="s">
        <v>416</v>
      </c>
      <c r="E369" s="15" t="s">
        <v>431</v>
      </c>
      <c r="F369" s="15" t="s">
        <v>2396</v>
      </c>
      <c r="G369" s="15" t="s">
        <v>2397</v>
      </c>
      <c r="H369" s="15" t="s">
        <v>2398</v>
      </c>
      <c r="I369" s="15" t="s">
        <v>2399</v>
      </c>
      <c r="J369" s="15" t="s">
        <v>32</v>
      </c>
      <c r="K369" s="81" t="s">
        <v>3382</v>
      </c>
      <c r="L369" s="15" t="s">
        <v>2400</v>
      </c>
    </row>
    <row r="370" spans="1:12" x14ac:dyDescent="0.25">
      <c r="A370" s="15" t="s">
        <v>27</v>
      </c>
      <c r="B370" s="15">
        <v>804</v>
      </c>
      <c r="C370" s="80" t="s">
        <v>3383</v>
      </c>
      <c r="D370" s="15" t="s">
        <v>416</v>
      </c>
      <c r="E370" s="15" t="s">
        <v>431</v>
      </c>
      <c r="F370" s="15" t="s">
        <v>2401</v>
      </c>
      <c r="G370" s="15" t="s">
        <v>2402</v>
      </c>
      <c r="H370" s="15" t="s">
        <v>2403</v>
      </c>
      <c r="I370" s="15" t="s">
        <v>31</v>
      </c>
      <c r="J370" s="15" t="s">
        <v>32</v>
      </c>
      <c r="K370" s="81" t="s">
        <v>3067</v>
      </c>
      <c r="L370" s="15" t="s">
        <v>2404</v>
      </c>
    </row>
    <row r="371" spans="1:12" x14ac:dyDescent="0.25">
      <c r="A371" s="15" t="s">
        <v>27</v>
      </c>
      <c r="B371" s="15">
        <v>804</v>
      </c>
      <c r="C371" s="80" t="s">
        <v>3384</v>
      </c>
      <c r="D371" s="15" t="s">
        <v>416</v>
      </c>
      <c r="E371" s="15" t="s">
        <v>431</v>
      </c>
      <c r="F371" s="15" t="s">
        <v>2405</v>
      </c>
      <c r="G371" s="15" t="s">
        <v>2406</v>
      </c>
      <c r="H371" s="15" t="s">
        <v>2407</v>
      </c>
      <c r="I371" s="15" t="s">
        <v>31</v>
      </c>
      <c r="J371" s="15" t="s">
        <v>32</v>
      </c>
      <c r="K371" s="81" t="s">
        <v>3385</v>
      </c>
      <c r="L371" s="15" t="s">
        <v>2408</v>
      </c>
    </row>
    <row r="372" spans="1:12" x14ac:dyDescent="0.25">
      <c r="A372" s="15" t="s">
        <v>27</v>
      </c>
      <c r="B372" s="15">
        <v>804</v>
      </c>
      <c r="C372" s="80" t="s">
        <v>3386</v>
      </c>
      <c r="D372" s="15" t="s">
        <v>416</v>
      </c>
      <c r="E372" s="15" t="s">
        <v>431</v>
      </c>
      <c r="F372" s="15" t="s">
        <v>2409</v>
      </c>
      <c r="G372" s="15" t="s">
        <v>2410</v>
      </c>
      <c r="H372" s="15" t="s">
        <v>2411</v>
      </c>
      <c r="I372" s="15" t="s">
        <v>2386</v>
      </c>
      <c r="J372" s="15" t="s">
        <v>32</v>
      </c>
      <c r="K372" s="81" t="s">
        <v>3387</v>
      </c>
      <c r="L372" s="15" t="s">
        <v>2412</v>
      </c>
    </row>
    <row r="373" spans="1:12" x14ac:dyDescent="0.25">
      <c r="A373" s="15" t="s">
        <v>27</v>
      </c>
      <c r="B373" s="15">
        <v>804</v>
      </c>
      <c r="C373" s="80" t="s">
        <v>3388</v>
      </c>
      <c r="D373" s="15" t="s">
        <v>416</v>
      </c>
      <c r="E373" s="15" t="s">
        <v>431</v>
      </c>
      <c r="F373" s="15" t="s">
        <v>2413</v>
      </c>
      <c r="G373" s="15" t="s">
        <v>2414</v>
      </c>
      <c r="H373" s="15" t="s">
        <v>2415</v>
      </c>
      <c r="I373" s="15" t="s">
        <v>2416</v>
      </c>
      <c r="J373" s="15" t="s">
        <v>32</v>
      </c>
      <c r="K373" s="81" t="s">
        <v>3389</v>
      </c>
      <c r="L373" s="15" t="s">
        <v>2417</v>
      </c>
    </row>
    <row r="374" spans="1:12" x14ac:dyDescent="0.25">
      <c r="A374" s="15" t="s">
        <v>27</v>
      </c>
      <c r="B374" s="15">
        <v>804</v>
      </c>
      <c r="C374" s="80" t="s">
        <v>3390</v>
      </c>
      <c r="D374" s="15" t="s">
        <v>416</v>
      </c>
      <c r="E374" s="15" t="s">
        <v>431</v>
      </c>
      <c r="F374" s="15" t="s">
        <v>2418</v>
      </c>
      <c r="G374" s="15" t="s">
        <v>2419</v>
      </c>
      <c r="H374" s="15" t="s">
        <v>2420</v>
      </c>
      <c r="I374" s="15" t="s">
        <v>2416</v>
      </c>
      <c r="J374" s="15" t="s">
        <v>32</v>
      </c>
      <c r="K374" s="81" t="s">
        <v>3389</v>
      </c>
      <c r="L374" s="15" t="s">
        <v>2421</v>
      </c>
    </row>
    <row r="375" spans="1:12" x14ac:dyDescent="0.25">
      <c r="A375" s="15" t="s">
        <v>27</v>
      </c>
      <c r="B375" s="15">
        <v>804</v>
      </c>
      <c r="C375" s="80" t="s">
        <v>3391</v>
      </c>
      <c r="D375" s="15" t="s">
        <v>416</v>
      </c>
      <c r="E375" s="15" t="s">
        <v>431</v>
      </c>
      <c r="F375" s="15" t="s">
        <v>2422</v>
      </c>
      <c r="G375" s="15" t="s">
        <v>2423</v>
      </c>
      <c r="H375" s="15" t="s">
        <v>2424</v>
      </c>
      <c r="I375" s="15" t="s">
        <v>2425</v>
      </c>
      <c r="J375" s="15" t="s">
        <v>32</v>
      </c>
      <c r="K375" s="81" t="s">
        <v>3392</v>
      </c>
      <c r="L375" s="15" t="s">
        <v>2426</v>
      </c>
    </row>
    <row r="376" spans="1:12" x14ac:dyDescent="0.25">
      <c r="A376" s="15" t="s">
        <v>27</v>
      </c>
      <c r="B376" s="15">
        <v>804</v>
      </c>
      <c r="C376" s="80" t="s">
        <v>3393</v>
      </c>
      <c r="D376" s="15" t="s">
        <v>416</v>
      </c>
      <c r="E376" s="15" t="s">
        <v>431</v>
      </c>
      <c r="F376" s="15" t="s">
        <v>2427</v>
      </c>
      <c r="G376" s="15" t="s">
        <v>2428</v>
      </c>
      <c r="H376" s="15" t="s">
        <v>2429</v>
      </c>
      <c r="I376" s="15" t="s">
        <v>2430</v>
      </c>
      <c r="J376" s="15" t="s">
        <v>32</v>
      </c>
      <c r="K376" s="81" t="s">
        <v>3394</v>
      </c>
      <c r="L376" s="15" t="s">
        <v>2431</v>
      </c>
    </row>
    <row r="377" spans="1:12" x14ac:dyDescent="0.25">
      <c r="A377" s="15" t="s">
        <v>27</v>
      </c>
      <c r="B377" s="15">
        <v>804</v>
      </c>
      <c r="C377" s="80" t="s">
        <v>3395</v>
      </c>
      <c r="D377" s="15" t="s">
        <v>416</v>
      </c>
      <c r="E377" s="15" t="s">
        <v>431</v>
      </c>
      <c r="F377" s="15" t="s">
        <v>2432</v>
      </c>
      <c r="G377" s="15" t="s">
        <v>2433</v>
      </c>
      <c r="H377" s="15" t="s">
        <v>2434</v>
      </c>
      <c r="I377" s="15" t="s">
        <v>2435</v>
      </c>
      <c r="J377" s="15" t="s">
        <v>32</v>
      </c>
      <c r="K377" s="81" t="s">
        <v>3396</v>
      </c>
      <c r="L377" s="15" t="s">
        <v>2436</v>
      </c>
    </row>
    <row r="378" spans="1:12" x14ac:dyDescent="0.25">
      <c r="A378" s="15" t="s">
        <v>75</v>
      </c>
      <c r="B378" s="15">
        <v>818</v>
      </c>
      <c r="C378" s="80" t="s">
        <v>3397</v>
      </c>
      <c r="D378" s="15" t="s">
        <v>416</v>
      </c>
      <c r="E378" s="15" t="s">
        <v>431</v>
      </c>
      <c r="F378" s="15" t="s">
        <v>2213</v>
      </c>
      <c r="G378" s="15" t="s">
        <v>2214</v>
      </c>
      <c r="H378" s="15" t="s">
        <v>2215</v>
      </c>
      <c r="I378" s="15" t="s">
        <v>79</v>
      </c>
      <c r="J378" s="15" t="s">
        <v>32</v>
      </c>
      <c r="K378" s="81" t="s">
        <v>3398</v>
      </c>
      <c r="L378" s="15" t="s">
        <v>2216</v>
      </c>
    </row>
    <row r="379" spans="1:12" x14ac:dyDescent="0.25">
      <c r="A379" s="15" t="s">
        <v>49</v>
      </c>
      <c r="B379" s="15">
        <v>812</v>
      </c>
      <c r="C379" s="80" t="s">
        <v>3399</v>
      </c>
      <c r="D379" s="15" t="s">
        <v>416</v>
      </c>
      <c r="E379" s="15" t="s">
        <v>431</v>
      </c>
      <c r="F379" s="15" t="s">
        <v>1016</v>
      </c>
      <c r="G379" s="15" t="s">
        <v>1017</v>
      </c>
      <c r="H379" s="15" t="s">
        <v>1018</v>
      </c>
      <c r="I379" s="15" t="s">
        <v>1019</v>
      </c>
      <c r="J379" s="15" t="s">
        <v>54</v>
      </c>
      <c r="K379" s="81" t="s">
        <v>3089</v>
      </c>
      <c r="L379" s="15" t="s">
        <v>1020</v>
      </c>
    </row>
    <row r="380" spans="1:12" x14ac:dyDescent="0.25">
      <c r="A380" s="15" t="s">
        <v>49</v>
      </c>
      <c r="B380" s="15">
        <v>812</v>
      </c>
      <c r="C380" s="80" t="s">
        <v>3400</v>
      </c>
      <c r="D380" s="15" t="s">
        <v>416</v>
      </c>
      <c r="E380" s="15" t="s">
        <v>431</v>
      </c>
      <c r="F380" s="15" t="s">
        <v>1021</v>
      </c>
      <c r="G380" s="15" t="s">
        <v>3015</v>
      </c>
      <c r="H380" s="15" t="s">
        <v>1023</v>
      </c>
      <c r="I380" s="15" t="s">
        <v>1024</v>
      </c>
      <c r="J380" s="15" t="s">
        <v>54</v>
      </c>
      <c r="K380" s="81" t="s">
        <v>3401</v>
      </c>
      <c r="L380" s="15" t="s">
        <v>1025</v>
      </c>
    </row>
    <row r="381" spans="1:12" x14ac:dyDescent="0.25">
      <c r="A381" s="15" t="s">
        <v>49</v>
      </c>
      <c r="B381" s="15">
        <v>812</v>
      </c>
      <c r="C381" s="80" t="s">
        <v>3402</v>
      </c>
      <c r="D381" s="15" t="s">
        <v>416</v>
      </c>
      <c r="E381" s="15" t="s">
        <v>431</v>
      </c>
      <c r="F381" s="15" t="s">
        <v>1026</v>
      </c>
      <c r="G381" s="15" t="s">
        <v>1027</v>
      </c>
      <c r="H381" s="15" t="s">
        <v>1028</v>
      </c>
      <c r="I381" s="15" t="s">
        <v>1029</v>
      </c>
      <c r="J381" s="15" t="s">
        <v>54</v>
      </c>
      <c r="K381" s="81" t="s">
        <v>3403</v>
      </c>
      <c r="L381" s="15" t="s">
        <v>1030</v>
      </c>
    </row>
    <row r="382" spans="1:12" x14ac:dyDescent="0.25">
      <c r="A382" s="15" t="s">
        <v>49</v>
      </c>
      <c r="B382" s="15">
        <v>812</v>
      </c>
      <c r="C382" s="80" t="s">
        <v>3404</v>
      </c>
      <c r="D382" s="15" t="s">
        <v>416</v>
      </c>
      <c r="E382" s="15" t="s">
        <v>431</v>
      </c>
      <c r="F382" s="15" t="s">
        <v>1031</v>
      </c>
      <c r="G382" s="15" t="s">
        <v>1032</v>
      </c>
      <c r="H382" s="15" t="s">
        <v>1033</v>
      </c>
      <c r="I382" s="15" t="s">
        <v>1024</v>
      </c>
      <c r="J382" s="15" t="s">
        <v>54</v>
      </c>
      <c r="K382" s="81" t="s">
        <v>3401</v>
      </c>
      <c r="L382" s="15" t="s">
        <v>1034</v>
      </c>
    </row>
    <row r="383" spans="1:12" x14ac:dyDescent="0.25">
      <c r="A383" s="15" t="s">
        <v>49</v>
      </c>
      <c r="B383" s="15">
        <v>812</v>
      </c>
      <c r="C383" s="80" t="s">
        <v>3405</v>
      </c>
      <c r="D383" s="15" t="s">
        <v>416</v>
      </c>
      <c r="E383" s="15" t="s">
        <v>431</v>
      </c>
      <c r="F383" s="15" t="s">
        <v>1035</v>
      </c>
      <c r="G383" s="15" t="s">
        <v>1176</v>
      </c>
      <c r="H383" s="15" t="s">
        <v>1036</v>
      </c>
      <c r="I383" s="15" t="s">
        <v>1037</v>
      </c>
      <c r="J383" s="15" t="s">
        <v>54</v>
      </c>
      <c r="K383" s="81" t="s">
        <v>3406</v>
      </c>
      <c r="L383" s="15" t="s">
        <v>1038</v>
      </c>
    </row>
    <row r="384" spans="1:12" x14ac:dyDescent="0.25">
      <c r="A384" s="15" t="s">
        <v>49</v>
      </c>
      <c r="B384" s="15">
        <v>812</v>
      </c>
      <c r="C384" s="80" t="s">
        <v>3407</v>
      </c>
      <c r="D384" s="15" t="s">
        <v>416</v>
      </c>
      <c r="E384" s="15" t="s">
        <v>431</v>
      </c>
      <c r="F384" s="15" t="s">
        <v>1039</v>
      </c>
      <c r="G384" s="15" t="s">
        <v>1040</v>
      </c>
      <c r="H384" s="15" t="s">
        <v>1041</v>
      </c>
      <c r="I384" s="15" t="s">
        <v>1042</v>
      </c>
      <c r="J384" s="15" t="s">
        <v>54</v>
      </c>
      <c r="K384" s="81" t="s">
        <v>3408</v>
      </c>
      <c r="L384" s="15" t="s">
        <v>1043</v>
      </c>
    </row>
    <row r="385" spans="1:12" x14ac:dyDescent="0.25">
      <c r="A385" s="15" t="s">
        <v>49</v>
      </c>
      <c r="B385" s="15">
        <v>812</v>
      </c>
      <c r="C385" s="80" t="s">
        <v>3409</v>
      </c>
      <c r="D385" s="15" t="s">
        <v>416</v>
      </c>
      <c r="E385" s="15" t="s">
        <v>431</v>
      </c>
      <c r="F385" s="15" t="s">
        <v>1044</v>
      </c>
      <c r="G385" s="15" t="s">
        <v>1045</v>
      </c>
      <c r="H385" s="15" t="s">
        <v>1046</v>
      </c>
      <c r="I385" s="15" t="s">
        <v>1047</v>
      </c>
      <c r="J385" s="15" t="s">
        <v>54</v>
      </c>
      <c r="K385" s="81" t="s">
        <v>3410</v>
      </c>
      <c r="L385" s="15" t="s">
        <v>1048</v>
      </c>
    </row>
    <row r="386" spans="1:12" x14ac:dyDescent="0.25">
      <c r="A386" s="15" t="s">
        <v>49</v>
      </c>
      <c r="B386" s="15">
        <v>812</v>
      </c>
      <c r="C386" s="80" t="s">
        <v>3411</v>
      </c>
      <c r="D386" s="15" t="s">
        <v>416</v>
      </c>
      <c r="E386" s="15" t="s">
        <v>431</v>
      </c>
      <c r="F386" s="15" t="s">
        <v>1049</v>
      </c>
      <c r="G386" s="15" t="s">
        <v>1107</v>
      </c>
      <c r="H386" s="15" t="s">
        <v>1050</v>
      </c>
      <c r="I386" s="15" t="s">
        <v>1051</v>
      </c>
      <c r="J386" s="15" t="s">
        <v>54</v>
      </c>
      <c r="K386" s="81" t="s">
        <v>3412</v>
      </c>
      <c r="L386" s="15" t="s">
        <v>1052</v>
      </c>
    </row>
    <row r="387" spans="1:12" x14ac:dyDescent="0.25">
      <c r="A387" s="15" t="s">
        <v>49</v>
      </c>
      <c r="B387" s="15">
        <v>812</v>
      </c>
      <c r="C387" s="80" t="s">
        <v>3413</v>
      </c>
      <c r="D387" s="15" t="s">
        <v>416</v>
      </c>
      <c r="E387" s="15" t="s">
        <v>431</v>
      </c>
      <c r="F387" s="15" t="s">
        <v>1053</v>
      </c>
      <c r="G387" s="15" t="s">
        <v>1182</v>
      </c>
      <c r="H387" s="15" t="s">
        <v>1054</v>
      </c>
      <c r="I387" s="15" t="s">
        <v>1055</v>
      </c>
      <c r="J387" s="15" t="s">
        <v>54</v>
      </c>
      <c r="K387" s="81" t="s">
        <v>3414</v>
      </c>
      <c r="L387" s="15" t="s">
        <v>1056</v>
      </c>
    </row>
    <row r="388" spans="1:12" x14ac:dyDescent="0.25">
      <c r="A388" s="15" t="s">
        <v>62</v>
      </c>
      <c r="B388" s="15">
        <v>812</v>
      </c>
      <c r="C388" s="80" t="s">
        <v>3415</v>
      </c>
      <c r="D388" s="15" t="s">
        <v>416</v>
      </c>
      <c r="E388" s="15" t="s">
        <v>431</v>
      </c>
      <c r="F388" s="15" t="s">
        <v>1237</v>
      </c>
      <c r="G388" s="15" t="s">
        <v>3041</v>
      </c>
      <c r="H388" s="15" t="s">
        <v>1238</v>
      </c>
      <c r="I388" s="15" t="s">
        <v>1239</v>
      </c>
      <c r="J388" s="15" t="s">
        <v>54</v>
      </c>
      <c r="K388" s="81" t="s">
        <v>3416</v>
      </c>
      <c r="L388" s="15" t="s">
        <v>1240</v>
      </c>
    </row>
    <row r="389" spans="1:12" x14ac:dyDescent="0.25">
      <c r="A389" s="15" t="s">
        <v>68</v>
      </c>
      <c r="B389" s="15">
        <v>812</v>
      </c>
      <c r="C389" s="80" t="s">
        <v>3417</v>
      </c>
      <c r="D389" s="15" t="s">
        <v>416</v>
      </c>
      <c r="E389" s="15" t="s">
        <v>431</v>
      </c>
      <c r="F389" s="15" t="s">
        <v>986</v>
      </c>
      <c r="G389" s="15" t="s">
        <v>3001</v>
      </c>
      <c r="H389" s="15" t="s">
        <v>987</v>
      </c>
      <c r="I389" s="15" t="s">
        <v>988</v>
      </c>
      <c r="J389" s="15" t="s">
        <v>54</v>
      </c>
      <c r="K389" s="81" t="s">
        <v>3418</v>
      </c>
      <c r="L389" s="15" t="s">
        <v>989</v>
      </c>
    </row>
    <row r="390" spans="1:12" x14ac:dyDescent="0.25">
      <c r="A390" s="15" t="s">
        <v>49</v>
      </c>
      <c r="B390" s="15">
        <v>812</v>
      </c>
      <c r="C390" s="80" t="s">
        <v>3419</v>
      </c>
      <c r="D390" s="15" t="s">
        <v>416</v>
      </c>
      <c r="E390" s="15" t="s">
        <v>431</v>
      </c>
      <c r="F390" s="15" t="s">
        <v>1057</v>
      </c>
      <c r="G390" s="15" t="s">
        <v>1022</v>
      </c>
      <c r="H390" s="15" t="s">
        <v>1059</v>
      </c>
      <c r="I390" s="15" t="s">
        <v>1019</v>
      </c>
      <c r="J390" s="15" t="s">
        <v>54</v>
      </c>
      <c r="K390" s="81" t="s">
        <v>3089</v>
      </c>
      <c r="L390" s="15" t="s">
        <v>1060</v>
      </c>
    </row>
    <row r="391" spans="1:12" x14ac:dyDescent="0.25">
      <c r="A391" s="15" t="s">
        <v>68</v>
      </c>
      <c r="B391" s="15">
        <v>812</v>
      </c>
      <c r="C391" s="80" t="s">
        <v>3420</v>
      </c>
      <c r="D391" s="15" t="s">
        <v>416</v>
      </c>
      <c r="E391" s="15" t="s">
        <v>431</v>
      </c>
      <c r="F391" s="15" t="s">
        <v>990</v>
      </c>
      <c r="G391" s="15" t="s">
        <v>991</v>
      </c>
      <c r="H391" s="15" t="s">
        <v>992</v>
      </c>
      <c r="I391" s="15" t="s">
        <v>988</v>
      </c>
      <c r="J391" s="15" t="s">
        <v>54</v>
      </c>
      <c r="K391" s="81" t="s">
        <v>3421</v>
      </c>
      <c r="L391" s="15" t="s">
        <v>993</v>
      </c>
    </row>
    <row r="392" spans="1:12" x14ac:dyDescent="0.25">
      <c r="A392" s="15" t="s">
        <v>68</v>
      </c>
      <c r="B392" s="15">
        <v>812</v>
      </c>
      <c r="C392" s="80" t="s">
        <v>3422</v>
      </c>
      <c r="D392" s="15" t="s">
        <v>416</v>
      </c>
      <c r="E392" s="15" t="s">
        <v>431</v>
      </c>
      <c r="F392" s="15" t="s">
        <v>994</v>
      </c>
      <c r="G392" s="15" t="s">
        <v>1000</v>
      </c>
      <c r="H392" s="15" t="s">
        <v>996</v>
      </c>
      <c r="I392" s="15" t="s">
        <v>997</v>
      </c>
      <c r="J392" s="15" t="s">
        <v>54</v>
      </c>
      <c r="K392" s="81" t="s">
        <v>3423</v>
      </c>
      <c r="L392" s="15" t="s">
        <v>998</v>
      </c>
    </row>
    <row r="393" spans="1:12" x14ac:dyDescent="0.25">
      <c r="A393" s="15" t="s">
        <v>49</v>
      </c>
      <c r="B393" s="15">
        <v>832</v>
      </c>
      <c r="C393" s="80" t="s">
        <v>3424</v>
      </c>
      <c r="D393" s="15" t="s">
        <v>416</v>
      </c>
      <c r="E393" s="15" t="s">
        <v>431</v>
      </c>
      <c r="F393" s="15" t="s">
        <v>1061</v>
      </c>
      <c r="G393" s="15" t="s">
        <v>1062</v>
      </c>
      <c r="H393" s="15" t="s">
        <v>1063</v>
      </c>
      <c r="I393" s="15" t="s">
        <v>1064</v>
      </c>
      <c r="J393" s="15" t="s">
        <v>54</v>
      </c>
      <c r="K393" s="81" t="s">
        <v>3425</v>
      </c>
      <c r="L393" s="15" t="s">
        <v>1065</v>
      </c>
    </row>
    <row r="394" spans="1:12" x14ac:dyDescent="0.25">
      <c r="A394" s="15" t="s">
        <v>49</v>
      </c>
      <c r="B394" s="15">
        <v>832</v>
      </c>
      <c r="C394" s="80" t="s">
        <v>3426</v>
      </c>
      <c r="D394" s="15" t="s">
        <v>416</v>
      </c>
      <c r="E394" s="15" t="s">
        <v>431</v>
      </c>
      <c r="F394" s="15" t="s">
        <v>1066</v>
      </c>
      <c r="G394" s="15" t="s">
        <v>1067</v>
      </c>
      <c r="H394" s="15" t="s">
        <v>1068</v>
      </c>
      <c r="I394" s="15" t="s">
        <v>1069</v>
      </c>
      <c r="J394" s="15" t="s">
        <v>54</v>
      </c>
      <c r="K394" s="81" t="s">
        <v>3427</v>
      </c>
      <c r="L394" s="15" t="s">
        <v>1070</v>
      </c>
    </row>
    <row r="395" spans="1:12" x14ac:dyDescent="0.25">
      <c r="A395" s="15" t="s">
        <v>49</v>
      </c>
      <c r="B395" s="15">
        <v>832</v>
      </c>
      <c r="C395" s="80" t="s">
        <v>3428</v>
      </c>
      <c r="D395" s="15" t="s">
        <v>416</v>
      </c>
      <c r="E395" s="15" t="s">
        <v>431</v>
      </c>
      <c r="F395" s="15" t="s">
        <v>1071</v>
      </c>
      <c r="G395" s="15" t="s">
        <v>1072</v>
      </c>
      <c r="H395" s="15" t="s">
        <v>1073</v>
      </c>
      <c r="I395" s="15" t="s">
        <v>1074</v>
      </c>
      <c r="J395" s="15" t="s">
        <v>54</v>
      </c>
      <c r="K395" s="81" t="s">
        <v>3100</v>
      </c>
      <c r="L395" s="15" t="s">
        <v>1075</v>
      </c>
    </row>
    <row r="396" spans="1:12" x14ac:dyDescent="0.25">
      <c r="A396" s="15" t="s">
        <v>49</v>
      </c>
      <c r="B396" s="15">
        <v>832</v>
      </c>
      <c r="C396" s="80" t="s">
        <v>3429</v>
      </c>
      <c r="D396" s="15" t="s">
        <v>416</v>
      </c>
      <c r="E396" s="15" t="s">
        <v>431</v>
      </c>
      <c r="F396" s="15" t="s">
        <v>1076</v>
      </c>
      <c r="G396" s="15" t="s">
        <v>1077</v>
      </c>
      <c r="H396" s="15" t="s">
        <v>1078</v>
      </c>
      <c r="I396" s="15" t="s">
        <v>1079</v>
      </c>
      <c r="J396" s="15" t="s">
        <v>54</v>
      </c>
      <c r="K396" s="81" t="s">
        <v>3430</v>
      </c>
      <c r="L396" s="15" t="s">
        <v>1080</v>
      </c>
    </row>
    <row r="397" spans="1:12" x14ac:dyDescent="0.25">
      <c r="A397" s="15" t="s">
        <v>49</v>
      </c>
      <c r="B397" s="15">
        <v>832</v>
      </c>
      <c r="C397" s="80" t="s">
        <v>3431</v>
      </c>
      <c r="D397" s="15" t="s">
        <v>416</v>
      </c>
      <c r="E397" s="15" t="s">
        <v>431</v>
      </c>
      <c r="F397" s="15" t="s">
        <v>1081</v>
      </c>
      <c r="G397" s="15" t="s">
        <v>1082</v>
      </c>
      <c r="H397" s="15" t="s">
        <v>1083</v>
      </c>
      <c r="I397" s="15" t="s">
        <v>1084</v>
      </c>
      <c r="J397" s="15" t="s">
        <v>54</v>
      </c>
      <c r="K397" s="81" t="s">
        <v>3123</v>
      </c>
      <c r="L397" s="15" t="s">
        <v>1085</v>
      </c>
    </row>
    <row r="398" spans="1:12" x14ac:dyDescent="0.25">
      <c r="A398" s="15" t="s">
        <v>49</v>
      </c>
      <c r="B398" s="15">
        <v>832</v>
      </c>
      <c r="C398" s="80" t="s">
        <v>3432</v>
      </c>
      <c r="D398" s="15" t="s">
        <v>416</v>
      </c>
      <c r="E398" s="15" t="s">
        <v>431</v>
      </c>
      <c r="F398" s="15" t="s">
        <v>1086</v>
      </c>
      <c r="G398" s="15" t="s">
        <v>1087</v>
      </c>
      <c r="H398" s="15" t="s">
        <v>1088</v>
      </c>
      <c r="I398" s="15" t="s">
        <v>1074</v>
      </c>
      <c r="J398" s="15" t="s">
        <v>54</v>
      </c>
      <c r="K398" s="81" t="s">
        <v>3433</v>
      </c>
      <c r="L398" s="15" t="s">
        <v>1089</v>
      </c>
    </row>
    <row r="399" spans="1:12" x14ac:dyDescent="0.25">
      <c r="A399" s="15" t="s">
        <v>49</v>
      </c>
      <c r="B399" s="15">
        <v>832</v>
      </c>
      <c r="C399" s="80" t="s">
        <v>3434</v>
      </c>
      <c r="D399" s="15" t="s">
        <v>416</v>
      </c>
      <c r="E399" s="15" t="s">
        <v>431</v>
      </c>
      <c r="F399" s="15" t="s">
        <v>1090</v>
      </c>
      <c r="G399" s="15" t="s">
        <v>1091</v>
      </c>
      <c r="H399" s="15" t="s">
        <v>1092</v>
      </c>
      <c r="I399" s="15" t="s">
        <v>1074</v>
      </c>
      <c r="J399" s="15" t="s">
        <v>54</v>
      </c>
      <c r="K399" s="81" t="s">
        <v>3435</v>
      </c>
      <c r="L399" s="15" t="s">
        <v>1093</v>
      </c>
    </row>
    <row r="400" spans="1:12" x14ac:dyDescent="0.25">
      <c r="A400" s="15" t="s">
        <v>49</v>
      </c>
      <c r="B400" s="15">
        <v>832</v>
      </c>
      <c r="C400" s="80" t="s">
        <v>3436</v>
      </c>
      <c r="D400" s="15" t="s">
        <v>416</v>
      </c>
      <c r="E400" s="15" t="s">
        <v>431</v>
      </c>
      <c r="F400" s="15" t="s">
        <v>1094</v>
      </c>
      <c r="G400" s="15" t="s">
        <v>1095</v>
      </c>
      <c r="H400" s="15" t="s">
        <v>1096</v>
      </c>
      <c r="I400" s="15" t="s">
        <v>1074</v>
      </c>
      <c r="J400" s="15" t="s">
        <v>54</v>
      </c>
      <c r="K400" s="81" t="s">
        <v>3437</v>
      </c>
      <c r="L400" s="15" t="s">
        <v>1097</v>
      </c>
    </row>
    <row r="401" spans="1:12" x14ac:dyDescent="0.25">
      <c r="A401" s="15" t="s">
        <v>49</v>
      </c>
      <c r="B401" s="15">
        <v>832</v>
      </c>
      <c r="C401" s="80" t="s">
        <v>3438</v>
      </c>
      <c r="D401" s="15" t="s">
        <v>416</v>
      </c>
      <c r="E401" s="15" t="s">
        <v>431</v>
      </c>
      <c r="F401" s="15" t="s">
        <v>1098</v>
      </c>
      <c r="G401" s="15" t="s">
        <v>1099</v>
      </c>
      <c r="H401" s="15" t="s">
        <v>1100</v>
      </c>
      <c r="I401" s="15" t="s">
        <v>1074</v>
      </c>
      <c r="J401" s="15" t="s">
        <v>54</v>
      </c>
      <c r="K401" s="81" t="s">
        <v>3101</v>
      </c>
      <c r="L401" s="15" t="s">
        <v>1101</v>
      </c>
    </row>
    <row r="402" spans="1:12" x14ac:dyDescent="0.25">
      <c r="A402" s="15" t="s">
        <v>49</v>
      </c>
      <c r="B402" s="15">
        <v>812</v>
      </c>
      <c r="C402" s="80" t="s">
        <v>3439</v>
      </c>
      <c r="D402" s="15" t="s">
        <v>416</v>
      </c>
      <c r="E402" s="15" t="s">
        <v>431</v>
      </c>
      <c r="F402" s="15" t="s">
        <v>1102</v>
      </c>
      <c r="G402" s="15" t="s">
        <v>3042</v>
      </c>
      <c r="H402" s="15" t="s">
        <v>1104</v>
      </c>
      <c r="I402" s="15" t="s">
        <v>1069</v>
      </c>
      <c r="J402" s="15" t="s">
        <v>54</v>
      </c>
      <c r="K402" s="81" t="s">
        <v>3427</v>
      </c>
      <c r="L402" s="15" t="s">
        <v>1105</v>
      </c>
    </row>
    <row r="403" spans="1:12" x14ac:dyDescent="0.25">
      <c r="A403" s="15" t="s">
        <v>49</v>
      </c>
      <c r="B403" s="15">
        <v>832</v>
      </c>
      <c r="C403" s="80" t="s">
        <v>3440</v>
      </c>
      <c r="D403" s="15" t="s">
        <v>416</v>
      </c>
      <c r="E403" s="15" t="s">
        <v>431</v>
      </c>
      <c r="F403" s="15" t="s">
        <v>1106</v>
      </c>
      <c r="G403" s="15" t="s">
        <v>3016</v>
      </c>
      <c r="H403" s="15" t="s">
        <v>1108</v>
      </c>
      <c r="I403" s="15" t="s">
        <v>1037</v>
      </c>
      <c r="J403" s="15" t="s">
        <v>54</v>
      </c>
      <c r="K403" s="81" t="s">
        <v>3441</v>
      </c>
      <c r="L403" s="15" t="s">
        <v>1109</v>
      </c>
    </row>
    <row r="404" spans="1:12" x14ac:dyDescent="0.25">
      <c r="A404" s="15" t="s">
        <v>237</v>
      </c>
      <c r="B404" s="15">
        <v>813</v>
      </c>
      <c r="C404" s="80" t="s">
        <v>3442</v>
      </c>
      <c r="D404" s="15" t="s">
        <v>416</v>
      </c>
      <c r="E404" s="15" t="s">
        <v>431</v>
      </c>
      <c r="F404" s="15" t="s">
        <v>1300</v>
      </c>
      <c r="G404" s="15" t="s">
        <v>3017</v>
      </c>
      <c r="H404" s="15" t="s">
        <v>1301</v>
      </c>
      <c r="I404" s="15" t="s">
        <v>1302</v>
      </c>
      <c r="J404" s="15" t="s">
        <v>241</v>
      </c>
      <c r="K404" s="81" t="s">
        <v>3443</v>
      </c>
      <c r="L404" s="15" t="s">
        <v>1303</v>
      </c>
    </row>
    <row r="405" spans="1:12" x14ac:dyDescent="0.25">
      <c r="A405" s="15" t="s">
        <v>237</v>
      </c>
      <c r="B405" s="15">
        <v>813</v>
      </c>
      <c r="C405" s="80" t="s">
        <v>3444</v>
      </c>
      <c r="D405" s="15" t="s">
        <v>416</v>
      </c>
      <c r="E405" s="15" t="s">
        <v>431</v>
      </c>
      <c r="F405" s="15" t="s">
        <v>1304</v>
      </c>
      <c r="G405" s="15" t="s">
        <v>1305</v>
      </c>
      <c r="H405" s="15" t="s">
        <v>1306</v>
      </c>
      <c r="I405" s="15" t="s">
        <v>1307</v>
      </c>
      <c r="J405" s="15" t="s">
        <v>241</v>
      </c>
      <c r="K405" s="81" t="s">
        <v>3445</v>
      </c>
      <c r="L405" s="15" t="s">
        <v>1308</v>
      </c>
    </row>
    <row r="406" spans="1:12" x14ac:dyDescent="0.25">
      <c r="A406" s="15" t="s">
        <v>237</v>
      </c>
      <c r="B406" s="15">
        <v>813</v>
      </c>
      <c r="C406" s="80" t="s">
        <v>3446</v>
      </c>
      <c r="D406" s="15" t="s">
        <v>416</v>
      </c>
      <c r="E406" s="15" t="s">
        <v>431</v>
      </c>
      <c r="F406" s="15" t="s">
        <v>238</v>
      </c>
      <c r="G406" s="15" t="s">
        <v>2976</v>
      </c>
      <c r="H406" s="15" t="s">
        <v>239</v>
      </c>
      <c r="I406" s="15" t="s">
        <v>240</v>
      </c>
      <c r="J406" s="15" t="s">
        <v>241</v>
      </c>
      <c r="K406" s="81" t="s">
        <v>3447</v>
      </c>
      <c r="L406" s="15" t="s">
        <v>242</v>
      </c>
    </row>
    <row r="407" spans="1:12" x14ac:dyDescent="0.25">
      <c r="A407" s="15" t="s">
        <v>49</v>
      </c>
      <c r="B407" s="15">
        <v>812</v>
      </c>
      <c r="C407" s="80" t="s">
        <v>3448</v>
      </c>
      <c r="D407" s="15" t="s">
        <v>416</v>
      </c>
      <c r="E407" s="15" t="s">
        <v>431</v>
      </c>
      <c r="F407" s="15" t="s">
        <v>1110</v>
      </c>
      <c r="G407" s="15" t="s">
        <v>1111</v>
      </c>
      <c r="H407" s="15" t="s">
        <v>1112</v>
      </c>
      <c r="I407" s="15" t="s">
        <v>1113</v>
      </c>
      <c r="J407" s="15" t="s">
        <v>54</v>
      </c>
      <c r="K407" s="81" t="s">
        <v>3449</v>
      </c>
      <c r="L407" s="15" t="s">
        <v>1114</v>
      </c>
    </row>
    <row r="408" spans="1:12" x14ac:dyDescent="0.25">
      <c r="A408" s="15" t="s">
        <v>62</v>
      </c>
      <c r="B408" s="15">
        <v>812</v>
      </c>
      <c r="C408" s="80" t="s">
        <v>3450</v>
      </c>
      <c r="D408" s="15" t="s">
        <v>416</v>
      </c>
      <c r="E408" s="15" t="s">
        <v>431</v>
      </c>
      <c r="F408" s="15" t="s">
        <v>1241</v>
      </c>
      <c r="G408" s="15" t="s">
        <v>1242</v>
      </c>
      <c r="H408" s="15" t="s">
        <v>1243</v>
      </c>
      <c r="I408" s="15" t="s">
        <v>1244</v>
      </c>
      <c r="J408" s="15" t="s">
        <v>54</v>
      </c>
      <c r="K408" s="81" t="s">
        <v>3451</v>
      </c>
      <c r="L408" s="15" t="s">
        <v>1245</v>
      </c>
    </row>
    <row r="409" spans="1:12" x14ac:dyDescent="0.25">
      <c r="A409" s="15" t="s">
        <v>49</v>
      </c>
      <c r="B409" s="15">
        <v>812</v>
      </c>
      <c r="C409" s="80" t="s">
        <v>3452</v>
      </c>
      <c r="D409" s="15" t="s">
        <v>416</v>
      </c>
      <c r="E409" s="15" t="s">
        <v>431</v>
      </c>
      <c r="F409" s="15" t="s">
        <v>1115</v>
      </c>
      <c r="G409" s="15" t="s">
        <v>1116</v>
      </c>
      <c r="H409" s="15" t="s">
        <v>1117</v>
      </c>
      <c r="I409" s="15" t="s">
        <v>1118</v>
      </c>
      <c r="J409" s="15" t="s">
        <v>54</v>
      </c>
      <c r="K409" s="81" t="s">
        <v>3453</v>
      </c>
      <c r="L409" s="15" t="s">
        <v>1119</v>
      </c>
    </row>
    <row r="410" spans="1:12" x14ac:dyDescent="0.25">
      <c r="A410" s="15" t="s">
        <v>49</v>
      </c>
      <c r="B410" s="15">
        <v>812</v>
      </c>
      <c r="C410" s="80" t="s">
        <v>3454</v>
      </c>
      <c r="D410" s="15" t="s">
        <v>416</v>
      </c>
      <c r="E410" s="15" t="s">
        <v>431</v>
      </c>
      <c r="F410" s="15" t="s">
        <v>1120</v>
      </c>
      <c r="G410" s="15" t="s">
        <v>1121</v>
      </c>
      <c r="H410" s="15" t="s">
        <v>1122</v>
      </c>
      <c r="I410" s="15" t="s">
        <v>1074</v>
      </c>
      <c r="J410" s="15" t="s">
        <v>54</v>
      </c>
      <c r="K410" s="81" t="s">
        <v>3126</v>
      </c>
      <c r="L410" s="15" t="s">
        <v>1123</v>
      </c>
    </row>
    <row r="411" spans="1:12" x14ac:dyDescent="0.25">
      <c r="A411" s="15" t="s">
        <v>75</v>
      </c>
      <c r="B411" s="15">
        <v>818</v>
      </c>
      <c r="C411" s="80" t="s">
        <v>3455</v>
      </c>
      <c r="D411" s="15" t="s">
        <v>416</v>
      </c>
      <c r="E411" s="15" t="s">
        <v>431</v>
      </c>
      <c r="F411" s="15" t="s">
        <v>2217</v>
      </c>
      <c r="G411" s="15" t="s">
        <v>2222</v>
      </c>
      <c r="H411" s="15" t="s">
        <v>2218</v>
      </c>
      <c r="I411" s="15" t="s">
        <v>79</v>
      </c>
      <c r="J411" s="15" t="s">
        <v>32</v>
      </c>
      <c r="K411" s="81" t="s">
        <v>3128</v>
      </c>
      <c r="L411" s="15" t="s">
        <v>2219</v>
      </c>
    </row>
    <row r="412" spans="1:12" x14ac:dyDescent="0.25">
      <c r="A412" s="15" t="s">
        <v>100</v>
      </c>
      <c r="B412" s="15">
        <v>806</v>
      </c>
      <c r="C412" s="80" t="s">
        <v>3456</v>
      </c>
      <c r="D412" s="15" t="s">
        <v>416</v>
      </c>
      <c r="E412" s="15" t="s">
        <v>431</v>
      </c>
      <c r="F412" s="15" t="s">
        <v>489</v>
      </c>
      <c r="G412" s="15" t="s">
        <v>490</v>
      </c>
      <c r="H412" s="15" t="s">
        <v>491</v>
      </c>
      <c r="I412" s="15" t="s">
        <v>492</v>
      </c>
      <c r="J412" s="15" t="s">
        <v>105</v>
      </c>
      <c r="K412" s="81" t="s">
        <v>3457</v>
      </c>
      <c r="L412" s="15" t="s">
        <v>493</v>
      </c>
    </row>
    <row r="413" spans="1:12" x14ac:dyDescent="0.25">
      <c r="A413" s="15" t="s">
        <v>100</v>
      </c>
      <c r="B413" s="15">
        <v>806</v>
      </c>
      <c r="C413" s="80" t="s">
        <v>3458</v>
      </c>
      <c r="D413" s="15" t="s">
        <v>416</v>
      </c>
      <c r="E413" s="15" t="s">
        <v>431</v>
      </c>
      <c r="F413" s="15" t="s">
        <v>494</v>
      </c>
      <c r="G413" s="15" t="s">
        <v>495</v>
      </c>
      <c r="H413" s="15" t="s">
        <v>496</v>
      </c>
      <c r="I413" s="15" t="s">
        <v>104</v>
      </c>
      <c r="J413" s="15" t="s">
        <v>105</v>
      </c>
      <c r="K413" s="81" t="s">
        <v>3459</v>
      </c>
      <c r="L413" s="15" t="s">
        <v>497</v>
      </c>
    </row>
    <row r="414" spans="1:12" x14ac:dyDescent="0.25">
      <c r="A414" s="15" t="s">
        <v>100</v>
      </c>
      <c r="B414" s="15">
        <v>806</v>
      </c>
      <c r="C414" s="80" t="s">
        <v>3460</v>
      </c>
      <c r="D414" s="15" t="s">
        <v>416</v>
      </c>
      <c r="E414" s="15" t="s">
        <v>431</v>
      </c>
      <c r="F414" s="15" t="s">
        <v>498</v>
      </c>
      <c r="G414" s="15" t="s">
        <v>499</v>
      </c>
      <c r="H414" s="15" t="s">
        <v>500</v>
      </c>
      <c r="I414" s="15" t="s">
        <v>104</v>
      </c>
      <c r="J414" s="15" t="s">
        <v>105</v>
      </c>
      <c r="K414" s="81" t="s">
        <v>3461</v>
      </c>
      <c r="L414" s="15" t="s">
        <v>501</v>
      </c>
    </row>
    <row r="415" spans="1:12" x14ac:dyDescent="0.25">
      <c r="A415" s="15" t="s">
        <v>100</v>
      </c>
      <c r="B415" s="15">
        <v>806</v>
      </c>
      <c r="C415" s="80" t="s">
        <v>3462</v>
      </c>
      <c r="D415" s="15" t="s">
        <v>416</v>
      </c>
      <c r="E415" s="15" t="s">
        <v>431</v>
      </c>
      <c r="F415" s="15" t="s">
        <v>502</v>
      </c>
      <c r="G415" s="15" t="s">
        <v>3043</v>
      </c>
      <c r="H415" s="15" t="s">
        <v>504</v>
      </c>
      <c r="I415" s="15" t="s">
        <v>104</v>
      </c>
      <c r="J415" s="15" t="s">
        <v>105</v>
      </c>
      <c r="K415" s="81" t="s">
        <v>3463</v>
      </c>
      <c r="L415" s="15" t="s">
        <v>505</v>
      </c>
    </row>
    <row r="416" spans="1:12" x14ac:dyDescent="0.25">
      <c r="A416" s="15" t="s">
        <v>100</v>
      </c>
      <c r="B416" s="15">
        <v>806</v>
      </c>
      <c r="C416" s="80" t="s">
        <v>3464</v>
      </c>
      <c r="D416" s="15" t="s">
        <v>416</v>
      </c>
      <c r="E416" s="15" t="s">
        <v>431</v>
      </c>
      <c r="F416" s="15" t="s">
        <v>506</v>
      </c>
      <c r="G416" s="15" t="s">
        <v>507</v>
      </c>
      <c r="H416" s="15" t="s">
        <v>508</v>
      </c>
      <c r="I416" s="15" t="s">
        <v>104</v>
      </c>
      <c r="J416" s="15" t="s">
        <v>105</v>
      </c>
      <c r="K416" s="81" t="s">
        <v>3465</v>
      </c>
      <c r="L416" s="15" t="s">
        <v>509</v>
      </c>
    </row>
    <row r="417" spans="1:12" x14ac:dyDescent="0.25">
      <c r="A417" s="15" t="s">
        <v>100</v>
      </c>
      <c r="B417" s="15">
        <v>806</v>
      </c>
      <c r="C417" s="80" t="s">
        <v>3466</v>
      </c>
      <c r="D417" s="15" t="s">
        <v>416</v>
      </c>
      <c r="E417" s="15" t="s">
        <v>431</v>
      </c>
      <c r="F417" s="15" t="s">
        <v>510</v>
      </c>
      <c r="G417" s="15" t="s">
        <v>511</v>
      </c>
      <c r="H417" s="15" t="s">
        <v>512</v>
      </c>
      <c r="I417" s="15" t="s">
        <v>104</v>
      </c>
      <c r="J417" s="15" t="s">
        <v>105</v>
      </c>
      <c r="K417" s="81" t="s">
        <v>3467</v>
      </c>
      <c r="L417" s="15" t="s">
        <v>513</v>
      </c>
    </row>
    <row r="418" spans="1:12" x14ac:dyDescent="0.25">
      <c r="A418" s="15" t="s">
        <v>100</v>
      </c>
      <c r="B418" s="15">
        <v>806</v>
      </c>
      <c r="C418" s="80" t="s">
        <v>3468</v>
      </c>
      <c r="D418" s="15" t="s">
        <v>416</v>
      </c>
      <c r="E418" s="15" t="s">
        <v>431</v>
      </c>
      <c r="F418" s="15" t="s">
        <v>514</v>
      </c>
      <c r="G418" s="15" t="s">
        <v>515</v>
      </c>
      <c r="H418" s="15" t="s">
        <v>516</v>
      </c>
      <c r="I418" s="15" t="s">
        <v>104</v>
      </c>
      <c r="J418" s="15" t="s">
        <v>105</v>
      </c>
      <c r="K418" s="81" t="s">
        <v>3459</v>
      </c>
      <c r="L418" s="15" t="s">
        <v>517</v>
      </c>
    </row>
    <row r="419" spans="1:12" x14ac:dyDescent="0.25">
      <c r="A419" s="15" t="s">
        <v>107</v>
      </c>
      <c r="B419" s="15">
        <v>810</v>
      </c>
      <c r="C419" s="80" t="s">
        <v>3469</v>
      </c>
      <c r="D419" s="15" t="s">
        <v>416</v>
      </c>
      <c r="E419" s="15" t="s">
        <v>431</v>
      </c>
      <c r="F419" s="15" t="s">
        <v>874</v>
      </c>
      <c r="G419" s="15" t="s">
        <v>875</v>
      </c>
      <c r="H419" s="15" t="s">
        <v>876</v>
      </c>
      <c r="I419" s="15" t="s">
        <v>877</v>
      </c>
      <c r="J419" s="15" t="s">
        <v>112</v>
      </c>
      <c r="K419" s="81" t="s">
        <v>3470</v>
      </c>
      <c r="L419" s="15" t="s">
        <v>878</v>
      </c>
    </row>
    <row r="420" spans="1:12" x14ac:dyDescent="0.25">
      <c r="A420" s="15" t="s">
        <v>107</v>
      </c>
      <c r="B420" s="15">
        <v>810</v>
      </c>
      <c r="C420" s="80" t="s">
        <v>3471</v>
      </c>
      <c r="D420" s="15" t="s">
        <v>416</v>
      </c>
      <c r="E420" s="15" t="s">
        <v>431</v>
      </c>
      <c r="F420" s="15" t="s">
        <v>879</v>
      </c>
      <c r="G420" s="15" t="s">
        <v>880</v>
      </c>
      <c r="H420" s="15" t="s">
        <v>881</v>
      </c>
      <c r="I420" s="15" t="s">
        <v>882</v>
      </c>
      <c r="J420" s="15" t="s">
        <v>112</v>
      </c>
      <c r="K420" s="81" t="s">
        <v>3472</v>
      </c>
      <c r="L420" s="15" t="s">
        <v>883</v>
      </c>
    </row>
    <row r="421" spans="1:12" x14ac:dyDescent="0.25">
      <c r="A421" s="15" t="s">
        <v>107</v>
      </c>
      <c r="B421" s="15">
        <v>810</v>
      </c>
      <c r="C421" s="80" t="s">
        <v>3473</v>
      </c>
      <c r="D421" s="15" t="s">
        <v>416</v>
      </c>
      <c r="E421" s="15" t="s">
        <v>431</v>
      </c>
      <c r="F421" s="15" t="s">
        <v>884</v>
      </c>
      <c r="G421" s="15" t="s">
        <v>885</v>
      </c>
      <c r="H421" s="15" t="s">
        <v>886</v>
      </c>
      <c r="I421" s="15" t="s">
        <v>887</v>
      </c>
      <c r="J421" s="15" t="s">
        <v>112</v>
      </c>
      <c r="K421" s="81" t="s">
        <v>3474</v>
      </c>
      <c r="L421" s="15" t="s">
        <v>888</v>
      </c>
    </row>
    <row r="422" spans="1:12" x14ac:dyDescent="0.25">
      <c r="A422" s="15" t="s">
        <v>107</v>
      </c>
      <c r="B422" s="15">
        <v>810</v>
      </c>
      <c r="C422" s="80" t="s">
        <v>3475</v>
      </c>
      <c r="D422" s="15" t="s">
        <v>416</v>
      </c>
      <c r="E422" s="15" t="s">
        <v>431</v>
      </c>
      <c r="F422" s="15" t="s">
        <v>889</v>
      </c>
      <c r="G422" s="15" t="s">
        <v>890</v>
      </c>
      <c r="H422" s="15" t="s">
        <v>891</v>
      </c>
      <c r="I422" s="15" t="s">
        <v>877</v>
      </c>
      <c r="J422" s="15" t="s">
        <v>112</v>
      </c>
      <c r="K422" s="81" t="s">
        <v>3476</v>
      </c>
      <c r="L422" s="15" t="s">
        <v>892</v>
      </c>
    </row>
    <row r="423" spans="1:12" x14ac:dyDescent="0.25">
      <c r="A423" s="15" t="s">
        <v>114</v>
      </c>
      <c r="B423" s="15">
        <v>806</v>
      </c>
      <c r="C423" s="80" t="s">
        <v>3477</v>
      </c>
      <c r="D423" s="15" t="s">
        <v>416</v>
      </c>
      <c r="E423" s="15" t="s">
        <v>431</v>
      </c>
      <c r="F423" s="15" t="s">
        <v>2265</v>
      </c>
      <c r="G423" s="15" t="s">
        <v>2266</v>
      </c>
      <c r="H423" s="15" t="s">
        <v>2267</v>
      </c>
      <c r="I423" s="15" t="s">
        <v>118</v>
      </c>
      <c r="J423" s="15" t="s">
        <v>32</v>
      </c>
      <c r="K423" s="81" t="s">
        <v>3170</v>
      </c>
      <c r="L423" s="15" t="s">
        <v>2268</v>
      </c>
    </row>
    <row r="424" spans="1:12" x14ac:dyDescent="0.25">
      <c r="A424" s="15" t="s">
        <v>114</v>
      </c>
      <c r="B424" s="15">
        <v>806</v>
      </c>
      <c r="C424" s="80" t="s">
        <v>3478</v>
      </c>
      <c r="D424" s="15" t="s">
        <v>416</v>
      </c>
      <c r="E424" s="15" t="s">
        <v>431</v>
      </c>
      <c r="F424" s="15" t="s">
        <v>2269</v>
      </c>
      <c r="G424" s="15" t="s">
        <v>2309</v>
      </c>
      <c r="H424" s="15" t="s">
        <v>2271</v>
      </c>
      <c r="I424" s="15" t="s">
        <v>118</v>
      </c>
      <c r="J424" s="15" t="s">
        <v>32</v>
      </c>
      <c r="K424" s="81" t="s">
        <v>3479</v>
      </c>
      <c r="L424" s="15" t="s">
        <v>2272</v>
      </c>
    </row>
    <row r="425" spans="1:12" x14ac:dyDescent="0.25">
      <c r="A425" s="15" t="s">
        <v>114</v>
      </c>
      <c r="B425" s="15">
        <v>806</v>
      </c>
      <c r="C425" s="80" t="s">
        <v>3480</v>
      </c>
      <c r="D425" s="15" t="s">
        <v>416</v>
      </c>
      <c r="E425" s="15" t="s">
        <v>431</v>
      </c>
      <c r="F425" s="15" t="s">
        <v>2273</v>
      </c>
      <c r="G425" s="15" t="s">
        <v>2274</v>
      </c>
      <c r="H425" s="15" t="s">
        <v>2275</v>
      </c>
      <c r="I425" s="15" t="s">
        <v>118</v>
      </c>
      <c r="J425" s="15" t="s">
        <v>32</v>
      </c>
      <c r="K425" s="81" t="s">
        <v>2276</v>
      </c>
      <c r="L425" s="15" t="s">
        <v>2277</v>
      </c>
    </row>
    <row r="426" spans="1:12" x14ac:dyDescent="0.25">
      <c r="A426" s="15" t="s">
        <v>114</v>
      </c>
      <c r="B426" s="15">
        <v>806</v>
      </c>
      <c r="C426" s="80" t="s">
        <v>3481</v>
      </c>
      <c r="D426" s="15" t="s">
        <v>416</v>
      </c>
      <c r="E426" s="15" t="s">
        <v>431</v>
      </c>
      <c r="F426" s="15" t="s">
        <v>2278</v>
      </c>
      <c r="G426" s="15" t="s">
        <v>2279</v>
      </c>
      <c r="H426" s="15" t="s">
        <v>2280</v>
      </c>
      <c r="I426" s="15" t="s">
        <v>118</v>
      </c>
      <c r="J426" s="15" t="s">
        <v>32</v>
      </c>
      <c r="K426" s="81" t="s">
        <v>3482</v>
      </c>
      <c r="L426" s="15" t="s">
        <v>2281</v>
      </c>
    </row>
    <row r="427" spans="1:12" x14ac:dyDescent="0.25">
      <c r="A427" s="15" t="s">
        <v>114</v>
      </c>
      <c r="B427" s="15">
        <v>806</v>
      </c>
      <c r="C427" s="80" t="s">
        <v>3483</v>
      </c>
      <c r="D427" s="15" t="s">
        <v>416</v>
      </c>
      <c r="E427" s="15" t="s">
        <v>431</v>
      </c>
      <c r="F427" s="15" t="s">
        <v>2282</v>
      </c>
      <c r="G427" s="15" t="s">
        <v>2283</v>
      </c>
      <c r="H427" s="15" t="s">
        <v>2284</v>
      </c>
      <c r="I427" s="15" t="s">
        <v>118</v>
      </c>
      <c r="J427" s="15" t="s">
        <v>32</v>
      </c>
      <c r="K427" s="81" t="s">
        <v>3165</v>
      </c>
      <c r="L427" s="15" t="s">
        <v>2285</v>
      </c>
    </row>
    <row r="428" spans="1:12" x14ac:dyDescent="0.25">
      <c r="A428" s="15" t="s">
        <v>114</v>
      </c>
      <c r="B428" s="15">
        <v>806</v>
      </c>
      <c r="C428" s="80" t="s">
        <v>3484</v>
      </c>
      <c r="D428" s="15" t="s">
        <v>416</v>
      </c>
      <c r="E428" s="15" t="s">
        <v>431</v>
      </c>
      <c r="F428" s="15" t="s">
        <v>2286</v>
      </c>
      <c r="G428" s="15" t="s">
        <v>2977</v>
      </c>
      <c r="H428" s="15" t="s">
        <v>2287</v>
      </c>
      <c r="I428" s="15" t="s">
        <v>118</v>
      </c>
      <c r="J428" s="15" t="s">
        <v>32</v>
      </c>
      <c r="K428" s="81" t="s">
        <v>3485</v>
      </c>
      <c r="L428" s="15" t="s">
        <v>2288</v>
      </c>
    </row>
    <row r="429" spans="1:12" x14ac:dyDescent="0.25">
      <c r="A429" s="15" t="s">
        <v>114</v>
      </c>
      <c r="B429" s="15">
        <v>806</v>
      </c>
      <c r="C429" s="80" t="s">
        <v>3486</v>
      </c>
      <c r="D429" s="15" t="s">
        <v>416</v>
      </c>
      <c r="E429" s="15" t="s">
        <v>431</v>
      </c>
      <c r="F429" s="15" t="s">
        <v>2289</v>
      </c>
      <c r="G429" s="15" t="s">
        <v>2290</v>
      </c>
      <c r="H429" s="15" t="s">
        <v>2291</v>
      </c>
      <c r="I429" s="15" t="s">
        <v>118</v>
      </c>
      <c r="J429" s="15" t="s">
        <v>32</v>
      </c>
      <c r="K429" s="81" t="s">
        <v>3487</v>
      </c>
      <c r="L429" s="15" t="s">
        <v>2292</v>
      </c>
    </row>
    <row r="430" spans="1:12" x14ac:dyDescent="0.25">
      <c r="A430" s="15" t="s">
        <v>114</v>
      </c>
      <c r="B430" s="15">
        <v>806</v>
      </c>
      <c r="C430" s="80" t="s">
        <v>3488</v>
      </c>
      <c r="D430" s="15" t="s">
        <v>416</v>
      </c>
      <c r="E430" s="15" t="s">
        <v>431</v>
      </c>
      <c r="F430" s="15" t="s">
        <v>2293</v>
      </c>
      <c r="G430" s="15" t="s">
        <v>2294</v>
      </c>
      <c r="H430" s="15" t="s">
        <v>2295</v>
      </c>
      <c r="I430" s="15" t="s">
        <v>118</v>
      </c>
      <c r="J430" s="15" t="s">
        <v>32</v>
      </c>
      <c r="K430" s="81" t="s">
        <v>3163</v>
      </c>
      <c r="L430" s="15" t="s">
        <v>2296</v>
      </c>
    </row>
    <row r="431" spans="1:12" x14ac:dyDescent="0.25">
      <c r="A431" s="15" t="s">
        <v>120</v>
      </c>
      <c r="B431" s="15">
        <v>806</v>
      </c>
      <c r="C431" s="80" t="s">
        <v>3489</v>
      </c>
      <c r="D431" s="15" t="s">
        <v>416</v>
      </c>
      <c r="E431" s="15" t="s">
        <v>431</v>
      </c>
      <c r="F431" s="15" t="s">
        <v>1995</v>
      </c>
      <c r="G431" s="15" t="s">
        <v>3018</v>
      </c>
      <c r="H431" s="15" t="s">
        <v>1997</v>
      </c>
      <c r="I431" s="15" t="s">
        <v>1998</v>
      </c>
      <c r="J431" s="15" t="s">
        <v>39</v>
      </c>
      <c r="K431" s="81" t="s">
        <v>3490</v>
      </c>
      <c r="L431" s="15" t="s">
        <v>1999</v>
      </c>
    </row>
    <row r="432" spans="1:12" x14ac:dyDescent="0.25">
      <c r="A432" s="15" t="s">
        <v>243</v>
      </c>
      <c r="B432" s="15">
        <v>806</v>
      </c>
      <c r="C432" s="80" t="s">
        <v>3491</v>
      </c>
      <c r="D432" s="15" t="s">
        <v>416</v>
      </c>
      <c r="E432" s="15" t="s">
        <v>431</v>
      </c>
      <c r="F432" s="15" t="s">
        <v>244</v>
      </c>
      <c r="G432" s="15" t="s">
        <v>3044</v>
      </c>
      <c r="H432" s="15" t="s">
        <v>245</v>
      </c>
      <c r="I432" s="15" t="s">
        <v>246</v>
      </c>
      <c r="J432" s="15" t="s">
        <v>39</v>
      </c>
      <c r="K432" s="81" t="s">
        <v>3492</v>
      </c>
      <c r="L432" s="15" t="s">
        <v>247</v>
      </c>
    </row>
    <row r="433" spans="1:12" x14ac:dyDescent="0.25">
      <c r="A433" s="15" t="s">
        <v>120</v>
      </c>
      <c r="B433" s="15">
        <v>806</v>
      </c>
      <c r="C433" s="80" t="s">
        <v>3493</v>
      </c>
      <c r="D433" s="15" t="s">
        <v>416</v>
      </c>
      <c r="E433" s="15" t="s">
        <v>431</v>
      </c>
      <c r="F433" s="15" t="s">
        <v>2000</v>
      </c>
      <c r="G433" s="15" t="s">
        <v>2001</v>
      </c>
      <c r="H433" s="15" t="s">
        <v>2002</v>
      </c>
      <c r="I433" s="15" t="s">
        <v>124</v>
      </c>
      <c r="J433" s="15" t="s">
        <v>39</v>
      </c>
      <c r="K433" s="81" t="s">
        <v>3494</v>
      </c>
      <c r="L433" s="15" t="s">
        <v>2003</v>
      </c>
    </row>
    <row r="434" spans="1:12" x14ac:dyDescent="0.25">
      <c r="A434" s="15" t="s">
        <v>34</v>
      </c>
      <c r="B434" s="15">
        <v>806</v>
      </c>
      <c r="C434" s="80" t="s">
        <v>3495</v>
      </c>
      <c r="D434" s="15" t="s">
        <v>416</v>
      </c>
      <c r="E434" s="15" t="s">
        <v>431</v>
      </c>
      <c r="F434" s="15" t="s">
        <v>2076</v>
      </c>
      <c r="G434" s="15" t="s">
        <v>2077</v>
      </c>
      <c r="H434" s="15" t="s">
        <v>2078</v>
      </c>
      <c r="I434" s="15" t="s">
        <v>38</v>
      </c>
      <c r="J434" s="15" t="s">
        <v>39</v>
      </c>
      <c r="K434" s="81" t="s">
        <v>2079</v>
      </c>
      <c r="L434" s="15" t="s">
        <v>2080</v>
      </c>
    </row>
    <row r="435" spans="1:12" x14ac:dyDescent="0.25">
      <c r="A435" s="15" t="s">
        <v>120</v>
      </c>
      <c r="B435" s="15">
        <v>806</v>
      </c>
      <c r="C435" s="80" t="s">
        <v>3496</v>
      </c>
      <c r="D435" s="15" t="s">
        <v>416</v>
      </c>
      <c r="E435" s="15" t="s">
        <v>431</v>
      </c>
      <c r="F435" s="15" t="s">
        <v>2004</v>
      </c>
      <c r="G435" s="15" t="s">
        <v>2005</v>
      </c>
      <c r="H435" s="15" t="s">
        <v>2006</v>
      </c>
      <c r="I435" s="15" t="s">
        <v>124</v>
      </c>
      <c r="J435" s="15" t="s">
        <v>39</v>
      </c>
      <c r="K435" s="81" t="s">
        <v>3497</v>
      </c>
      <c r="L435" s="15" t="s">
        <v>2007</v>
      </c>
    </row>
    <row r="436" spans="1:12" x14ac:dyDescent="0.25">
      <c r="A436" s="15" t="s">
        <v>120</v>
      </c>
      <c r="B436" s="15">
        <v>806</v>
      </c>
      <c r="C436" s="80" t="s">
        <v>3498</v>
      </c>
      <c r="D436" s="15" t="s">
        <v>416</v>
      </c>
      <c r="E436" s="15" t="s">
        <v>431</v>
      </c>
      <c r="F436" s="15" t="s">
        <v>2008</v>
      </c>
      <c r="G436" s="15" t="s">
        <v>2009</v>
      </c>
      <c r="H436" s="15" t="s">
        <v>2010</v>
      </c>
      <c r="I436" s="15" t="s">
        <v>124</v>
      </c>
      <c r="J436" s="15" t="s">
        <v>39</v>
      </c>
      <c r="K436" s="81" t="s">
        <v>3499</v>
      </c>
      <c r="L436" s="15" t="s">
        <v>2011</v>
      </c>
    </row>
    <row r="437" spans="1:12" x14ac:dyDescent="0.25">
      <c r="A437" s="15" t="s">
        <v>120</v>
      </c>
      <c r="B437" s="15">
        <v>806</v>
      </c>
      <c r="C437" s="80" t="s">
        <v>3500</v>
      </c>
      <c r="D437" s="15" t="s">
        <v>416</v>
      </c>
      <c r="E437" s="15" t="s">
        <v>431</v>
      </c>
      <c r="F437" s="15" t="s">
        <v>2012</v>
      </c>
      <c r="G437" s="15" t="s">
        <v>2013</v>
      </c>
      <c r="H437" s="15" t="s">
        <v>2014</v>
      </c>
      <c r="I437" s="15" t="s">
        <v>2015</v>
      </c>
      <c r="J437" s="15" t="s">
        <v>39</v>
      </c>
      <c r="K437" s="81" t="s">
        <v>3173</v>
      </c>
      <c r="L437" s="15" t="s">
        <v>2016</v>
      </c>
    </row>
    <row r="438" spans="1:12" x14ac:dyDescent="0.25">
      <c r="A438" s="15" t="s">
        <v>243</v>
      </c>
      <c r="B438" s="15">
        <v>806</v>
      </c>
      <c r="C438" s="80" t="s">
        <v>3501</v>
      </c>
      <c r="D438" s="15" t="s">
        <v>416</v>
      </c>
      <c r="E438" s="15" t="s">
        <v>431</v>
      </c>
      <c r="F438" s="15" t="s">
        <v>2087</v>
      </c>
      <c r="G438" s="15" t="s">
        <v>2088</v>
      </c>
      <c r="H438" s="15" t="s">
        <v>2089</v>
      </c>
      <c r="I438" s="15" t="s">
        <v>246</v>
      </c>
      <c r="J438" s="15" t="s">
        <v>39</v>
      </c>
      <c r="K438" s="81" t="s">
        <v>3492</v>
      </c>
      <c r="L438" s="15" t="s">
        <v>2090</v>
      </c>
    </row>
    <row r="439" spans="1:12" x14ac:dyDescent="0.25">
      <c r="A439" s="15" t="s">
        <v>140</v>
      </c>
      <c r="B439" s="15">
        <v>810</v>
      </c>
      <c r="C439" s="80" t="s">
        <v>3502</v>
      </c>
      <c r="D439" s="15" t="s">
        <v>416</v>
      </c>
      <c r="E439" s="15" t="s">
        <v>431</v>
      </c>
      <c r="F439" s="15" t="s">
        <v>2861</v>
      </c>
      <c r="G439" s="15" t="s">
        <v>2862</v>
      </c>
      <c r="H439" s="15" t="s">
        <v>2863</v>
      </c>
      <c r="I439" s="15" t="s">
        <v>2864</v>
      </c>
      <c r="J439" s="15" t="s">
        <v>344</v>
      </c>
      <c r="K439" s="81" t="s">
        <v>3503</v>
      </c>
      <c r="L439" s="15" t="s">
        <v>2865</v>
      </c>
    </row>
    <row r="440" spans="1:12" x14ac:dyDescent="0.25">
      <c r="A440" s="15" t="s">
        <v>1565</v>
      </c>
      <c r="B440" s="15">
        <v>810</v>
      </c>
      <c r="C440" s="80" t="s">
        <v>3504</v>
      </c>
      <c r="D440" s="15" t="s">
        <v>416</v>
      </c>
      <c r="E440" s="15" t="s">
        <v>431</v>
      </c>
      <c r="F440" s="15" t="s">
        <v>1566</v>
      </c>
      <c r="G440" s="15" t="s">
        <v>1567</v>
      </c>
      <c r="H440" s="15" t="s">
        <v>1568</v>
      </c>
      <c r="I440" s="15" t="s">
        <v>1331</v>
      </c>
      <c r="J440" s="15" t="s">
        <v>138</v>
      </c>
      <c r="K440" s="81" t="s">
        <v>3505</v>
      </c>
      <c r="L440" s="15" t="s">
        <v>1569</v>
      </c>
    </row>
    <row r="441" spans="1:12" x14ac:dyDescent="0.25">
      <c r="A441" s="15" t="s">
        <v>140</v>
      </c>
      <c r="B441" s="15">
        <v>810</v>
      </c>
      <c r="C441" s="80" t="s">
        <v>3506</v>
      </c>
      <c r="D441" s="15" t="s">
        <v>416</v>
      </c>
      <c r="E441" s="15" t="s">
        <v>431</v>
      </c>
      <c r="F441" s="15" t="s">
        <v>2866</v>
      </c>
      <c r="G441" s="15" t="s">
        <v>2867</v>
      </c>
      <c r="H441" s="15" t="s">
        <v>2868</v>
      </c>
      <c r="I441" s="15" t="s">
        <v>2869</v>
      </c>
      <c r="J441" s="15" t="s">
        <v>344</v>
      </c>
      <c r="K441" s="81" t="s">
        <v>3507</v>
      </c>
      <c r="L441" s="15" t="s">
        <v>2870</v>
      </c>
    </row>
    <row r="442" spans="1:12" x14ac:dyDescent="0.25">
      <c r="A442" s="15" t="s">
        <v>248</v>
      </c>
      <c r="B442" s="15">
        <v>810</v>
      </c>
      <c r="C442" s="80" t="s">
        <v>3508</v>
      </c>
      <c r="D442" s="15" t="s">
        <v>416</v>
      </c>
      <c r="E442" s="15" t="s">
        <v>431</v>
      </c>
      <c r="F442" s="15" t="s">
        <v>1701</v>
      </c>
      <c r="G442" s="15" t="s">
        <v>1711</v>
      </c>
      <c r="H442" s="15" t="s">
        <v>1703</v>
      </c>
      <c r="I442" s="15" t="s">
        <v>1704</v>
      </c>
      <c r="J442" s="15" t="s">
        <v>138</v>
      </c>
      <c r="K442" s="81" t="s">
        <v>3509</v>
      </c>
      <c r="L442" s="15" t="s">
        <v>1705</v>
      </c>
    </row>
    <row r="443" spans="1:12" x14ac:dyDescent="0.25">
      <c r="A443" s="15" t="s">
        <v>248</v>
      </c>
      <c r="B443" s="15">
        <v>810</v>
      </c>
      <c r="C443" s="80" t="s">
        <v>3510</v>
      </c>
      <c r="D443" s="15" t="s">
        <v>416</v>
      </c>
      <c r="E443" s="15" t="s">
        <v>431</v>
      </c>
      <c r="F443" s="15" t="s">
        <v>1706</v>
      </c>
      <c r="G443" s="15" t="s">
        <v>1707</v>
      </c>
      <c r="H443" s="15" t="s">
        <v>1708</v>
      </c>
      <c r="I443" s="15" t="s">
        <v>1704</v>
      </c>
      <c r="J443" s="15" t="s">
        <v>138</v>
      </c>
      <c r="K443" s="81" t="s">
        <v>3509</v>
      </c>
      <c r="L443" s="15" t="s">
        <v>1709</v>
      </c>
    </row>
    <row r="444" spans="1:12" x14ac:dyDescent="0.25">
      <c r="A444" s="15" t="s">
        <v>248</v>
      </c>
      <c r="B444" s="15">
        <v>810</v>
      </c>
      <c r="C444" s="80" t="s">
        <v>3511</v>
      </c>
      <c r="D444" s="15" t="s">
        <v>416</v>
      </c>
      <c r="E444" s="15" t="s">
        <v>431</v>
      </c>
      <c r="F444" s="15" t="s">
        <v>1710</v>
      </c>
      <c r="G444" s="15" t="s">
        <v>2978</v>
      </c>
      <c r="H444" s="15" t="s">
        <v>1712</v>
      </c>
      <c r="I444" s="15" t="s">
        <v>1713</v>
      </c>
      <c r="J444" s="15" t="s">
        <v>138</v>
      </c>
      <c r="K444" s="81" t="s">
        <v>3512</v>
      </c>
      <c r="L444" s="15" t="s">
        <v>1714</v>
      </c>
    </row>
    <row r="445" spans="1:12" x14ac:dyDescent="0.25">
      <c r="A445" s="15" t="s">
        <v>248</v>
      </c>
      <c r="B445" s="15">
        <v>810</v>
      </c>
      <c r="C445" s="80" t="s">
        <v>3513</v>
      </c>
      <c r="D445" s="15" t="s">
        <v>416</v>
      </c>
      <c r="E445" s="15" t="s">
        <v>431</v>
      </c>
      <c r="F445" s="15" t="s">
        <v>1715</v>
      </c>
      <c r="G445" s="15" t="s">
        <v>2958</v>
      </c>
      <c r="H445" s="15" t="s">
        <v>1716</v>
      </c>
      <c r="I445" s="15" t="s">
        <v>1717</v>
      </c>
      <c r="J445" s="15" t="s">
        <v>138</v>
      </c>
      <c r="K445" s="81" t="s">
        <v>3514</v>
      </c>
      <c r="L445" s="15" t="s">
        <v>1718</v>
      </c>
    </row>
    <row r="446" spans="1:12" x14ac:dyDescent="0.25">
      <c r="A446" s="15" t="s">
        <v>248</v>
      </c>
      <c r="B446" s="15">
        <v>810</v>
      </c>
      <c r="C446" s="80" t="s">
        <v>3515</v>
      </c>
      <c r="D446" s="15" t="s">
        <v>416</v>
      </c>
      <c r="E446" s="15" t="s">
        <v>431</v>
      </c>
      <c r="F446" s="15" t="s">
        <v>1719</v>
      </c>
      <c r="G446" s="15" t="s">
        <v>1720</v>
      </c>
      <c r="H446" s="15" t="s">
        <v>1721</v>
      </c>
      <c r="I446" s="15" t="s">
        <v>1717</v>
      </c>
      <c r="J446" s="15" t="s">
        <v>138</v>
      </c>
      <c r="K446" s="81" t="s">
        <v>3514</v>
      </c>
      <c r="L446" s="15" t="s">
        <v>1722</v>
      </c>
    </row>
    <row r="447" spans="1:12" x14ac:dyDescent="0.25">
      <c r="A447" s="15" t="s">
        <v>248</v>
      </c>
      <c r="B447" s="15">
        <v>810</v>
      </c>
      <c r="C447" s="80" t="s">
        <v>3516</v>
      </c>
      <c r="D447" s="15" t="s">
        <v>416</v>
      </c>
      <c r="E447" s="15" t="s">
        <v>431</v>
      </c>
      <c r="F447" s="15" t="s">
        <v>1723</v>
      </c>
      <c r="G447" s="15" t="s">
        <v>1702</v>
      </c>
      <c r="H447" s="15" t="s">
        <v>1724</v>
      </c>
      <c r="I447" s="15" t="s">
        <v>1725</v>
      </c>
      <c r="J447" s="15" t="s">
        <v>138</v>
      </c>
      <c r="K447" s="81" t="s">
        <v>3517</v>
      </c>
      <c r="L447" s="15" t="s">
        <v>1726</v>
      </c>
    </row>
    <row r="448" spans="1:12" x14ac:dyDescent="0.25">
      <c r="A448" s="15" t="s">
        <v>248</v>
      </c>
      <c r="B448" s="15">
        <v>810</v>
      </c>
      <c r="C448" s="80" t="s">
        <v>3518</v>
      </c>
      <c r="D448" s="15" t="s">
        <v>416</v>
      </c>
      <c r="E448" s="15" t="s">
        <v>431</v>
      </c>
      <c r="F448" s="15" t="s">
        <v>249</v>
      </c>
      <c r="G448" s="15" t="s">
        <v>1727</v>
      </c>
      <c r="H448" s="15" t="s">
        <v>250</v>
      </c>
      <c r="I448" s="15" t="s">
        <v>251</v>
      </c>
      <c r="J448" s="15" t="s">
        <v>138</v>
      </c>
      <c r="K448" s="81" t="s">
        <v>3519</v>
      </c>
      <c r="L448" s="15" t="s">
        <v>252</v>
      </c>
    </row>
    <row r="449" spans="1:12" x14ac:dyDescent="0.25">
      <c r="A449" s="15" t="s">
        <v>248</v>
      </c>
      <c r="B449" s="15">
        <v>810</v>
      </c>
      <c r="C449" s="80" t="s">
        <v>3520</v>
      </c>
      <c r="D449" s="15" t="s">
        <v>416</v>
      </c>
      <c r="E449" s="15" t="s">
        <v>431</v>
      </c>
      <c r="F449" s="15" t="s">
        <v>1728</v>
      </c>
      <c r="G449" s="15" t="s">
        <v>1729</v>
      </c>
      <c r="H449" s="15" t="s">
        <v>1730</v>
      </c>
      <c r="I449" s="15" t="s">
        <v>251</v>
      </c>
      <c r="J449" s="15" t="s">
        <v>138</v>
      </c>
      <c r="K449" s="81" t="s">
        <v>3519</v>
      </c>
      <c r="L449" s="15" t="s">
        <v>1731</v>
      </c>
    </row>
    <row r="450" spans="1:12" x14ac:dyDescent="0.25">
      <c r="A450" s="15" t="s">
        <v>133</v>
      </c>
      <c r="B450" s="15">
        <v>810</v>
      </c>
      <c r="C450" s="80" t="s">
        <v>3521</v>
      </c>
      <c r="D450" s="15" t="s">
        <v>416</v>
      </c>
      <c r="E450" s="15" t="s">
        <v>431</v>
      </c>
      <c r="F450" s="15" t="s">
        <v>1597</v>
      </c>
      <c r="G450" s="15" t="s">
        <v>1598</v>
      </c>
      <c r="H450" s="15" t="s">
        <v>1599</v>
      </c>
      <c r="I450" s="15" t="s">
        <v>343</v>
      </c>
      <c r="J450" s="15" t="s">
        <v>138</v>
      </c>
      <c r="K450" s="81" t="s">
        <v>3522</v>
      </c>
      <c r="L450" s="15" t="s">
        <v>1600</v>
      </c>
    </row>
    <row r="451" spans="1:12" x14ac:dyDescent="0.25">
      <c r="A451" s="15" t="s">
        <v>248</v>
      </c>
      <c r="B451" s="15">
        <v>810</v>
      </c>
      <c r="C451" s="80" t="s">
        <v>3523</v>
      </c>
      <c r="D451" s="15" t="s">
        <v>416</v>
      </c>
      <c r="E451" s="15" t="s">
        <v>431</v>
      </c>
      <c r="F451" s="15" t="s">
        <v>1732</v>
      </c>
      <c r="G451" s="15" t="s">
        <v>1733</v>
      </c>
      <c r="H451" s="15" t="s">
        <v>1734</v>
      </c>
      <c r="I451" s="15" t="s">
        <v>1725</v>
      </c>
      <c r="J451" s="15" t="s">
        <v>138</v>
      </c>
      <c r="K451" s="81" t="s">
        <v>3517</v>
      </c>
      <c r="L451" s="15" t="s">
        <v>1735</v>
      </c>
    </row>
    <row r="452" spans="1:12" x14ac:dyDescent="0.25">
      <c r="A452" s="15" t="s">
        <v>133</v>
      </c>
      <c r="B452" s="15">
        <v>810</v>
      </c>
      <c r="C452" s="80" t="s">
        <v>3524</v>
      </c>
      <c r="D452" s="15" t="s">
        <v>416</v>
      </c>
      <c r="E452" s="15" t="s">
        <v>431</v>
      </c>
      <c r="F452" s="15" t="s">
        <v>1601</v>
      </c>
      <c r="G452" s="15" t="s">
        <v>3002</v>
      </c>
      <c r="H452" s="15" t="s">
        <v>1602</v>
      </c>
      <c r="I452" s="15" t="s">
        <v>1603</v>
      </c>
      <c r="J452" s="15" t="s">
        <v>138</v>
      </c>
      <c r="K452" s="81" t="s">
        <v>3525</v>
      </c>
      <c r="L452" s="15" t="s">
        <v>1604</v>
      </c>
    </row>
    <row r="453" spans="1:12" x14ac:dyDescent="0.25">
      <c r="A453" s="15" t="s">
        <v>1565</v>
      </c>
      <c r="B453" s="15">
        <v>801</v>
      </c>
      <c r="C453" s="80" t="s">
        <v>3526</v>
      </c>
      <c r="D453" s="15" t="s">
        <v>416</v>
      </c>
      <c r="E453" s="15" t="s">
        <v>431</v>
      </c>
      <c r="F453" s="15" t="s">
        <v>1570</v>
      </c>
      <c r="G453" s="15" t="s">
        <v>1571</v>
      </c>
      <c r="H453" s="15" t="s">
        <v>1572</v>
      </c>
      <c r="I453" s="15" t="s">
        <v>1302</v>
      </c>
      <c r="J453" s="15" t="s">
        <v>138</v>
      </c>
      <c r="K453" s="81" t="s">
        <v>3527</v>
      </c>
      <c r="L453" s="15" t="s">
        <v>1573</v>
      </c>
    </row>
    <row r="454" spans="1:12" x14ac:dyDescent="0.25">
      <c r="A454" s="15" t="s">
        <v>174</v>
      </c>
      <c r="B454" s="15">
        <v>810</v>
      </c>
      <c r="C454" s="80" t="s">
        <v>3528</v>
      </c>
      <c r="D454" s="15" t="s">
        <v>416</v>
      </c>
      <c r="E454" s="15" t="s">
        <v>431</v>
      </c>
      <c r="F454" s="15" t="s">
        <v>1736</v>
      </c>
      <c r="G454" s="15" t="s">
        <v>1737</v>
      </c>
      <c r="H454" s="15" t="s">
        <v>1738</v>
      </c>
      <c r="I454" s="15" t="s">
        <v>1239</v>
      </c>
      <c r="J454" s="15" t="s">
        <v>145</v>
      </c>
      <c r="K454" s="81" t="s">
        <v>3529</v>
      </c>
      <c r="L454" s="15" t="s">
        <v>1739</v>
      </c>
    </row>
    <row r="455" spans="1:12" x14ac:dyDescent="0.25">
      <c r="A455" s="15" t="s">
        <v>147</v>
      </c>
      <c r="B455" s="15">
        <v>810</v>
      </c>
      <c r="C455" s="80" t="s">
        <v>3530</v>
      </c>
      <c r="D455" s="15" t="s">
        <v>416</v>
      </c>
      <c r="E455" s="15" t="s">
        <v>431</v>
      </c>
      <c r="F455" s="15" t="s">
        <v>2888</v>
      </c>
      <c r="G455" s="15" t="s">
        <v>2889</v>
      </c>
      <c r="H455" s="15" t="s">
        <v>2890</v>
      </c>
      <c r="I455" s="15" t="s">
        <v>347</v>
      </c>
      <c r="J455" s="15" t="s">
        <v>145</v>
      </c>
      <c r="K455" s="81" t="s">
        <v>3531</v>
      </c>
      <c r="L455" s="15" t="s">
        <v>2891</v>
      </c>
    </row>
    <row r="456" spans="1:12" x14ac:dyDescent="0.25">
      <c r="A456" s="15" t="s">
        <v>147</v>
      </c>
      <c r="B456" s="15">
        <v>810</v>
      </c>
      <c r="C456" s="80" t="s">
        <v>3532</v>
      </c>
      <c r="D456" s="15" t="s">
        <v>416</v>
      </c>
      <c r="E456" s="15" t="s">
        <v>431</v>
      </c>
      <c r="F456" s="15" t="s">
        <v>2892</v>
      </c>
      <c r="G456" s="15" t="s">
        <v>3533</v>
      </c>
      <c r="H456" s="15" t="s">
        <v>2893</v>
      </c>
      <c r="I456" s="15" t="s">
        <v>2894</v>
      </c>
      <c r="J456" s="15" t="s">
        <v>145</v>
      </c>
      <c r="K456" s="81" t="s">
        <v>3534</v>
      </c>
      <c r="L456" s="15" t="s">
        <v>2895</v>
      </c>
    </row>
    <row r="457" spans="1:12" x14ac:dyDescent="0.25">
      <c r="A457" s="15" t="s">
        <v>181</v>
      </c>
      <c r="B457" s="15">
        <v>801</v>
      </c>
      <c r="C457" s="80" t="s">
        <v>3535</v>
      </c>
      <c r="D457" s="15" t="s">
        <v>416</v>
      </c>
      <c r="E457" s="15" t="s">
        <v>431</v>
      </c>
      <c r="F457" s="15" t="s">
        <v>1429</v>
      </c>
      <c r="G457" s="15" t="s">
        <v>1430</v>
      </c>
      <c r="H457" s="15" t="s">
        <v>1431</v>
      </c>
      <c r="I457" s="15" t="s">
        <v>1432</v>
      </c>
      <c r="J457" s="15" t="s">
        <v>186</v>
      </c>
      <c r="K457" s="81" t="s">
        <v>3536</v>
      </c>
      <c r="L457" s="15" t="s">
        <v>1433</v>
      </c>
    </row>
    <row r="458" spans="1:12" x14ac:dyDescent="0.25">
      <c r="A458" s="15" t="s">
        <v>147</v>
      </c>
      <c r="B458" s="15">
        <v>810</v>
      </c>
      <c r="C458" s="80" t="s">
        <v>3537</v>
      </c>
      <c r="D458" s="15" t="s">
        <v>416</v>
      </c>
      <c r="E458" s="15" t="s">
        <v>431</v>
      </c>
      <c r="F458" s="15" t="s">
        <v>2896</v>
      </c>
      <c r="G458" s="15" t="s">
        <v>2897</v>
      </c>
      <c r="H458" s="15" t="s">
        <v>2898</v>
      </c>
      <c r="I458" s="15" t="s">
        <v>2894</v>
      </c>
      <c r="J458" s="15" t="s">
        <v>145</v>
      </c>
      <c r="K458" s="81" t="s">
        <v>3538</v>
      </c>
      <c r="L458" s="15" t="s">
        <v>2899</v>
      </c>
    </row>
    <row r="459" spans="1:12" x14ac:dyDescent="0.25">
      <c r="A459" s="15" t="s">
        <v>1565</v>
      </c>
      <c r="B459" s="15">
        <v>810</v>
      </c>
      <c r="C459" s="80" t="s">
        <v>3539</v>
      </c>
      <c r="D459" s="15" t="s">
        <v>416</v>
      </c>
      <c r="E459" s="15" t="s">
        <v>431</v>
      </c>
      <c r="F459" s="15" t="s">
        <v>1574</v>
      </c>
      <c r="G459" s="15" t="s">
        <v>1575</v>
      </c>
      <c r="H459" s="15" t="s">
        <v>1576</v>
      </c>
      <c r="I459" s="15" t="s">
        <v>1577</v>
      </c>
      <c r="J459" s="15" t="s">
        <v>138</v>
      </c>
      <c r="K459" s="81" t="s">
        <v>3540</v>
      </c>
      <c r="L459" s="15" t="s">
        <v>1578</v>
      </c>
    </row>
    <row r="460" spans="1:12" x14ac:dyDescent="0.25">
      <c r="A460" s="15" t="s">
        <v>154</v>
      </c>
      <c r="B460" s="15">
        <v>800</v>
      </c>
      <c r="C460" s="80" t="s">
        <v>3541</v>
      </c>
      <c r="D460" s="15" t="s">
        <v>416</v>
      </c>
      <c r="E460" s="15" t="s">
        <v>431</v>
      </c>
      <c r="F460" s="15" t="s">
        <v>1520</v>
      </c>
      <c r="G460" s="15" t="s">
        <v>1521</v>
      </c>
      <c r="H460" s="15" t="s">
        <v>1522</v>
      </c>
      <c r="I460" s="15" t="s">
        <v>1523</v>
      </c>
      <c r="J460" s="15" t="s">
        <v>159</v>
      </c>
      <c r="K460" s="81" t="s">
        <v>3542</v>
      </c>
      <c r="L460" s="15" t="s">
        <v>1524</v>
      </c>
    </row>
    <row r="461" spans="1:12" x14ac:dyDescent="0.25">
      <c r="A461" s="15" t="s">
        <v>154</v>
      </c>
      <c r="B461" s="15">
        <v>800</v>
      </c>
      <c r="C461" s="80" t="s">
        <v>3543</v>
      </c>
      <c r="D461" s="15" t="s">
        <v>416</v>
      </c>
      <c r="E461" s="15" t="s">
        <v>431</v>
      </c>
      <c r="F461" s="15" t="s">
        <v>1525</v>
      </c>
      <c r="G461" s="15" t="s">
        <v>1545</v>
      </c>
      <c r="H461" s="15" t="s">
        <v>1527</v>
      </c>
      <c r="I461" s="15" t="s">
        <v>1523</v>
      </c>
      <c r="J461" s="15" t="s">
        <v>159</v>
      </c>
      <c r="K461" s="81" t="s">
        <v>3212</v>
      </c>
      <c r="L461" s="15" t="s">
        <v>1528</v>
      </c>
    </row>
    <row r="462" spans="1:12" x14ac:dyDescent="0.25">
      <c r="A462" s="15" t="s">
        <v>161</v>
      </c>
      <c r="B462" s="15">
        <v>800</v>
      </c>
      <c r="C462" s="80" t="s">
        <v>3544</v>
      </c>
      <c r="D462" s="15" t="s">
        <v>416</v>
      </c>
      <c r="E462" s="15" t="s">
        <v>431</v>
      </c>
      <c r="F462" s="15" t="s">
        <v>2652</v>
      </c>
      <c r="G462" s="15" t="s">
        <v>2653</v>
      </c>
      <c r="H462" s="15" t="s">
        <v>2654</v>
      </c>
      <c r="I462" s="15" t="s">
        <v>355</v>
      </c>
      <c r="J462" s="15" t="s">
        <v>166</v>
      </c>
      <c r="K462" s="81" t="s">
        <v>3545</v>
      </c>
      <c r="L462" s="15" t="s">
        <v>2655</v>
      </c>
    </row>
    <row r="463" spans="1:12" x14ac:dyDescent="0.25">
      <c r="A463" s="15" t="s">
        <v>161</v>
      </c>
      <c r="B463" s="15">
        <v>800</v>
      </c>
      <c r="C463" s="80" t="s">
        <v>3546</v>
      </c>
      <c r="D463" s="15" t="s">
        <v>416</v>
      </c>
      <c r="E463" s="15" t="s">
        <v>431</v>
      </c>
      <c r="F463" s="15" t="s">
        <v>2656</v>
      </c>
      <c r="G463" s="15" t="s">
        <v>2657</v>
      </c>
      <c r="H463" s="15" t="s">
        <v>2658</v>
      </c>
      <c r="I463" s="15" t="s">
        <v>2659</v>
      </c>
      <c r="J463" s="15" t="s">
        <v>166</v>
      </c>
      <c r="K463" s="81" t="s">
        <v>3547</v>
      </c>
      <c r="L463" s="15" t="s">
        <v>2660</v>
      </c>
    </row>
    <row r="464" spans="1:12" x14ac:dyDescent="0.25">
      <c r="A464" s="15" t="s">
        <v>161</v>
      </c>
      <c r="B464" s="15">
        <v>800</v>
      </c>
      <c r="C464" s="80" t="s">
        <v>3548</v>
      </c>
      <c r="D464" s="15" t="s">
        <v>416</v>
      </c>
      <c r="E464" s="15" t="s">
        <v>431</v>
      </c>
      <c r="F464" s="15" t="s">
        <v>2661</v>
      </c>
      <c r="G464" s="15" t="s">
        <v>2662</v>
      </c>
      <c r="H464" s="15" t="s">
        <v>2663</v>
      </c>
      <c r="I464" s="15" t="s">
        <v>2664</v>
      </c>
      <c r="J464" s="15" t="s">
        <v>166</v>
      </c>
      <c r="K464" s="81" t="s">
        <v>3549</v>
      </c>
      <c r="L464" s="15" t="s">
        <v>2665</v>
      </c>
    </row>
    <row r="465" spans="1:12" x14ac:dyDescent="0.25">
      <c r="A465" s="15" t="s">
        <v>161</v>
      </c>
      <c r="B465" s="15">
        <v>800</v>
      </c>
      <c r="C465" s="80" t="s">
        <v>3550</v>
      </c>
      <c r="D465" s="15" t="s">
        <v>416</v>
      </c>
      <c r="E465" s="15" t="s">
        <v>431</v>
      </c>
      <c r="F465" s="15" t="s">
        <v>2666</v>
      </c>
      <c r="G465" s="15" t="s">
        <v>2667</v>
      </c>
      <c r="H465" s="15" t="s">
        <v>2668</v>
      </c>
      <c r="I465" s="15" t="s">
        <v>2669</v>
      </c>
      <c r="J465" s="15" t="s">
        <v>166</v>
      </c>
      <c r="K465" s="81" t="s">
        <v>3551</v>
      </c>
      <c r="L465" s="15" t="s">
        <v>2670</v>
      </c>
    </row>
    <row r="466" spans="1:12" x14ac:dyDescent="0.25">
      <c r="A466" s="15" t="s">
        <v>161</v>
      </c>
      <c r="B466" s="15">
        <v>800</v>
      </c>
      <c r="C466" s="80" t="s">
        <v>3552</v>
      </c>
      <c r="D466" s="15" t="s">
        <v>416</v>
      </c>
      <c r="E466" s="15" t="s">
        <v>431</v>
      </c>
      <c r="F466" s="15" t="s">
        <v>2671</v>
      </c>
      <c r="G466" s="15" t="s">
        <v>2672</v>
      </c>
      <c r="H466" s="15" t="s">
        <v>2673</v>
      </c>
      <c r="I466" s="15" t="s">
        <v>2674</v>
      </c>
      <c r="J466" s="15" t="s">
        <v>166</v>
      </c>
      <c r="K466" s="81" t="s">
        <v>3553</v>
      </c>
      <c r="L466" s="15" t="s">
        <v>2675</v>
      </c>
    </row>
    <row r="467" spans="1:12" x14ac:dyDescent="0.25">
      <c r="A467" s="15" t="s">
        <v>161</v>
      </c>
      <c r="B467" s="15">
        <v>800</v>
      </c>
      <c r="C467" s="80" t="s">
        <v>3554</v>
      </c>
      <c r="D467" s="15" t="s">
        <v>416</v>
      </c>
      <c r="E467" s="15" t="s">
        <v>431</v>
      </c>
      <c r="F467" s="15" t="s">
        <v>2676</v>
      </c>
      <c r="G467" s="15" t="s">
        <v>2677</v>
      </c>
      <c r="H467" s="15" t="s">
        <v>2678</v>
      </c>
      <c r="I467" s="15" t="s">
        <v>2669</v>
      </c>
      <c r="J467" s="15" t="s">
        <v>166</v>
      </c>
      <c r="K467" s="81" t="s">
        <v>3555</v>
      </c>
      <c r="L467" s="15" t="s">
        <v>2679</v>
      </c>
    </row>
    <row r="468" spans="1:12" x14ac:dyDescent="0.25">
      <c r="A468" s="15" t="s">
        <v>168</v>
      </c>
      <c r="B468" s="15">
        <v>800</v>
      </c>
      <c r="C468" s="80" t="s">
        <v>3556</v>
      </c>
      <c r="D468" s="15" t="s">
        <v>416</v>
      </c>
      <c r="E468" s="15" t="s">
        <v>431</v>
      </c>
      <c r="F468" s="15" t="s">
        <v>2818</v>
      </c>
      <c r="G468" s="15" t="s">
        <v>2819</v>
      </c>
      <c r="H468" s="15" t="s">
        <v>2820</v>
      </c>
      <c r="I468" s="15" t="s">
        <v>2821</v>
      </c>
      <c r="J468" s="15" t="s">
        <v>131</v>
      </c>
      <c r="K468" s="81" t="s">
        <v>3557</v>
      </c>
      <c r="L468" s="15" t="s">
        <v>2822</v>
      </c>
    </row>
    <row r="469" spans="1:12" x14ac:dyDescent="0.25">
      <c r="A469" s="15" t="s">
        <v>126</v>
      </c>
      <c r="B469" s="15">
        <v>800</v>
      </c>
      <c r="C469" s="80" t="s">
        <v>3558</v>
      </c>
      <c r="D469" s="15" t="s">
        <v>416</v>
      </c>
      <c r="E469" s="15" t="s">
        <v>431</v>
      </c>
      <c r="F469" s="15" t="s">
        <v>2778</v>
      </c>
      <c r="G469" s="15" t="s">
        <v>2779</v>
      </c>
      <c r="H469" s="15" t="s">
        <v>2780</v>
      </c>
      <c r="I469" s="15" t="s">
        <v>130</v>
      </c>
      <c r="J469" s="15" t="s">
        <v>131</v>
      </c>
      <c r="K469" s="81" t="s">
        <v>3559</v>
      </c>
      <c r="L469" s="15" t="s">
        <v>2781</v>
      </c>
    </row>
    <row r="470" spans="1:12" x14ac:dyDescent="0.25">
      <c r="A470" s="15" t="s">
        <v>126</v>
      </c>
      <c r="B470" s="15">
        <v>800</v>
      </c>
      <c r="C470" s="80" t="s">
        <v>3560</v>
      </c>
      <c r="D470" s="15" t="s">
        <v>416</v>
      </c>
      <c r="E470" s="15" t="s">
        <v>431</v>
      </c>
      <c r="F470" s="15" t="s">
        <v>2782</v>
      </c>
      <c r="G470" s="15" t="s">
        <v>2783</v>
      </c>
      <c r="H470" s="15" t="s">
        <v>2784</v>
      </c>
      <c r="I470" s="15" t="s">
        <v>130</v>
      </c>
      <c r="J470" s="15" t="s">
        <v>131</v>
      </c>
      <c r="K470" s="81" t="s">
        <v>3561</v>
      </c>
      <c r="L470" s="15" t="s">
        <v>2785</v>
      </c>
    </row>
    <row r="471" spans="1:12" x14ac:dyDescent="0.25">
      <c r="A471" s="15" t="s">
        <v>126</v>
      </c>
      <c r="B471" s="15">
        <v>800</v>
      </c>
      <c r="C471" s="80" t="s">
        <v>3562</v>
      </c>
      <c r="D471" s="15" t="s">
        <v>416</v>
      </c>
      <c r="E471" s="15" t="s">
        <v>431</v>
      </c>
      <c r="F471" s="15" t="s">
        <v>2786</v>
      </c>
      <c r="G471" s="15" t="s">
        <v>2787</v>
      </c>
      <c r="H471" s="15" t="s">
        <v>2788</v>
      </c>
      <c r="I471" s="15" t="s">
        <v>130</v>
      </c>
      <c r="J471" s="15" t="s">
        <v>131</v>
      </c>
      <c r="K471" s="81" t="s">
        <v>3563</v>
      </c>
      <c r="L471" s="15" t="s">
        <v>2789</v>
      </c>
    </row>
    <row r="472" spans="1:12" x14ac:dyDescent="0.25">
      <c r="A472" s="15" t="s">
        <v>126</v>
      </c>
      <c r="B472" s="15">
        <v>800</v>
      </c>
      <c r="C472" s="80" t="s">
        <v>3564</v>
      </c>
      <c r="D472" s="15" t="s">
        <v>416</v>
      </c>
      <c r="E472" s="15" t="s">
        <v>431</v>
      </c>
      <c r="F472" s="15" t="s">
        <v>2790</v>
      </c>
      <c r="G472" s="15" t="s">
        <v>2791</v>
      </c>
      <c r="H472" s="15" t="s">
        <v>2792</v>
      </c>
      <c r="I472" s="15" t="s">
        <v>130</v>
      </c>
      <c r="J472" s="15" t="s">
        <v>131</v>
      </c>
      <c r="K472" s="81" t="s">
        <v>3565</v>
      </c>
      <c r="L472" s="15" t="s">
        <v>2793</v>
      </c>
    </row>
    <row r="473" spans="1:12" x14ac:dyDescent="0.25">
      <c r="A473" s="15" t="s">
        <v>174</v>
      </c>
      <c r="B473" s="15">
        <v>801</v>
      </c>
      <c r="C473" s="80" t="s">
        <v>3566</v>
      </c>
      <c r="D473" s="15" t="s">
        <v>416</v>
      </c>
      <c r="E473" s="15" t="s">
        <v>431</v>
      </c>
      <c r="F473" s="15" t="s">
        <v>1740</v>
      </c>
      <c r="G473" s="15" t="s">
        <v>1741</v>
      </c>
      <c r="H473" s="15" t="s">
        <v>1742</v>
      </c>
      <c r="I473" s="15" t="s">
        <v>1743</v>
      </c>
      <c r="J473" s="15" t="s">
        <v>179</v>
      </c>
      <c r="K473" s="81" t="s">
        <v>3567</v>
      </c>
      <c r="L473" s="15" t="s">
        <v>1744</v>
      </c>
    </row>
    <row r="474" spans="1:12" x14ac:dyDescent="0.25">
      <c r="A474" s="15" t="s">
        <v>174</v>
      </c>
      <c r="B474" s="15">
        <v>801</v>
      </c>
      <c r="C474" s="80" t="s">
        <v>3568</v>
      </c>
      <c r="D474" s="15" t="s">
        <v>416</v>
      </c>
      <c r="E474" s="15" t="s">
        <v>431</v>
      </c>
      <c r="F474" s="15" t="s">
        <v>1745</v>
      </c>
      <c r="G474" s="15" t="s">
        <v>3003</v>
      </c>
      <c r="H474" s="15" t="s">
        <v>1746</v>
      </c>
      <c r="I474" s="15" t="s">
        <v>1747</v>
      </c>
      <c r="J474" s="15" t="s">
        <v>179</v>
      </c>
      <c r="K474" s="81" t="s">
        <v>3569</v>
      </c>
      <c r="L474" s="15" t="s">
        <v>1748</v>
      </c>
    </row>
    <row r="475" spans="1:12" x14ac:dyDescent="0.25">
      <c r="A475" s="15" t="s">
        <v>174</v>
      </c>
      <c r="B475" s="15">
        <v>801</v>
      </c>
      <c r="C475" s="80" t="s">
        <v>3570</v>
      </c>
      <c r="D475" s="15" t="s">
        <v>416</v>
      </c>
      <c r="E475" s="15" t="s">
        <v>431</v>
      </c>
      <c r="F475" s="15" t="s">
        <v>1749</v>
      </c>
      <c r="G475" s="15" t="s">
        <v>1750</v>
      </c>
      <c r="H475" s="15" t="s">
        <v>1751</v>
      </c>
      <c r="I475" s="15" t="s">
        <v>240</v>
      </c>
      <c r="J475" s="15" t="s">
        <v>179</v>
      </c>
      <c r="K475" s="81" t="s">
        <v>3571</v>
      </c>
      <c r="L475" s="15" t="s">
        <v>1752</v>
      </c>
    </row>
    <row r="476" spans="1:12" x14ac:dyDescent="0.25">
      <c r="A476" s="15" t="s">
        <v>174</v>
      </c>
      <c r="B476" s="15">
        <v>800</v>
      </c>
      <c r="C476" s="80" t="s">
        <v>3572</v>
      </c>
      <c r="D476" s="15" t="s">
        <v>416</v>
      </c>
      <c r="E476" s="15" t="s">
        <v>431</v>
      </c>
      <c r="F476" s="15" t="s">
        <v>1753</v>
      </c>
      <c r="G476" s="15" t="s">
        <v>3045</v>
      </c>
      <c r="H476" s="15" t="s">
        <v>1755</v>
      </c>
      <c r="I476" s="15" t="s">
        <v>1019</v>
      </c>
      <c r="J476" s="15" t="s">
        <v>179</v>
      </c>
      <c r="K476" s="81" t="s">
        <v>3573</v>
      </c>
      <c r="L476" s="15" t="s">
        <v>1756</v>
      </c>
    </row>
    <row r="477" spans="1:12" x14ac:dyDescent="0.25">
      <c r="A477" s="15" t="s">
        <v>174</v>
      </c>
      <c r="B477" s="15">
        <v>801</v>
      </c>
      <c r="C477" s="80" t="s">
        <v>3574</v>
      </c>
      <c r="D477" s="15" t="s">
        <v>416</v>
      </c>
      <c r="E477" s="15" t="s">
        <v>431</v>
      </c>
      <c r="F477" s="15" t="s">
        <v>1757</v>
      </c>
      <c r="G477" s="15" t="s">
        <v>1800</v>
      </c>
      <c r="H477" s="15" t="s">
        <v>1758</v>
      </c>
      <c r="I477" s="15" t="s">
        <v>1759</v>
      </c>
      <c r="J477" s="15" t="s">
        <v>179</v>
      </c>
      <c r="K477" s="81" t="s">
        <v>3575</v>
      </c>
      <c r="L477" s="15" t="s">
        <v>1760</v>
      </c>
    </row>
    <row r="478" spans="1:12" x14ac:dyDescent="0.25">
      <c r="A478" s="15" t="s">
        <v>174</v>
      </c>
      <c r="B478" s="15">
        <v>801</v>
      </c>
      <c r="C478" s="80" t="s">
        <v>3576</v>
      </c>
      <c r="D478" s="15" t="s">
        <v>416</v>
      </c>
      <c r="E478" s="15" t="s">
        <v>431</v>
      </c>
      <c r="F478" s="15" t="s">
        <v>1761</v>
      </c>
      <c r="G478" s="15" t="s">
        <v>1762</v>
      </c>
      <c r="H478" s="15" t="s">
        <v>1763</v>
      </c>
      <c r="I478" s="15" t="s">
        <v>1764</v>
      </c>
      <c r="J478" s="15" t="s">
        <v>179</v>
      </c>
      <c r="K478" s="81" t="s">
        <v>3577</v>
      </c>
      <c r="L478" s="15" t="s">
        <v>1765</v>
      </c>
    </row>
    <row r="479" spans="1:12" x14ac:dyDescent="0.25">
      <c r="A479" s="15" t="s">
        <v>174</v>
      </c>
      <c r="B479" s="15">
        <v>801</v>
      </c>
      <c r="C479" s="80" t="s">
        <v>3578</v>
      </c>
      <c r="D479" s="15" t="s">
        <v>416</v>
      </c>
      <c r="E479" s="15" t="s">
        <v>431</v>
      </c>
      <c r="F479" s="15" t="s">
        <v>1766</v>
      </c>
      <c r="G479" s="15" t="s">
        <v>1767</v>
      </c>
      <c r="H479" s="15" t="s">
        <v>1768</v>
      </c>
      <c r="I479" s="15" t="s">
        <v>1769</v>
      </c>
      <c r="J479" s="15" t="s">
        <v>179</v>
      </c>
      <c r="K479" s="81" t="s">
        <v>3579</v>
      </c>
      <c r="L479" s="15" t="s">
        <v>1770</v>
      </c>
    </row>
    <row r="480" spans="1:12" x14ac:dyDescent="0.25">
      <c r="A480" s="15" t="s">
        <v>174</v>
      </c>
      <c r="B480" s="15">
        <v>801</v>
      </c>
      <c r="C480" s="80" t="s">
        <v>3580</v>
      </c>
      <c r="D480" s="15" t="s">
        <v>416</v>
      </c>
      <c r="E480" s="15" t="s">
        <v>431</v>
      </c>
      <c r="F480" s="15" t="s">
        <v>1771</v>
      </c>
      <c r="G480" s="15" t="s">
        <v>1754</v>
      </c>
      <c r="H480" s="15" t="s">
        <v>1772</v>
      </c>
      <c r="I480" s="15" t="s">
        <v>1773</v>
      </c>
      <c r="J480" s="15" t="s">
        <v>179</v>
      </c>
      <c r="K480" s="81" t="s">
        <v>3242</v>
      </c>
      <c r="L480" s="15" t="s">
        <v>1774</v>
      </c>
    </row>
    <row r="481" spans="1:12" x14ac:dyDescent="0.25">
      <c r="A481" s="15" t="s">
        <v>174</v>
      </c>
      <c r="B481" s="15">
        <v>801</v>
      </c>
      <c r="C481" s="80" t="s">
        <v>3581</v>
      </c>
      <c r="D481" s="15" t="s">
        <v>416</v>
      </c>
      <c r="E481" s="15" t="s">
        <v>431</v>
      </c>
      <c r="F481" s="15" t="s">
        <v>1775</v>
      </c>
      <c r="G481" s="15" t="s">
        <v>1776</v>
      </c>
      <c r="H481" s="15" t="s">
        <v>1777</v>
      </c>
      <c r="I481" s="15" t="s">
        <v>1778</v>
      </c>
      <c r="J481" s="15" t="s">
        <v>179</v>
      </c>
      <c r="K481" s="81" t="s">
        <v>3582</v>
      </c>
      <c r="L481" s="15" t="s">
        <v>1779</v>
      </c>
    </row>
    <row r="482" spans="1:12" x14ac:dyDescent="0.25">
      <c r="A482" s="15" t="s">
        <v>174</v>
      </c>
      <c r="B482" s="15">
        <v>801</v>
      </c>
      <c r="C482" s="80" t="s">
        <v>3583</v>
      </c>
      <c r="D482" s="15" t="s">
        <v>416</v>
      </c>
      <c r="E482" s="15" t="s">
        <v>431</v>
      </c>
      <c r="F482" s="15" t="s">
        <v>1780</v>
      </c>
      <c r="G482" s="15" t="s">
        <v>2979</v>
      </c>
      <c r="H482" s="15" t="s">
        <v>1782</v>
      </c>
      <c r="I482" s="15" t="s">
        <v>1783</v>
      </c>
      <c r="J482" s="15" t="s">
        <v>179</v>
      </c>
      <c r="K482" s="81" t="s">
        <v>3584</v>
      </c>
      <c r="L482" s="15" t="s">
        <v>1784</v>
      </c>
    </row>
    <row r="483" spans="1:12" x14ac:dyDescent="0.25">
      <c r="A483" s="15" t="s">
        <v>174</v>
      </c>
      <c r="B483" s="15">
        <v>801</v>
      </c>
      <c r="C483" s="80" t="s">
        <v>3585</v>
      </c>
      <c r="D483" s="15" t="s">
        <v>416</v>
      </c>
      <c r="E483" s="15" t="s">
        <v>431</v>
      </c>
      <c r="F483" s="15" t="s">
        <v>1785</v>
      </c>
      <c r="G483" s="15" t="s">
        <v>1786</v>
      </c>
      <c r="H483" s="15" t="s">
        <v>1787</v>
      </c>
      <c r="I483" s="15" t="s">
        <v>1019</v>
      </c>
      <c r="J483" s="15" t="s">
        <v>179</v>
      </c>
      <c r="K483" s="81" t="s">
        <v>3586</v>
      </c>
      <c r="L483" s="15" t="s">
        <v>1788</v>
      </c>
    </row>
    <row r="484" spans="1:12" x14ac:dyDescent="0.25">
      <c r="A484" s="15" t="s">
        <v>174</v>
      </c>
      <c r="B484" s="15">
        <v>801</v>
      </c>
      <c r="C484" s="80" t="s">
        <v>3587</v>
      </c>
      <c r="D484" s="15" t="s">
        <v>416</v>
      </c>
      <c r="E484" s="15" t="s">
        <v>431</v>
      </c>
      <c r="F484" s="15" t="s">
        <v>1789</v>
      </c>
      <c r="G484" s="15" t="s">
        <v>1790</v>
      </c>
      <c r="H484" s="15" t="s">
        <v>1791</v>
      </c>
      <c r="I484" s="15" t="s">
        <v>1792</v>
      </c>
      <c r="J484" s="15" t="s">
        <v>179</v>
      </c>
      <c r="K484" s="81" t="s">
        <v>3588</v>
      </c>
      <c r="L484" s="15" t="s">
        <v>1793</v>
      </c>
    </row>
    <row r="485" spans="1:12" x14ac:dyDescent="0.25">
      <c r="A485" s="15" t="s">
        <v>174</v>
      </c>
      <c r="B485" s="15">
        <v>801</v>
      </c>
      <c r="C485" s="80" t="s">
        <v>3589</v>
      </c>
      <c r="D485" s="15" t="s">
        <v>416</v>
      </c>
      <c r="E485" s="15" t="s">
        <v>431</v>
      </c>
      <c r="F485" s="15" t="s">
        <v>1794</v>
      </c>
      <c r="G485" s="15" t="s">
        <v>1795</v>
      </c>
      <c r="H485" s="15" t="s">
        <v>1796</v>
      </c>
      <c r="I485" s="15" t="s">
        <v>1797</v>
      </c>
      <c r="J485" s="15" t="s">
        <v>179</v>
      </c>
      <c r="K485" s="81" t="s">
        <v>3590</v>
      </c>
      <c r="L485" s="15" t="s">
        <v>1798</v>
      </c>
    </row>
    <row r="486" spans="1:12" x14ac:dyDescent="0.25">
      <c r="A486" s="15" t="s">
        <v>174</v>
      </c>
      <c r="B486" s="15">
        <v>801</v>
      </c>
      <c r="C486" s="80" t="s">
        <v>3591</v>
      </c>
      <c r="D486" s="15" t="s">
        <v>416</v>
      </c>
      <c r="E486" s="15" t="s">
        <v>431</v>
      </c>
      <c r="F486" s="15" t="s">
        <v>1799</v>
      </c>
      <c r="G486" s="15" t="s">
        <v>3046</v>
      </c>
      <c r="H486" s="15" t="s">
        <v>1801</v>
      </c>
      <c r="I486" s="15" t="s">
        <v>1802</v>
      </c>
      <c r="J486" s="15" t="s">
        <v>179</v>
      </c>
      <c r="K486" s="81" t="s">
        <v>3592</v>
      </c>
      <c r="L486" s="15" t="s">
        <v>1803</v>
      </c>
    </row>
    <row r="487" spans="1:12" x14ac:dyDescent="0.25">
      <c r="A487" s="15" t="s">
        <v>253</v>
      </c>
      <c r="B487" s="15">
        <v>801</v>
      </c>
      <c r="C487" s="80" t="s">
        <v>3593</v>
      </c>
      <c r="D487" s="15" t="s">
        <v>416</v>
      </c>
      <c r="E487" s="15" t="s">
        <v>431</v>
      </c>
      <c r="F487" s="15" t="s">
        <v>254</v>
      </c>
      <c r="G487" s="15" t="s">
        <v>2108</v>
      </c>
      <c r="H487" s="15" t="s">
        <v>255</v>
      </c>
      <c r="I487" s="15" t="s">
        <v>256</v>
      </c>
      <c r="J487" s="15" t="s">
        <v>257</v>
      </c>
      <c r="K487" s="81" t="s">
        <v>3594</v>
      </c>
      <c r="L487" s="15" t="s">
        <v>258</v>
      </c>
    </row>
    <row r="488" spans="1:12" x14ac:dyDescent="0.25">
      <c r="A488" s="15" t="s">
        <v>253</v>
      </c>
      <c r="B488" s="15">
        <v>801</v>
      </c>
      <c r="C488" s="80" t="s">
        <v>3595</v>
      </c>
      <c r="D488" s="15" t="s">
        <v>416</v>
      </c>
      <c r="E488" s="15" t="s">
        <v>431</v>
      </c>
      <c r="F488" s="15" t="s">
        <v>2101</v>
      </c>
      <c r="G488" s="15" t="s">
        <v>2102</v>
      </c>
      <c r="H488" s="15" t="s">
        <v>2103</v>
      </c>
      <c r="I488" s="15" t="s">
        <v>2104</v>
      </c>
      <c r="J488" s="15" t="s">
        <v>257</v>
      </c>
      <c r="K488" s="81" t="s">
        <v>3596</v>
      </c>
      <c r="L488" s="15" t="s">
        <v>2105</v>
      </c>
    </row>
    <row r="489" spans="1:12" x14ac:dyDescent="0.25">
      <c r="A489" s="15" t="s">
        <v>188</v>
      </c>
      <c r="B489" s="15">
        <v>801</v>
      </c>
      <c r="C489" s="80" t="s">
        <v>3597</v>
      </c>
      <c r="D489" s="15" t="s">
        <v>416</v>
      </c>
      <c r="E489" s="15" t="s">
        <v>431</v>
      </c>
      <c r="F489" s="15" t="s">
        <v>1455</v>
      </c>
      <c r="G489" s="15" t="s">
        <v>1460</v>
      </c>
      <c r="H489" s="15" t="s">
        <v>1456</v>
      </c>
      <c r="I489" s="15" t="s">
        <v>1457</v>
      </c>
      <c r="J489" s="15" t="s">
        <v>186</v>
      </c>
      <c r="K489" s="81" t="s">
        <v>3598</v>
      </c>
      <c r="L489" s="15" t="s">
        <v>1458</v>
      </c>
    </row>
    <row r="490" spans="1:12" x14ac:dyDescent="0.25">
      <c r="A490" s="15" t="s">
        <v>188</v>
      </c>
      <c r="B490" s="15">
        <v>801</v>
      </c>
      <c r="C490" s="80" t="s">
        <v>3599</v>
      </c>
      <c r="D490" s="15" t="s">
        <v>416</v>
      </c>
      <c r="E490" s="15" t="s">
        <v>431</v>
      </c>
      <c r="F490" s="15" t="s">
        <v>1459</v>
      </c>
      <c r="G490" s="15" t="s">
        <v>3600</v>
      </c>
      <c r="H490" s="15" t="s">
        <v>1461</v>
      </c>
      <c r="I490" s="15" t="s">
        <v>1462</v>
      </c>
      <c r="J490" s="15" t="s">
        <v>186</v>
      </c>
      <c r="K490" s="81" t="s">
        <v>3601</v>
      </c>
      <c r="L490" s="15" t="s">
        <v>1463</v>
      </c>
    </row>
    <row r="491" spans="1:12" x14ac:dyDescent="0.25">
      <c r="A491" s="15" t="s">
        <v>181</v>
      </c>
      <c r="B491" s="15">
        <v>801</v>
      </c>
      <c r="C491" s="80" t="s">
        <v>3602</v>
      </c>
      <c r="D491" s="15" t="s">
        <v>416</v>
      </c>
      <c r="E491" s="15" t="s">
        <v>431</v>
      </c>
      <c r="F491" s="15" t="s">
        <v>1434</v>
      </c>
      <c r="G491" s="15" t="s">
        <v>1435</v>
      </c>
      <c r="H491" s="15" t="s">
        <v>1436</v>
      </c>
      <c r="I491" s="15" t="s">
        <v>1432</v>
      </c>
      <c r="J491" s="15" t="s">
        <v>186</v>
      </c>
      <c r="K491" s="81" t="s">
        <v>3536</v>
      </c>
      <c r="L491" s="15" t="s">
        <v>1437</v>
      </c>
    </row>
    <row r="492" spans="1:12" x14ac:dyDescent="0.25">
      <c r="A492" s="15" t="s">
        <v>188</v>
      </c>
      <c r="B492" s="15">
        <v>801</v>
      </c>
      <c r="C492" s="80" t="s">
        <v>3603</v>
      </c>
      <c r="D492" s="15" t="s">
        <v>416</v>
      </c>
      <c r="E492" s="15" t="s">
        <v>431</v>
      </c>
      <c r="F492" s="15" t="s">
        <v>1464</v>
      </c>
      <c r="G492" s="15" t="s">
        <v>1465</v>
      </c>
      <c r="H492" s="15" t="s">
        <v>1466</v>
      </c>
      <c r="I492" s="15" t="s">
        <v>1467</v>
      </c>
      <c r="J492" s="15" t="s">
        <v>186</v>
      </c>
      <c r="K492" s="81" t="s">
        <v>3604</v>
      </c>
      <c r="L492" s="15" t="s">
        <v>1468</v>
      </c>
    </row>
    <row r="493" spans="1:12" x14ac:dyDescent="0.25">
      <c r="A493" s="15" t="s">
        <v>194</v>
      </c>
      <c r="B493" s="15">
        <v>801</v>
      </c>
      <c r="C493" s="80" t="s">
        <v>3605</v>
      </c>
      <c r="D493" s="15" t="s">
        <v>416</v>
      </c>
      <c r="E493" s="15" t="s">
        <v>431</v>
      </c>
      <c r="F493" s="15" t="s">
        <v>1916</v>
      </c>
      <c r="G493" s="15" t="s">
        <v>1917</v>
      </c>
      <c r="H493" s="15" t="s">
        <v>1918</v>
      </c>
      <c r="I493" s="15" t="s">
        <v>198</v>
      </c>
      <c r="J493" s="15" t="s">
        <v>199</v>
      </c>
      <c r="K493" s="81" t="s">
        <v>3606</v>
      </c>
      <c r="L493" s="15" t="s">
        <v>1919</v>
      </c>
    </row>
    <row r="494" spans="1:12" x14ac:dyDescent="0.25">
      <c r="A494" s="15" t="s">
        <v>194</v>
      </c>
      <c r="B494" s="15">
        <v>801</v>
      </c>
      <c r="C494" s="80" t="s">
        <v>3607</v>
      </c>
      <c r="D494" s="15" t="s">
        <v>416</v>
      </c>
      <c r="E494" s="15" t="s">
        <v>431</v>
      </c>
      <c r="F494" s="15" t="s">
        <v>1920</v>
      </c>
      <c r="G494" s="15" t="s">
        <v>1921</v>
      </c>
      <c r="H494" s="15" t="s">
        <v>1922</v>
      </c>
      <c r="I494" s="15" t="s">
        <v>198</v>
      </c>
      <c r="J494" s="15" t="s">
        <v>199</v>
      </c>
      <c r="K494" s="81" t="s">
        <v>3267</v>
      </c>
      <c r="L494" s="15" t="s">
        <v>1923</v>
      </c>
    </row>
    <row r="495" spans="1:12" x14ac:dyDescent="0.25">
      <c r="A495" s="15" t="s">
        <v>259</v>
      </c>
      <c r="B495" s="15">
        <v>812</v>
      </c>
      <c r="C495" s="80" t="s">
        <v>3608</v>
      </c>
      <c r="D495" s="15" t="s">
        <v>527</v>
      </c>
      <c r="E495" s="15" t="s">
        <v>431</v>
      </c>
      <c r="F495" s="15" t="s">
        <v>928</v>
      </c>
      <c r="G495" s="15" t="s">
        <v>2959</v>
      </c>
      <c r="H495" s="15" t="s">
        <v>930</v>
      </c>
      <c r="I495" s="15" t="s">
        <v>931</v>
      </c>
      <c r="J495" s="15" t="s">
        <v>54</v>
      </c>
      <c r="K495" s="81" t="s">
        <v>3609</v>
      </c>
      <c r="L495" s="15" t="s">
        <v>932</v>
      </c>
    </row>
    <row r="496" spans="1:12" x14ac:dyDescent="0.25">
      <c r="A496" s="15" t="s">
        <v>259</v>
      </c>
      <c r="B496" s="15">
        <v>812</v>
      </c>
      <c r="C496" s="80" t="s">
        <v>3610</v>
      </c>
      <c r="D496" s="15" t="s">
        <v>416</v>
      </c>
      <c r="E496" s="15" t="s">
        <v>431</v>
      </c>
      <c r="F496" s="15" t="s">
        <v>933</v>
      </c>
      <c r="G496" s="15" t="s">
        <v>934</v>
      </c>
      <c r="H496" s="15" t="s">
        <v>935</v>
      </c>
      <c r="I496" s="15" t="s">
        <v>931</v>
      </c>
      <c r="J496" s="15" t="s">
        <v>54</v>
      </c>
      <c r="K496" s="81" t="s">
        <v>3611</v>
      </c>
      <c r="L496" s="15" t="s">
        <v>936</v>
      </c>
    </row>
    <row r="497" spans="1:12" x14ac:dyDescent="0.25">
      <c r="A497" s="15" t="s">
        <v>259</v>
      </c>
      <c r="B497" s="15">
        <v>812</v>
      </c>
      <c r="C497" s="80" t="s">
        <v>3612</v>
      </c>
      <c r="D497" s="15" t="s">
        <v>416</v>
      </c>
      <c r="E497" s="15" t="s">
        <v>431</v>
      </c>
      <c r="F497" s="15" t="s">
        <v>937</v>
      </c>
      <c r="G497" s="15" t="s">
        <v>965</v>
      </c>
      <c r="H497" s="15" t="s">
        <v>938</v>
      </c>
      <c r="I497" s="15" t="s">
        <v>931</v>
      </c>
      <c r="J497" s="15" t="s">
        <v>54</v>
      </c>
      <c r="K497" s="81" t="s">
        <v>3613</v>
      </c>
      <c r="L497" s="15" t="s">
        <v>939</v>
      </c>
    </row>
    <row r="498" spans="1:12" x14ac:dyDescent="0.25">
      <c r="A498" s="15" t="s">
        <v>259</v>
      </c>
      <c r="B498" s="15">
        <v>812</v>
      </c>
      <c r="C498" s="80" t="s">
        <v>3614</v>
      </c>
      <c r="D498" s="15" t="s">
        <v>416</v>
      </c>
      <c r="E498" s="15" t="s">
        <v>431</v>
      </c>
      <c r="F498" s="15" t="s">
        <v>940</v>
      </c>
      <c r="G498" s="15" t="s">
        <v>941</v>
      </c>
      <c r="H498" s="15" t="s">
        <v>942</v>
      </c>
      <c r="I498" s="15" t="s">
        <v>931</v>
      </c>
      <c r="J498" s="15" t="s">
        <v>54</v>
      </c>
      <c r="K498" s="81" t="s">
        <v>3615</v>
      </c>
      <c r="L498" s="15" t="s">
        <v>943</v>
      </c>
    </row>
    <row r="499" spans="1:12" x14ac:dyDescent="0.25">
      <c r="A499" s="15" t="s">
        <v>259</v>
      </c>
      <c r="B499" s="15">
        <v>812</v>
      </c>
      <c r="C499" s="80" t="s">
        <v>3616</v>
      </c>
      <c r="D499" s="15" t="s">
        <v>416</v>
      </c>
      <c r="E499" s="15" t="s">
        <v>431</v>
      </c>
      <c r="F499" s="15" t="s">
        <v>944</v>
      </c>
      <c r="G499" s="15" t="s">
        <v>945</v>
      </c>
      <c r="H499" s="15" t="s">
        <v>946</v>
      </c>
      <c r="I499" s="15" t="s">
        <v>931</v>
      </c>
      <c r="J499" s="15" t="s">
        <v>54</v>
      </c>
      <c r="K499" s="81" t="s">
        <v>3611</v>
      </c>
      <c r="L499" s="15" t="s">
        <v>947</v>
      </c>
    </row>
    <row r="500" spans="1:12" x14ac:dyDescent="0.25">
      <c r="A500" s="15" t="s">
        <v>259</v>
      </c>
      <c r="B500" s="15">
        <v>812</v>
      </c>
      <c r="C500" s="80" t="s">
        <v>3617</v>
      </c>
      <c r="D500" s="15" t="s">
        <v>416</v>
      </c>
      <c r="E500" s="15" t="s">
        <v>431</v>
      </c>
      <c r="F500" s="15" t="s">
        <v>948</v>
      </c>
      <c r="G500" s="15" t="s">
        <v>929</v>
      </c>
      <c r="H500" s="15" t="s">
        <v>949</v>
      </c>
      <c r="I500" s="15" t="s">
        <v>931</v>
      </c>
      <c r="J500" s="15" t="s">
        <v>54</v>
      </c>
      <c r="K500" s="81" t="s">
        <v>3618</v>
      </c>
      <c r="L500" s="15" t="s">
        <v>950</v>
      </c>
    </row>
    <row r="501" spans="1:12" x14ac:dyDescent="0.25">
      <c r="A501" s="15" t="s">
        <v>259</v>
      </c>
      <c r="B501" s="15">
        <v>812</v>
      </c>
      <c r="C501" s="80" t="s">
        <v>3619</v>
      </c>
      <c r="D501" s="15" t="s">
        <v>416</v>
      </c>
      <c r="E501" s="15" t="s">
        <v>431</v>
      </c>
      <c r="F501" s="15" t="s">
        <v>951</v>
      </c>
      <c r="G501" s="15" t="s">
        <v>973</v>
      </c>
      <c r="H501" s="15" t="s">
        <v>952</v>
      </c>
      <c r="I501" s="15" t="s">
        <v>931</v>
      </c>
      <c r="J501" s="15" t="s">
        <v>54</v>
      </c>
      <c r="K501" s="81" t="s">
        <v>3618</v>
      </c>
      <c r="L501" s="15" t="s">
        <v>953</v>
      </c>
    </row>
    <row r="502" spans="1:12" x14ac:dyDescent="0.25">
      <c r="A502" s="15" t="s">
        <v>259</v>
      </c>
      <c r="B502" s="15">
        <v>832</v>
      </c>
      <c r="C502" s="80" t="s">
        <v>3620</v>
      </c>
      <c r="D502" s="15" t="s">
        <v>416</v>
      </c>
      <c r="E502" s="15" t="s">
        <v>431</v>
      </c>
      <c r="F502" s="15" t="s">
        <v>954</v>
      </c>
      <c r="G502" s="15" t="s">
        <v>955</v>
      </c>
      <c r="H502" s="15" t="s">
        <v>956</v>
      </c>
      <c r="I502" s="15" t="s">
        <v>957</v>
      </c>
      <c r="J502" s="15" t="s">
        <v>54</v>
      </c>
      <c r="K502" s="81" t="s">
        <v>3621</v>
      </c>
      <c r="L502" s="15" t="s">
        <v>958</v>
      </c>
    </row>
    <row r="503" spans="1:12" x14ac:dyDescent="0.25">
      <c r="A503" s="15" t="s">
        <v>259</v>
      </c>
      <c r="B503" s="15">
        <v>832</v>
      </c>
      <c r="C503" s="80" t="s">
        <v>3622</v>
      </c>
      <c r="D503" s="15" t="s">
        <v>416</v>
      </c>
      <c r="E503" s="15" t="s">
        <v>431</v>
      </c>
      <c r="F503" s="15" t="s">
        <v>959</v>
      </c>
      <c r="G503" s="15" t="s">
        <v>960</v>
      </c>
      <c r="H503" s="15" t="s">
        <v>961</v>
      </c>
      <c r="I503" s="15" t="s">
        <v>962</v>
      </c>
      <c r="J503" s="15" t="s">
        <v>54</v>
      </c>
      <c r="K503" s="81" t="s">
        <v>3623</v>
      </c>
      <c r="L503" s="15" t="s">
        <v>963</v>
      </c>
    </row>
    <row r="504" spans="1:12" x14ac:dyDescent="0.25">
      <c r="A504" s="15" t="s">
        <v>259</v>
      </c>
      <c r="B504" s="15">
        <v>832</v>
      </c>
      <c r="C504" s="80" t="s">
        <v>3624</v>
      </c>
      <c r="D504" s="15" t="s">
        <v>416</v>
      </c>
      <c r="E504" s="15" t="s">
        <v>431</v>
      </c>
      <c r="F504" s="15" t="s">
        <v>964</v>
      </c>
      <c r="G504" s="15" t="s">
        <v>3625</v>
      </c>
      <c r="H504" s="15" t="s">
        <v>966</v>
      </c>
      <c r="I504" s="15" t="s">
        <v>262</v>
      </c>
      <c r="J504" s="15" t="s">
        <v>54</v>
      </c>
      <c r="K504" s="81" t="s">
        <v>3626</v>
      </c>
      <c r="L504" s="15" t="s">
        <v>967</v>
      </c>
    </row>
    <row r="505" spans="1:12" x14ac:dyDescent="0.25">
      <c r="A505" s="15" t="s">
        <v>259</v>
      </c>
      <c r="B505" s="15">
        <v>832</v>
      </c>
      <c r="C505" s="80" t="s">
        <v>3627</v>
      </c>
      <c r="D505" s="15" t="s">
        <v>416</v>
      </c>
      <c r="E505" s="15" t="s">
        <v>431</v>
      </c>
      <c r="F505" s="15" t="s">
        <v>968</v>
      </c>
      <c r="G505" s="15" t="s">
        <v>969</v>
      </c>
      <c r="H505" s="15" t="s">
        <v>970</v>
      </c>
      <c r="I505" s="15" t="s">
        <v>957</v>
      </c>
      <c r="J505" s="15" t="s">
        <v>54</v>
      </c>
      <c r="K505" s="81" t="s">
        <v>3628</v>
      </c>
      <c r="L505" s="15" t="s">
        <v>971</v>
      </c>
    </row>
    <row r="506" spans="1:12" x14ac:dyDescent="0.25">
      <c r="A506" s="15" t="s">
        <v>259</v>
      </c>
      <c r="B506" s="15">
        <v>832</v>
      </c>
      <c r="C506" s="80" t="s">
        <v>3629</v>
      </c>
      <c r="D506" s="15" t="s">
        <v>416</v>
      </c>
      <c r="E506" s="15" t="s">
        <v>431</v>
      </c>
      <c r="F506" s="15" t="s">
        <v>260</v>
      </c>
      <c r="G506" s="15" t="s">
        <v>1103</v>
      </c>
      <c r="H506" s="15" t="s">
        <v>261</v>
      </c>
      <c r="I506" s="15" t="s">
        <v>262</v>
      </c>
      <c r="J506" s="15" t="s">
        <v>54</v>
      </c>
      <c r="K506" s="81" t="s">
        <v>3630</v>
      </c>
      <c r="L506" s="15" t="s">
        <v>263</v>
      </c>
    </row>
    <row r="507" spans="1:12" x14ac:dyDescent="0.25">
      <c r="A507" s="15" t="s">
        <v>259</v>
      </c>
      <c r="B507" s="15">
        <v>832</v>
      </c>
      <c r="C507" s="80" t="s">
        <v>3631</v>
      </c>
      <c r="D507" s="15" t="s">
        <v>416</v>
      </c>
      <c r="E507" s="15" t="s">
        <v>431</v>
      </c>
      <c r="F507" s="15" t="s">
        <v>972</v>
      </c>
      <c r="G507" s="15" t="s">
        <v>3047</v>
      </c>
      <c r="H507" s="15" t="s">
        <v>974</v>
      </c>
      <c r="I507" s="15" t="s">
        <v>262</v>
      </c>
      <c r="J507" s="15" t="s">
        <v>54</v>
      </c>
      <c r="K507" s="81" t="s">
        <v>3632</v>
      </c>
      <c r="L507" s="15" t="s">
        <v>975</v>
      </c>
    </row>
    <row r="508" spans="1:12" x14ac:dyDescent="0.25">
      <c r="A508" s="15" t="s">
        <v>259</v>
      </c>
      <c r="B508" s="15">
        <v>832</v>
      </c>
      <c r="C508" s="80" t="s">
        <v>3633</v>
      </c>
      <c r="D508" s="15" t="s">
        <v>416</v>
      </c>
      <c r="E508" s="15" t="s">
        <v>431</v>
      </c>
      <c r="F508" s="15" t="s">
        <v>976</v>
      </c>
      <c r="G508" s="15" t="s">
        <v>977</v>
      </c>
      <c r="H508" s="15" t="s">
        <v>978</v>
      </c>
      <c r="I508" s="15" t="s">
        <v>979</v>
      </c>
      <c r="J508" s="15" t="s">
        <v>54</v>
      </c>
      <c r="K508" s="81" t="s">
        <v>3634</v>
      </c>
      <c r="L508" s="15" t="s">
        <v>980</v>
      </c>
    </row>
    <row r="509" spans="1:12" x14ac:dyDescent="0.25">
      <c r="A509" s="15" t="s">
        <v>259</v>
      </c>
      <c r="B509" s="15">
        <v>832</v>
      </c>
      <c r="C509" s="80" t="s">
        <v>3635</v>
      </c>
      <c r="D509" s="15" t="s">
        <v>416</v>
      </c>
      <c r="E509" s="15" t="s">
        <v>431</v>
      </c>
      <c r="F509" s="15" t="s">
        <v>981</v>
      </c>
      <c r="G509" s="15" t="s">
        <v>982</v>
      </c>
      <c r="H509" s="15" t="s">
        <v>983</v>
      </c>
      <c r="I509" s="15" t="s">
        <v>984</v>
      </c>
      <c r="J509" s="15" t="s">
        <v>54</v>
      </c>
      <c r="K509" s="81" t="s">
        <v>3636</v>
      </c>
      <c r="L509" s="15" t="s">
        <v>985</v>
      </c>
    </row>
    <row r="510" spans="1:12" x14ac:dyDescent="0.25">
      <c r="A510" s="15" t="s">
        <v>264</v>
      </c>
      <c r="B510" s="15">
        <v>832</v>
      </c>
      <c r="C510" s="80" t="s">
        <v>3637</v>
      </c>
      <c r="D510" s="15" t="s">
        <v>416</v>
      </c>
      <c r="E510" s="15" t="s">
        <v>431</v>
      </c>
      <c r="F510" s="15" t="s">
        <v>1219</v>
      </c>
      <c r="G510" s="15" t="s">
        <v>1233</v>
      </c>
      <c r="H510" s="15" t="s">
        <v>1220</v>
      </c>
      <c r="I510" s="15" t="s">
        <v>407</v>
      </c>
      <c r="J510" s="15" t="s">
        <v>54</v>
      </c>
      <c r="K510" s="81" t="s">
        <v>3638</v>
      </c>
      <c r="L510" s="15" t="s">
        <v>1221</v>
      </c>
    </row>
    <row r="511" spans="1:12" x14ac:dyDescent="0.25">
      <c r="A511" s="15" t="s">
        <v>264</v>
      </c>
      <c r="B511" s="15">
        <v>832</v>
      </c>
      <c r="C511" s="80" t="s">
        <v>3639</v>
      </c>
      <c r="D511" s="15" t="s">
        <v>416</v>
      </c>
      <c r="E511" s="15" t="s">
        <v>431</v>
      </c>
      <c r="F511" s="15" t="s">
        <v>1222</v>
      </c>
      <c r="G511" s="15" t="s">
        <v>1223</v>
      </c>
      <c r="H511" s="15" t="s">
        <v>1224</v>
      </c>
      <c r="I511" s="15" t="s">
        <v>407</v>
      </c>
      <c r="J511" s="15" t="s">
        <v>54</v>
      </c>
      <c r="K511" s="81" t="s">
        <v>3640</v>
      </c>
      <c r="L511" s="15" t="s">
        <v>1225</v>
      </c>
    </row>
    <row r="512" spans="1:12" x14ac:dyDescent="0.25">
      <c r="A512" s="15" t="s">
        <v>264</v>
      </c>
      <c r="B512" s="15">
        <v>832</v>
      </c>
      <c r="C512" s="80" t="s">
        <v>3641</v>
      </c>
      <c r="D512" s="15" t="s">
        <v>416</v>
      </c>
      <c r="E512" s="15" t="s">
        <v>431</v>
      </c>
      <c r="F512" s="15" t="s">
        <v>1226</v>
      </c>
      <c r="G512" s="15" t="s">
        <v>1227</v>
      </c>
      <c r="H512" s="15" t="s">
        <v>1228</v>
      </c>
      <c r="I512" s="15" t="s">
        <v>1229</v>
      </c>
      <c r="J512" s="15" t="s">
        <v>54</v>
      </c>
      <c r="K512" s="81" t="s">
        <v>3642</v>
      </c>
      <c r="L512" s="15" t="s">
        <v>1230</v>
      </c>
    </row>
    <row r="513" spans="1:12" x14ac:dyDescent="0.25">
      <c r="A513" s="15" t="s">
        <v>264</v>
      </c>
      <c r="B513" s="15">
        <v>832</v>
      </c>
      <c r="C513" s="80" t="s">
        <v>3643</v>
      </c>
      <c r="D513" s="15" t="s">
        <v>416</v>
      </c>
      <c r="E513" s="15" t="s">
        <v>431</v>
      </c>
      <c r="F513" s="15" t="s">
        <v>265</v>
      </c>
      <c r="G513" s="15" t="s">
        <v>1231</v>
      </c>
      <c r="H513" s="15" t="s">
        <v>266</v>
      </c>
      <c r="I513" s="15" t="s">
        <v>267</v>
      </c>
      <c r="J513" s="15" t="s">
        <v>54</v>
      </c>
      <c r="K513" s="81" t="s">
        <v>3644</v>
      </c>
      <c r="L513" s="15" t="s">
        <v>268</v>
      </c>
    </row>
    <row r="514" spans="1:12" x14ac:dyDescent="0.25">
      <c r="A514" s="15" t="s">
        <v>264</v>
      </c>
      <c r="B514" s="15">
        <v>812</v>
      </c>
      <c r="C514" s="80" t="s">
        <v>3645</v>
      </c>
      <c r="D514" s="15" t="s">
        <v>416</v>
      </c>
      <c r="E514" s="15" t="s">
        <v>431</v>
      </c>
      <c r="F514" s="15" t="s">
        <v>1232</v>
      </c>
      <c r="G514" s="15" t="s">
        <v>1058</v>
      </c>
      <c r="H514" s="15" t="s">
        <v>1234</v>
      </c>
      <c r="I514" s="15" t="s">
        <v>1235</v>
      </c>
      <c r="J514" s="15" t="s">
        <v>54</v>
      </c>
      <c r="K514" s="81" t="s">
        <v>3646</v>
      </c>
      <c r="L514" s="15" t="s">
        <v>1236</v>
      </c>
    </row>
    <row r="515" spans="1:12" x14ac:dyDescent="0.25">
      <c r="A515" s="15" t="s">
        <v>49</v>
      </c>
      <c r="B515" s="15">
        <v>812</v>
      </c>
      <c r="C515" s="80" t="s">
        <v>3647</v>
      </c>
      <c r="D515" s="15" t="s">
        <v>416</v>
      </c>
      <c r="E515" s="15" t="s">
        <v>431</v>
      </c>
      <c r="F515" s="15" t="s">
        <v>1124</v>
      </c>
      <c r="G515" s="15" t="s">
        <v>1125</v>
      </c>
      <c r="H515" s="15" t="s">
        <v>1126</v>
      </c>
      <c r="I515" s="15" t="s">
        <v>1127</v>
      </c>
      <c r="J515" s="15" t="s">
        <v>54</v>
      </c>
      <c r="K515" s="81" t="s">
        <v>3648</v>
      </c>
      <c r="L515" s="15" t="s">
        <v>1128</v>
      </c>
    </row>
    <row r="516" spans="1:12" x14ac:dyDescent="0.25">
      <c r="A516" s="15" t="s">
        <v>62</v>
      </c>
      <c r="B516" s="15">
        <v>832</v>
      </c>
      <c r="C516" s="80" t="s">
        <v>3649</v>
      </c>
      <c r="D516" s="15" t="s">
        <v>416</v>
      </c>
      <c r="E516" s="15" t="s">
        <v>431</v>
      </c>
      <c r="F516" s="15" t="s">
        <v>1246</v>
      </c>
      <c r="G516" s="15" t="s">
        <v>1296</v>
      </c>
      <c r="H516" s="15" t="s">
        <v>1247</v>
      </c>
      <c r="I516" s="15" t="s">
        <v>289</v>
      </c>
      <c r="J516" s="15" t="s">
        <v>54</v>
      </c>
      <c r="K516" s="81" t="s">
        <v>3650</v>
      </c>
      <c r="L516" s="15" t="s">
        <v>1248</v>
      </c>
    </row>
    <row r="517" spans="1:12" x14ac:dyDescent="0.25">
      <c r="A517" s="15" t="s">
        <v>62</v>
      </c>
      <c r="B517" s="15">
        <v>832</v>
      </c>
      <c r="C517" s="80" t="s">
        <v>3651</v>
      </c>
      <c r="D517" s="15" t="s">
        <v>416</v>
      </c>
      <c r="E517" s="15" t="s">
        <v>431</v>
      </c>
      <c r="F517" s="15" t="s">
        <v>1249</v>
      </c>
      <c r="G517" s="15" t="s">
        <v>3048</v>
      </c>
      <c r="H517" s="15" t="s">
        <v>3005</v>
      </c>
      <c r="I517" s="15" t="s">
        <v>1250</v>
      </c>
      <c r="J517" s="15" t="s">
        <v>54</v>
      </c>
      <c r="K517" s="81" t="s">
        <v>3652</v>
      </c>
      <c r="L517" s="15" t="s">
        <v>1251</v>
      </c>
    </row>
    <row r="518" spans="1:12" x14ac:dyDescent="0.25">
      <c r="A518" s="15" t="s">
        <v>62</v>
      </c>
      <c r="B518" s="15">
        <v>832</v>
      </c>
      <c r="C518" s="80" t="s">
        <v>3653</v>
      </c>
      <c r="D518" s="15" t="s">
        <v>416</v>
      </c>
      <c r="E518" s="15" t="s">
        <v>431</v>
      </c>
      <c r="F518" s="15" t="s">
        <v>1252</v>
      </c>
      <c r="G518" s="15" t="s">
        <v>1274</v>
      </c>
      <c r="H518" s="15" t="s">
        <v>1253</v>
      </c>
      <c r="I518" s="15" t="s">
        <v>289</v>
      </c>
      <c r="J518" s="15" t="s">
        <v>54</v>
      </c>
      <c r="K518" s="81" t="s">
        <v>3654</v>
      </c>
      <c r="L518" s="15" t="s">
        <v>1254</v>
      </c>
    </row>
    <row r="519" spans="1:12" x14ac:dyDescent="0.25">
      <c r="A519" s="15" t="s">
        <v>68</v>
      </c>
      <c r="B519" s="15">
        <v>832</v>
      </c>
      <c r="C519" s="80" t="s">
        <v>3655</v>
      </c>
      <c r="D519" s="15" t="s">
        <v>416</v>
      </c>
      <c r="E519" s="15" t="s">
        <v>431</v>
      </c>
      <c r="F519" s="15" t="s">
        <v>999</v>
      </c>
      <c r="G519" s="15" t="s">
        <v>995</v>
      </c>
      <c r="H519" s="15" t="s">
        <v>1001</v>
      </c>
      <c r="I519" s="15" t="s">
        <v>72</v>
      </c>
      <c r="J519" s="15" t="s">
        <v>54</v>
      </c>
      <c r="K519" s="81" t="s">
        <v>3656</v>
      </c>
      <c r="L519" s="15" t="s">
        <v>1002</v>
      </c>
    </row>
    <row r="520" spans="1:12" x14ac:dyDescent="0.25">
      <c r="A520" s="15" t="s">
        <v>68</v>
      </c>
      <c r="B520" s="15">
        <v>832</v>
      </c>
      <c r="C520" s="80" t="s">
        <v>3657</v>
      </c>
      <c r="D520" s="15" t="s">
        <v>416</v>
      </c>
      <c r="E520" s="15" t="s">
        <v>431</v>
      </c>
      <c r="F520" s="15" t="s">
        <v>1003</v>
      </c>
      <c r="G520" s="15" t="s">
        <v>1004</v>
      </c>
      <c r="H520" s="15" t="s">
        <v>1005</v>
      </c>
      <c r="I520" s="15" t="s">
        <v>72</v>
      </c>
      <c r="J520" s="15" t="s">
        <v>54</v>
      </c>
      <c r="K520" s="81" t="s">
        <v>3658</v>
      </c>
      <c r="L520" s="15" t="s">
        <v>1006</v>
      </c>
    </row>
    <row r="521" spans="1:12" x14ac:dyDescent="0.25">
      <c r="A521" s="15" t="s">
        <v>68</v>
      </c>
      <c r="B521" s="15">
        <v>832</v>
      </c>
      <c r="C521" s="80" t="s">
        <v>3659</v>
      </c>
      <c r="D521" s="15" t="s">
        <v>416</v>
      </c>
      <c r="E521" s="15" t="s">
        <v>431</v>
      </c>
      <c r="F521" s="15" t="s">
        <v>1007</v>
      </c>
      <c r="G521" s="15" t="s">
        <v>1008</v>
      </c>
      <c r="H521" s="15" t="s">
        <v>1009</v>
      </c>
      <c r="I521" s="15" t="s">
        <v>988</v>
      </c>
      <c r="J521" s="15" t="s">
        <v>54</v>
      </c>
      <c r="K521" s="81" t="s">
        <v>3421</v>
      </c>
      <c r="L521" s="15" t="s">
        <v>1010</v>
      </c>
    </row>
    <row r="522" spans="1:12" x14ac:dyDescent="0.25">
      <c r="A522" s="15" t="s">
        <v>68</v>
      </c>
      <c r="B522" s="15">
        <v>832</v>
      </c>
      <c r="C522" s="80" t="s">
        <v>3660</v>
      </c>
      <c r="D522" s="15" t="s">
        <v>416</v>
      </c>
      <c r="E522" s="15" t="s">
        <v>431</v>
      </c>
      <c r="F522" s="15" t="s">
        <v>1011</v>
      </c>
      <c r="G522" s="15" t="s">
        <v>1012</v>
      </c>
      <c r="H522" s="15" t="s">
        <v>1013</v>
      </c>
      <c r="I522" s="15" t="s">
        <v>72</v>
      </c>
      <c r="J522" s="15" t="s">
        <v>54</v>
      </c>
      <c r="K522" s="81" t="s">
        <v>3661</v>
      </c>
      <c r="L522" s="15" t="s">
        <v>1014</v>
      </c>
    </row>
    <row r="523" spans="1:12" x14ac:dyDescent="0.25">
      <c r="A523" s="15" t="s">
        <v>269</v>
      </c>
      <c r="B523" s="15">
        <v>830</v>
      </c>
      <c r="C523" s="80" t="s">
        <v>3662</v>
      </c>
      <c r="D523" s="15" t="s">
        <v>416</v>
      </c>
      <c r="E523" s="15" t="s">
        <v>431</v>
      </c>
      <c r="F523" s="15" t="s">
        <v>864</v>
      </c>
      <c r="G523" s="15" t="s">
        <v>3049</v>
      </c>
      <c r="H523" s="15" t="s">
        <v>865</v>
      </c>
      <c r="I523" s="15" t="s">
        <v>272</v>
      </c>
      <c r="J523" s="15" t="s">
        <v>220</v>
      </c>
      <c r="K523" s="81" t="s">
        <v>3663</v>
      </c>
      <c r="L523" s="15" t="s">
        <v>866</v>
      </c>
    </row>
    <row r="524" spans="1:12" x14ac:dyDescent="0.25">
      <c r="A524" s="15" t="s">
        <v>269</v>
      </c>
      <c r="B524" s="15">
        <v>830</v>
      </c>
      <c r="C524" s="80" t="s">
        <v>3664</v>
      </c>
      <c r="D524" s="15" t="s">
        <v>416</v>
      </c>
      <c r="E524" s="15" t="s">
        <v>431</v>
      </c>
      <c r="F524" s="15" t="s">
        <v>270</v>
      </c>
      <c r="G524" s="15" t="s">
        <v>2980</v>
      </c>
      <c r="H524" s="15" t="s">
        <v>271</v>
      </c>
      <c r="I524" s="15" t="s">
        <v>272</v>
      </c>
      <c r="J524" s="15" t="s">
        <v>220</v>
      </c>
      <c r="K524" s="81" t="s">
        <v>3665</v>
      </c>
      <c r="L524" s="15" t="s">
        <v>273</v>
      </c>
    </row>
    <row r="525" spans="1:12" x14ac:dyDescent="0.25">
      <c r="A525" s="15" t="s">
        <v>269</v>
      </c>
      <c r="B525" s="15">
        <v>830</v>
      </c>
      <c r="C525" s="80" t="s">
        <v>3666</v>
      </c>
      <c r="D525" s="15" t="s">
        <v>416</v>
      </c>
      <c r="E525" s="15" t="s">
        <v>431</v>
      </c>
      <c r="F525" s="15" t="s">
        <v>867</v>
      </c>
      <c r="G525" s="15" t="s">
        <v>3667</v>
      </c>
      <c r="H525" s="15" t="s">
        <v>869</v>
      </c>
      <c r="I525" s="15" t="s">
        <v>272</v>
      </c>
      <c r="J525" s="15" t="s">
        <v>220</v>
      </c>
      <c r="K525" s="81" t="s">
        <v>3665</v>
      </c>
      <c r="L525" s="15" t="s">
        <v>870</v>
      </c>
    </row>
    <row r="526" spans="1:12" x14ac:dyDescent="0.25">
      <c r="A526" s="15" t="s">
        <v>269</v>
      </c>
      <c r="B526" s="15">
        <v>830</v>
      </c>
      <c r="C526" s="80" t="s">
        <v>3668</v>
      </c>
      <c r="D526" s="15" t="s">
        <v>416</v>
      </c>
      <c r="E526" s="15" t="s">
        <v>431</v>
      </c>
      <c r="F526" s="15" t="s">
        <v>871</v>
      </c>
      <c r="G526" s="15" t="s">
        <v>3006</v>
      </c>
      <c r="H526" s="15" t="s">
        <v>872</v>
      </c>
      <c r="I526" s="15" t="s">
        <v>859</v>
      </c>
      <c r="J526" s="15" t="s">
        <v>220</v>
      </c>
      <c r="K526" s="81" t="s">
        <v>3343</v>
      </c>
      <c r="L526" s="15" t="s">
        <v>873</v>
      </c>
    </row>
    <row r="527" spans="1:12" x14ac:dyDescent="0.25">
      <c r="A527" s="15" t="s">
        <v>62</v>
      </c>
      <c r="B527" s="15">
        <v>812</v>
      </c>
      <c r="C527" s="80" t="s">
        <v>3669</v>
      </c>
      <c r="D527" s="15" t="s">
        <v>416</v>
      </c>
      <c r="E527" s="15" t="s">
        <v>431</v>
      </c>
      <c r="F527" s="15" t="s">
        <v>1255</v>
      </c>
      <c r="G527" s="15" t="s">
        <v>3004</v>
      </c>
      <c r="H527" s="15" t="s">
        <v>1257</v>
      </c>
      <c r="I527" s="15" t="s">
        <v>1258</v>
      </c>
      <c r="J527" s="15" t="s">
        <v>54</v>
      </c>
      <c r="K527" s="81" t="s">
        <v>3670</v>
      </c>
      <c r="L527" s="15" t="s">
        <v>1259</v>
      </c>
    </row>
    <row r="528" spans="1:12" x14ac:dyDescent="0.25">
      <c r="A528" s="15" t="s">
        <v>120</v>
      </c>
      <c r="B528" s="15">
        <v>806</v>
      </c>
      <c r="C528" s="80" t="s">
        <v>3671</v>
      </c>
      <c r="D528" s="15" t="s">
        <v>416</v>
      </c>
      <c r="E528" s="15" t="s">
        <v>431</v>
      </c>
      <c r="F528" s="15" t="s">
        <v>2017</v>
      </c>
      <c r="G528" s="15" t="s">
        <v>2018</v>
      </c>
      <c r="H528" s="15" t="s">
        <v>2019</v>
      </c>
      <c r="I528" s="15" t="s">
        <v>124</v>
      </c>
      <c r="J528" s="15" t="s">
        <v>39</v>
      </c>
      <c r="K528" s="81" t="s">
        <v>3178</v>
      </c>
      <c r="L528" s="15" t="s">
        <v>2020</v>
      </c>
    </row>
    <row r="529" spans="1:12" x14ac:dyDescent="0.25">
      <c r="A529" s="15" t="s">
        <v>120</v>
      </c>
      <c r="B529" s="15">
        <v>806</v>
      </c>
      <c r="C529" s="80" t="s">
        <v>3672</v>
      </c>
      <c r="D529" s="15" t="s">
        <v>416</v>
      </c>
      <c r="E529" s="15" t="s">
        <v>431</v>
      </c>
      <c r="F529" s="15" t="s">
        <v>2021</v>
      </c>
      <c r="G529" s="15" t="s">
        <v>2022</v>
      </c>
      <c r="H529" s="15" t="s">
        <v>2023</v>
      </c>
      <c r="I529" s="15" t="s">
        <v>2015</v>
      </c>
      <c r="J529" s="15" t="s">
        <v>39</v>
      </c>
      <c r="K529" s="81" t="s">
        <v>3673</v>
      </c>
      <c r="L529" s="15" t="s">
        <v>2024</v>
      </c>
    </row>
    <row r="530" spans="1:12" x14ac:dyDescent="0.25">
      <c r="A530" s="15" t="s">
        <v>194</v>
      </c>
      <c r="B530" s="15">
        <v>801</v>
      </c>
      <c r="C530" s="80" t="s">
        <v>3674</v>
      </c>
      <c r="D530" s="15" t="s">
        <v>416</v>
      </c>
      <c r="E530" s="15" t="s">
        <v>431</v>
      </c>
      <c r="F530" s="15" t="s">
        <v>1924</v>
      </c>
      <c r="G530" s="15" t="s">
        <v>1925</v>
      </c>
      <c r="H530" s="15" t="s">
        <v>1926</v>
      </c>
      <c r="I530" s="15" t="s">
        <v>1927</v>
      </c>
      <c r="J530" s="15" t="s">
        <v>199</v>
      </c>
      <c r="K530" s="81" t="s">
        <v>3675</v>
      </c>
      <c r="L530" s="15" t="s">
        <v>1928</v>
      </c>
    </row>
    <row r="531" spans="1:12" x14ac:dyDescent="0.25">
      <c r="A531" s="15" t="s">
        <v>227</v>
      </c>
      <c r="B531" s="15">
        <v>830</v>
      </c>
      <c r="C531" s="80" t="s">
        <v>3676</v>
      </c>
      <c r="D531" s="15" t="s">
        <v>416</v>
      </c>
      <c r="E531" s="15" t="s">
        <v>431</v>
      </c>
      <c r="F531" s="15" t="s">
        <v>682</v>
      </c>
      <c r="G531" s="15" t="s">
        <v>683</v>
      </c>
      <c r="H531" s="15" t="s">
        <v>684</v>
      </c>
      <c r="I531" s="15" t="s">
        <v>685</v>
      </c>
      <c r="J531" s="15" t="s">
        <v>220</v>
      </c>
      <c r="K531" s="81" t="s">
        <v>3677</v>
      </c>
      <c r="L531" s="15" t="s">
        <v>686</v>
      </c>
    </row>
    <row r="532" spans="1:12" x14ac:dyDescent="0.25">
      <c r="A532" s="15" t="s">
        <v>227</v>
      </c>
      <c r="B532" s="15">
        <v>830</v>
      </c>
      <c r="C532" s="80" t="s">
        <v>3678</v>
      </c>
      <c r="D532" s="15" t="s">
        <v>416</v>
      </c>
      <c r="E532" s="15" t="s">
        <v>431</v>
      </c>
      <c r="F532" s="15" t="s">
        <v>687</v>
      </c>
      <c r="G532" s="15" t="s">
        <v>3019</v>
      </c>
      <c r="H532" s="15" t="s">
        <v>689</v>
      </c>
      <c r="I532" s="15" t="s">
        <v>690</v>
      </c>
      <c r="J532" s="15" t="s">
        <v>220</v>
      </c>
      <c r="K532" s="81" t="s">
        <v>3679</v>
      </c>
      <c r="L532" s="15" t="s">
        <v>691</v>
      </c>
    </row>
    <row r="533" spans="1:12" x14ac:dyDescent="0.25">
      <c r="A533" s="15" t="s">
        <v>227</v>
      </c>
      <c r="B533" s="15">
        <v>830</v>
      </c>
      <c r="C533" s="80" t="s">
        <v>3680</v>
      </c>
      <c r="D533" s="15" t="s">
        <v>416</v>
      </c>
      <c r="E533" s="15" t="s">
        <v>431</v>
      </c>
      <c r="F533" s="15" t="s">
        <v>692</v>
      </c>
      <c r="G533" s="15" t="s">
        <v>693</v>
      </c>
      <c r="H533" s="15" t="s">
        <v>694</v>
      </c>
      <c r="I533" s="15" t="s">
        <v>695</v>
      </c>
      <c r="J533" s="15" t="s">
        <v>220</v>
      </c>
      <c r="K533" s="81" t="s">
        <v>3681</v>
      </c>
      <c r="L533" s="15" t="s">
        <v>696</v>
      </c>
    </row>
    <row r="534" spans="1:12" x14ac:dyDescent="0.25">
      <c r="A534" s="15" t="s">
        <v>227</v>
      </c>
      <c r="B534" s="15">
        <v>830</v>
      </c>
      <c r="C534" s="80" t="s">
        <v>3682</v>
      </c>
      <c r="D534" s="15" t="s">
        <v>416</v>
      </c>
      <c r="E534" s="15" t="s">
        <v>431</v>
      </c>
      <c r="F534" s="15" t="s">
        <v>697</v>
      </c>
      <c r="G534" s="15" t="s">
        <v>688</v>
      </c>
      <c r="H534" s="15" t="s">
        <v>698</v>
      </c>
      <c r="I534" s="15" t="s">
        <v>699</v>
      </c>
      <c r="J534" s="15" t="s">
        <v>220</v>
      </c>
      <c r="K534" s="81" t="s">
        <v>3683</v>
      </c>
      <c r="L534" s="15" t="s">
        <v>700</v>
      </c>
    </row>
    <row r="535" spans="1:12" x14ac:dyDescent="0.25">
      <c r="A535" s="15" t="s">
        <v>227</v>
      </c>
      <c r="B535" s="15">
        <v>830</v>
      </c>
      <c r="C535" s="80" t="s">
        <v>3684</v>
      </c>
      <c r="D535" s="15" t="s">
        <v>416</v>
      </c>
      <c r="E535" s="15" t="s">
        <v>431</v>
      </c>
      <c r="F535" s="15" t="s">
        <v>701</v>
      </c>
      <c r="G535" s="15" t="s">
        <v>702</v>
      </c>
      <c r="H535" s="15" t="s">
        <v>703</v>
      </c>
      <c r="I535" s="15" t="s">
        <v>704</v>
      </c>
      <c r="J535" s="15" t="s">
        <v>220</v>
      </c>
      <c r="K535" s="81" t="s">
        <v>3685</v>
      </c>
      <c r="L535" s="15" t="s">
        <v>705</v>
      </c>
    </row>
    <row r="536" spans="1:12" x14ac:dyDescent="0.25">
      <c r="A536" s="15" t="s">
        <v>1565</v>
      </c>
      <c r="B536" s="15">
        <v>810</v>
      </c>
      <c r="C536" s="80" t="s">
        <v>3686</v>
      </c>
      <c r="D536" s="15" t="s">
        <v>416</v>
      </c>
      <c r="E536" s="15" t="s">
        <v>431</v>
      </c>
      <c r="F536" s="15" t="s">
        <v>1579</v>
      </c>
      <c r="G536" s="15" t="s">
        <v>2981</v>
      </c>
      <c r="H536" s="15" t="s">
        <v>1580</v>
      </c>
      <c r="I536" s="15" t="s">
        <v>1581</v>
      </c>
      <c r="J536" s="15" t="s">
        <v>138</v>
      </c>
      <c r="K536" s="81" t="s">
        <v>3687</v>
      </c>
      <c r="L536" s="15" t="s">
        <v>1582</v>
      </c>
    </row>
    <row r="537" spans="1:12" x14ac:dyDescent="0.25">
      <c r="A537" s="15" t="s">
        <v>1565</v>
      </c>
      <c r="B537" s="15">
        <v>810</v>
      </c>
      <c r="C537" s="80" t="s">
        <v>3688</v>
      </c>
      <c r="D537" s="15" t="s">
        <v>416</v>
      </c>
      <c r="E537" s="15" t="s">
        <v>431</v>
      </c>
      <c r="F537" s="15" t="s">
        <v>1583</v>
      </c>
      <c r="G537" s="15" t="s">
        <v>1584</v>
      </c>
      <c r="H537" s="15" t="s">
        <v>1585</v>
      </c>
      <c r="I537" s="15" t="s">
        <v>1586</v>
      </c>
      <c r="J537" s="15" t="s">
        <v>138</v>
      </c>
      <c r="K537" s="81" t="s">
        <v>3689</v>
      </c>
      <c r="L537" s="15" t="s">
        <v>1587</v>
      </c>
    </row>
    <row r="538" spans="1:12" x14ac:dyDescent="0.25">
      <c r="A538" s="15" t="s">
        <v>126</v>
      </c>
      <c r="B538" s="15">
        <v>800</v>
      </c>
      <c r="C538" s="80" t="s">
        <v>3690</v>
      </c>
      <c r="D538" s="15" t="s">
        <v>416</v>
      </c>
      <c r="E538" s="15" t="s">
        <v>431</v>
      </c>
      <c r="F538" s="15" t="s">
        <v>2794</v>
      </c>
      <c r="G538" s="15" t="s">
        <v>2795</v>
      </c>
      <c r="H538" s="15" t="s">
        <v>2796</v>
      </c>
      <c r="I538" s="15" t="s">
        <v>130</v>
      </c>
      <c r="J538" s="15" t="s">
        <v>131</v>
      </c>
      <c r="K538" s="81" t="s">
        <v>3563</v>
      </c>
      <c r="L538" s="15" t="s">
        <v>2797</v>
      </c>
    </row>
    <row r="539" spans="1:12" x14ac:dyDescent="0.25">
      <c r="A539" s="15" t="s">
        <v>114</v>
      </c>
      <c r="B539" s="15">
        <v>806</v>
      </c>
      <c r="C539" s="80" t="s">
        <v>3691</v>
      </c>
      <c r="D539" s="15" t="s">
        <v>416</v>
      </c>
      <c r="E539" s="15" t="s">
        <v>431</v>
      </c>
      <c r="F539" s="15" t="s">
        <v>418</v>
      </c>
      <c r="G539" s="15" t="s">
        <v>2960</v>
      </c>
      <c r="H539" s="15" t="s">
        <v>419</v>
      </c>
      <c r="I539" s="15" t="s">
        <v>118</v>
      </c>
      <c r="J539" s="15" t="s">
        <v>32</v>
      </c>
      <c r="K539" s="81" t="s">
        <v>3165</v>
      </c>
      <c r="L539" s="15" t="s">
        <v>2961</v>
      </c>
    </row>
    <row r="540" spans="1:12" x14ac:dyDescent="0.25">
      <c r="A540" s="15" t="s">
        <v>100</v>
      </c>
      <c r="B540" s="15">
        <v>806</v>
      </c>
      <c r="C540" s="80" t="s">
        <v>3692</v>
      </c>
      <c r="D540" s="15" t="s">
        <v>416</v>
      </c>
      <c r="E540" s="15" t="s">
        <v>431</v>
      </c>
      <c r="F540" s="15" t="s">
        <v>518</v>
      </c>
      <c r="G540" s="15" t="s">
        <v>503</v>
      </c>
      <c r="H540" s="15" t="s">
        <v>520</v>
      </c>
      <c r="I540" s="15" t="s">
        <v>104</v>
      </c>
      <c r="J540" s="15" t="s">
        <v>105</v>
      </c>
      <c r="K540" s="81" t="s">
        <v>3153</v>
      </c>
      <c r="L540" s="15" t="s">
        <v>521</v>
      </c>
    </row>
    <row r="541" spans="1:12" x14ac:dyDescent="0.25">
      <c r="A541" s="15" t="s">
        <v>1565</v>
      </c>
      <c r="B541" s="15">
        <v>810</v>
      </c>
      <c r="C541" s="80" t="s">
        <v>3693</v>
      </c>
      <c r="D541" s="15" t="s">
        <v>416</v>
      </c>
      <c r="E541" s="15" t="s">
        <v>431</v>
      </c>
      <c r="F541" s="15" t="s">
        <v>2982</v>
      </c>
      <c r="G541" s="15" t="s">
        <v>2983</v>
      </c>
      <c r="H541" s="15" t="s">
        <v>2984</v>
      </c>
      <c r="I541" s="15" t="s">
        <v>2985</v>
      </c>
      <c r="J541" s="15" t="s">
        <v>138</v>
      </c>
      <c r="K541" s="81" t="s">
        <v>3694</v>
      </c>
      <c r="L541" s="15" t="s">
        <v>2986</v>
      </c>
    </row>
    <row r="542" spans="1:12" x14ac:dyDescent="0.25">
      <c r="A542" s="15" t="s">
        <v>100</v>
      </c>
      <c r="B542" s="15">
        <v>806</v>
      </c>
      <c r="C542" s="80" t="s">
        <v>3695</v>
      </c>
      <c r="D542" s="15" t="s">
        <v>416</v>
      </c>
      <c r="E542" s="15" t="s">
        <v>431</v>
      </c>
      <c r="F542" s="15" t="s">
        <v>522</v>
      </c>
      <c r="G542" s="15" t="s">
        <v>523</v>
      </c>
      <c r="H542" s="15" t="s">
        <v>524</v>
      </c>
      <c r="I542" s="15" t="s">
        <v>104</v>
      </c>
      <c r="J542" s="15" t="s">
        <v>105</v>
      </c>
      <c r="K542" s="81" t="s">
        <v>3154</v>
      </c>
      <c r="L542" s="15" t="s">
        <v>525</v>
      </c>
    </row>
    <row r="543" spans="1:12" x14ac:dyDescent="0.25">
      <c r="A543" s="15" t="s">
        <v>161</v>
      </c>
      <c r="B543" s="15">
        <v>800</v>
      </c>
      <c r="C543" s="80" t="s">
        <v>3696</v>
      </c>
      <c r="D543" s="15" t="s">
        <v>416</v>
      </c>
      <c r="E543" s="15" t="s">
        <v>431</v>
      </c>
      <c r="F543" s="15" t="s">
        <v>2680</v>
      </c>
      <c r="G543" s="15" t="s">
        <v>2681</v>
      </c>
      <c r="H543" s="15" t="s">
        <v>2682</v>
      </c>
      <c r="I543" s="15" t="s">
        <v>2683</v>
      </c>
      <c r="J543" s="15" t="s">
        <v>166</v>
      </c>
      <c r="K543" s="81" t="s">
        <v>3697</v>
      </c>
      <c r="L543" s="15" t="s">
        <v>2684</v>
      </c>
    </row>
    <row r="544" spans="1:12" x14ac:dyDescent="0.25">
      <c r="A544" s="15" t="s">
        <v>174</v>
      </c>
      <c r="B544" s="15">
        <v>801</v>
      </c>
      <c r="C544" s="80" t="s">
        <v>3698</v>
      </c>
      <c r="D544" s="15" t="s">
        <v>416</v>
      </c>
      <c r="E544" s="15" t="s">
        <v>431</v>
      </c>
      <c r="F544" s="15" t="s">
        <v>1804</v>
      </c>
      <c r="G544" s="15" t="s">
        <v>1805</v>
      </c>
      <c r="H544" s="15" t="s">
        <v>1806</v>
      </c>
      <c r="I544" s="15" t="s">
        <v>1807</v>
      </c>
      <c r="J544" s="15" t="s">
        <v>179</v>
      </c>
      <c r="K544" s="81" t="s">
        <v>3699</v>
      </c>
      <c r="L544" s="15" t="s">
        <v>1808</v>
      </c>
    </row>
    <row r="545" spans="1:12" x14ac:dyDescent="0.25">
      <c r="A545" s="15" t="s">
        <v>215</v>
      </c>
      <c r="B545" s="15">
        <v>830</v>
      </c>
      <c r="C545" s="80" t="s">
        <v>3700</v>
      </c>
      <c r="D545" s="15" t="s">
        <v>416</v>
      </c>
      <c r="E545" s="15" t="s">
        <v>431</v>
      </c>
      <c r="F545" s="15" t="s">
        <v>3020</v>
      </c>
      <c r="G545" s="15" t="s">
        <v>3021</v>
      </c>
      <c r="H545" s="15" t="s">
        <v>3022</v>
      </c>
      <c r="I545" s="15" t="s">
        <v>724</v>
      </c>
      <c r="J545" s="15" t="s">
        <v>220</v>
      </c>
      <c r="K545" s="81" t="s">
        <v>3294</v>
      </c>
      <c r="L545" s="15" t="s">
        <v>3023</v>
      </c>
    </row>
    <row r="546" spans="1:12" x14ac:dyDescent="0.25">
      <c r="A546" s="15" t="s">
        <v>1565</v>
      </c>
      <c r="B546" s="15">
        <v>810</v>
      </c>
      <c r="C546" s="80" t="s">
        <v>3701</v>
      </c>
      <c r="D546" s="15" t="s">
        <v>416</v>
      </c>
      <c r="E546" s="15" t="s">
        <v>431</v>
      </c>
      <c r="F546" s="15" t="s">
        <v>1588</v>
      </c>
      <c r="G546" s="15" t="s">
        <v>1589</v>
      </c>
      <c r="H546" s="15" t="s">
        <v>1590</v>
      </c>
      <c r="I546" s="15" t="s">
        <v>1591</v>
      </c>
      <c r="J546" s="15" t="s">
        <v>138</v>
      </c>
      <c r="K546" s="81" t="s">
        <v>3702</v>
      </c>
      <c r="L546" s="15" t="s">
        <v>1592</v>
      </c>
    </row>
    <row r="547" spans="1:12" x14ac:dyDescent="0.25">
      <c r="A547" s="15" t="s">
        <v>174</v>
      </c>
      <c r="B547" s="15">
        <v>801</v>
      </c>
      <c r="C547" s="80" t="s">
        <v>3703</v>
      </c>
      <c r="D547" s="15" t="s">
        <v>416</v>
      </c>
      <c r="E547" s="15" t="s">
        <v>431</v>
      </c>
      <c r="F547" s="15" t="s">
        <v>1809</v>
      </c>
      <c r="G547" s="15" t="s">
        <v>1810</v>
      </c>
      <c r="H547" s="15" t="s">
        <v>1811</v>
      </c>
      <c r="I547" s="15" t="s">
        <v>1812</v>
      </c>
      <c r="J547" s="15" t="s">
        <v>179</v>
      </c>
      <c r="K547" s="81" t="s">
        <v>3187</v>
      </c>
      <c r="L547" s="15" t="s">
        <v>1813</v>
      </c>
    </row>
    <row r="548" spans="1:12" x14ac:dyDescent="0.25">
      <c r="A548" s="15" t="s">
        <v>133</v>
      </c>
      <c r="B548" s="15">
        <v>810</v>
      </c>
      <c r="C548" s="80" t="s">
        <v>3704</v>
      </c>
      <c r="D548" s="15" t="s">
        <v>416</v>
      </c>
      <c r="E548" s="15" t="s">
        <v>431</v>
      </c>
      <c r="F548" s="15" t="s">
        <v>1593</v>
      </c>
      <c r="G548" s="15" t="s">
        <v>1594</v>
      </c>
      <c r="H548" s="15" t="s">
        <v>3007</v>
      </c>
      <c r="I548" s="15" t="s">
        <v>1595</v>
      </c>
      <c r="J548" s="15" t="s">
        <v>138</v>
      </c>
      <c r="K548" s="81" t="s">
        <v>3705</v>
      </c>
      <c r="L548" s="15" t="s">
        <v>1596</v>
      </c>
    </row>
    <row r="549" spans="1:12" x14ac:dyDescent="0.25">
      <c r="A549" s="15" t="s">
        <v>174</v>
      </c>
      <c r="B549" s="15">
        <v>801</v>
      </c>
      <c r="C549" s="80" t="s">
        <v>3706</v>
      </c>
      <c r="D549" s="15" t="s">
        <v>416</v>
      </c>
      <c r="E549" s="15" t="s">
        <v>431</v>
      </c>
      <c r="F549" s="15" t="s">
        <v>1814</v>
      </c>
      <c r="G549" s="15" t="s">
        <v>1815</v>
      </c>
      <c r="H549" s="15" t="s">
        <v>1816</v>
      </c>
      <c r="I549" s="15" t="s">
        <v>1817</v>
      </c>
      <c r="J549" s="15" t="s">
        <v>145</v>
      </c>
      <c r="K549" s="81" t="s">
        <v>3707</v>
      </c>
      <c r="L549" s="15" t="s">
        <v>1818</v>
      </c>
    </row>
    <row r="550" spans="1:12" x14ac:dyDescent="0.25">
      <c r="A550" s="15" t="s">
        <v>147</v>
      </c>
      <c r="B550" s="15">
        <v>810</v>
      </c>
      <c r="C550" s="80" t="s">
        <v>3708</v>
      </c>
      <c r="D550" s="15" t="s">
        <v>416</v>
      </c>
      <c r="E550" s="15" t="s">
        <v>431</v>
      </c>
      <c r="F550" s="15" t="s">
        <v>3709</v>
      </c>
      <c r="G550" s="15" t="s">
        <v>3710</v>
      </c>
      <c r="H550" s="15" t="s">
        <v>3711</v>
      </c>
      <c r="I550" s="15" t="s">
        <v>3712</v>
      </c>
      <c r="J550" s="15" t="s">
        <v>145</v>
      </c>
      <c r="K550" s="81" t="s">
        <v>3713</v>
      </c>
      <c r="L550" s="15" t="s">
        <v>3714</v>
      </c>
    </row>
    <row r="551" spans="1:12" x14ac:dyDescent="0.25">
      <c r="A551" s="15" t="s">
        <v>133</v>
      </c>
      <c r="B551" s="15">
        <v>810</v>
      </c>
      <c r="C551" s="80" t="s">
        <v>3715</v>
      </c>
      <c r="D551" s="15" t="s">
        <v>416</v>
      </c>
      <c r="E551" s="15" t="s">
        <v>431</v>
      </c>
      <c r="F551" s="15" t="s">
        <v>3050</v>
      </c>
      <c r="G551" s="15" t="s">
        <v>1652</v>
      </c>
      <c r="H551" s="15" t="s">
        <v>3051</v>
      </c>
      <c r="I551" s="15" t="s">
        <v>3052</v>
      </c>
      <c r="J551" s="15" t="s">
        <v>138</v>
      </c>
      <c r="K551" s="81" t="s">
        <v>3716</v>
      </c>
      <c r="L551" s="15" t="s">
        <v>3053</v>
      </c>
    </row>
    <row r="552" spans="1:12" x14ac:dyDescent="0.25">
      <c r="A552" s="15" t="s">
        <v>82</v>
      </c>
      <c r="B552" s="15">
        <v>818</v>
      </c>
      <c r="C552" s="80" t="s">
        <v>3717</v>
      </c>
      <c r="D552" s="15" t="s">
        <v>416</v>
      </c>
      <c r="E552" s="15" t="s">
        <v>431</v>
      </c>
      <c r="F552" s="15" t="s">
        <v>2618</v>
      </c>
      <c r="G552" s="15" t="s">
        <v>2619</v>
      </c>
      <c r="H552" s="15" t="s">
        <v>2620</v>
      </c>
      <c r="I552" s="15" t="s">
        <v>86</v>
      </c>
      <c r="J552" s="15" t="s">
        <v>32</v>
      </c>
      <c r="K552" s="81" t="s">
        <v>3718</v>
      </c>
      <c r="L552" s="15" t="s">
        <v>2987</v>
      </c>
    </row>
    <row r="553" spans="1:12" x14ac:dyDescent="0.25">
      <c r="A553" s="15" t="s">
        <v>82</v>
      </c>
      <c r="B553" s="15">
        <v>818</v>
      </c>
      <c r="C553" s="80" t="s">
        <v>3719</v>
      </c>
      <c r="D553" s="15" t="s">
        <v>416</v>
      </c>
      <c r="E553" s="15" t="s">
        <v>431</v>
      </c>
      <c r="F553" s="15" t="s">
        <v>2621</v>
      </c>
      <c r="G553" s="15" t="s">
        <v>2622</v>
      </c>
      <c r="H553" s="15" t="s">
        <v>2623</v>
      </c>
      <c r="I553" s="15" t="s">
        <v>86</v>
      </c>
      <c r="J553" s="15" t="s">
        <v>32</v>
      </c>
      <c r="K553" s="81" t="s">
        <v>3132</v>
      </c>
      <c r="L553" s="15" t="s">
        <v>2624</v>
      </c>
    </row>
    <row r="554" spans="1:12" x14ac:dyDescent="0.25">
      <c r="A554" s="15" t="s">
        <v>82</v>
      </c>
      <c r="B554" s="15">
        <v>818</v>
      </c>
      <c r="C554" s="80" t="s">
        <v>3720</v>
      </c>
      <c r="D554" s="15" t="s">
        <v>416</v>
      </c>
      <c r="E554" s="15" t="s">
        <v>431</v>
      </c>
      <c r="F554" s="15" t="s">
        <v>2625</v>
      </c>
      <c r="G554" s="15" t="s">
        <v>2626</v>
      </c>
      <c r="H554" s="15" t="s">
        <v>2627</v>
      </c>
      <c r="I554" s="15" t="s">
        <v>86</v>
      </c>
      <c r="J554" s="15" t="s">
        <v>32</v>
      </c>
      <c r="K554" s="81" t="s">
        <v>3132</v>
      </c>
      <c r="L554" s="15" t="s">
        <v>2628</v>
      </c>
    </row>
    <row r="555" spans="1:12" x14ac:dyDescent="0.25">
      <c r="A555" s="15" t="s">
        <v>82</v>
      </c>
      <c r="B555" s="15">
        <v>818</v>
      </c>
      <c r="C555" s="80" t="s">
        <v>3721</v>
      </c>
      <c r="D555" s="15" t="s">
        <v>416</v>
      </c>
      <c r="E555" s="15" t="s">
        <v>431</v>
      </c>
      <c r="F555" s="15" t="s">
        <v>2630</v>
      </c>
      <c r="G555" s="15" t="s">
        <v>2962</v>
      </c>
      <c r="H555" s="15" t="s">
        <v>2631</v>
      </c>
      <c r="I555" s="15" t="s">
        <v>86</v>
      </c>
      <c r="J555" s="15" t="s">
        <v>32</v>
      </c>
      <c r="K555" s="81" t="s">
        <v>3722</v>
      </c>
      <c r="L555" s="15" t="s">
        <v>2632</v>
      </c>
    </row>
    <row r="556" spans="1:12" x14ac:dyDescent="0.25">
      <c r="A556" s="15" t="s">
        <v>82</v>
      </c>
      <c r="B556" s="15">
        <v>818</v>
      </c>
      <c r="C556" s="80" t="s">
        <v>3723</v>
      </c>
      <c r="D556" s="15" t="s">
        <v>416</v>
      </c>
      <c r="E556" s="15" t="s">
        <v>2629</v>
      </c>
      <c r="F556" s="15" t="s">
        <v>2633</v>
      </c>
      <c r="G556" s="15" t="s">
        <v>2988</v>
      </c>
      <c r="H556" s="15" t="s">
        <v>2634</v>
      </c>
      <c r="I556" s="15" t="s">
        <v>86</v>
      </c>
      <c r="J556" s="15" t="s">
        <v>32</v>
      </c>
      <c r="K556" s="81" t="s">
        <v>3133</v>
      </c>
      <c r="L556" s="15" t="s">
        <v>2635</v>
      </c>
    </row>
  </sheetData>
  <sheetProtection sheet="1" objects="1" scenarios="1"/>
  <phoneticPr fontId="6" type="noConversion"/>
  <hyperlinks>
    <hyperlink ref="B1:D1" r:id="rId1" display="MKTG Shipping Key - Open Stores" xr:uid="{33F757B6-51B6-4244-9449-8A21696BDEA1}"/>
    <hyperlink ref="F1" r:id="rId2" xr:uid="{7FAFAEB0-501E-42CD-AE53-39ABDA61A58A}"/>
  </hyperlinks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58c005-1de2-4ca3-b680-60ff148cc823">
      <Terms xmlns="http://schemas.microsoft.com/office/infopath/2007/PartnerControls"/>
    </lcf76f155ced4ddcb4097134ff3c332f>
    <TaxCatchAll xmlns="a6328317-d44c-4c30-a2f1-715964ce7d8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2F584652C08C4E974BB0093352216F" ma:contentTypeVersion="20" ma:contentTypeDescription="Create a new document." ma:contentTypeScope="" ma:versionID="f7ec5790bc83a70130edadfc12c3fac5">
  <xsd:schema xmlns:xsd="http://www.w3.org/2001/XMLSchema" xmlns:xs="http://www.w3.org/2001/XMLSchema" xmlns:p="http://schemas.microsoft.com/office/2006/metadata/properties" xmlns:ns2="f558c005-1de2-4ca3-b680-60ff148cc823" xmlns:ns3="a6328317-d44c-4c30-a2f1-715964ce7d89" targetNamespace="http://schemas.microsoft.com/office/2006/metadata/properties" ma:root="true" ma:fieldsID="904de8c8a617a25fc339fb3e86d7ea17" ns2:_="" ns3:_="">
    <xsd:import namespace="f558c005-1de2-4ca3-b680-60ff148cc823"/>
    <xsd:import namespace="a6328317-d44c-4c30-a2f1-715964ce7d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58c005-1de2-4ca3-b680-60ff148cc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f83a45c-a774-4020-a252-22c2f6674c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328317-d44c-4c30-a2f1-715964ce7d8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a8a1dfb-59ff-4a9f-8411-bf44fba3a1f3}" ma:internalName="TaxCatchAll" ma:showField="CatchAllData" ma:web="a6328317-d44c-4c30-a2f1-715964ce7d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A04430-AA15-4674-863A-8848A8567DF3}">
  <ds:schemaRefs>
    <ds:schemaRef ds:uri="http://schemas.microsoft.com/office/2006/documentManagement/types"/>
    <ds:schemaRef ds:uri="http://purl.org/dc/dcmitype/"/>
    <ds:schemaRef ds:uri="a6328317-d44c-4c30-a2f1-715964ce7d89"/>
    <ds:schemaRef ds:uri="http://schemas.openxmlformats.org/package/2006/metadata/core-properties"/>
    <ds:schemaRef ds:uri="http://purl.org/dc/elements/1.1/"/>
    <ds:schemaRef ds:uri="f558c005-1de2-4ca3-b680-60ff148cc823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22FBDE0-415B-49BE-8F7F-33B504D5FF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58c005-1de2-4ca3-b680-60ff148cc823"/>
    <ds:schemaRef ds:uri="a6328317-d44c-4c30-a2f1-715964ce7d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304AF7-B41B-4197-AD03-2AD1EE6D65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As Values</vt:lpstr>
      <vt:lpstr>As Values Modified</vt:lpstr>
      <vt:lpstr>As Table</vt:lpstr>
      <vt:lpstr>Scratch</vt:lpstr>
      <vt:lpstr>Kiosk Stickers</vt:lpstr>
      <vt:lpstr>Promos</vt:lpstr>
      <vt:lpstr>Pivot Check</vt:lpstr>
      <vt:lpstr>Region Shipments</vt:lpstr>
      <vt:lpstr>Warehouses</vt:lpstr>
      <vt:lpstr>Upcoming New Builds</vt:lpstr>
      <vt:lpstr>Open Stores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 Evans</dc:creator>
  <cp:keywords/>
  <dc:description/>
  <cp:lastModifiedBy>ECOMMERCE</cp:lastModifiedBy>
  <cp:revision/>
  <dcterms:created xsi:type="dcterms:W3CDTF">2024-01-05T00:05:25Z</dcterms:created>
  <dcterms:modified xsi:type="dcterms:W3CDTF">2026-08-14T19:18:29Z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0x0101006A2F584652C08C4E974BB0093352216F</vt:lpwstr>
  </property>
  <property fmtid="{D5CDD505-2E9C-101B-9397-08002B2CF9AE}" pid="3" name="MediaServiceImageTags">
    <vt:lpwstr/>
  </property>
</Properties>
</file>